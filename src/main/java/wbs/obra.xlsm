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hern\OneDrive\Escritorio\"/>
    </mc:Choice>
  </mc:AlternateContent>
  <bookViews>
    <workbookView xWindow="-110" yWindow="-110" windowWidth="19420" windowHeight="10300" activeTab="6"/>
  </bookViews>
  <sheets>
    <sheet name="portada" sheetId="60" r:id="rId1"/>
    <sheet name="informe" sheetId="61" r:id="rId2"/>
    <sheet name="carta gantt" sheetId="65" r:id="rId3"/>
    <sheet name="seguimiento" sheetId="37" r:id="rId4"/>
    <sheet name="presupuesto" sheetId="29" r:id="rId5"/>
    <sheet name="partida" sheetId="66" r:id="rId6"/>
    <sheet name="recurso" sheetId="67" r:id="rId7"/>
    <sheet name="APU" sheetId="62" state="hidden" r:id="rId8"/>
    <sheet name="Hoja2" sheetId="63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\d" localSheetId="6">[1]EP_Bas1!#REF!</definedName>
    <definedName name="\d">[1]EP_Bas1!#REF!</definedName>
    <definedName name="\e" localSheetId="6">[1]EP_Bas1!#REF!</definedName>
    <definedName name="\e">[1]EP_Bas1!#REF!</definedName>
    <definedName name="\i" localSheetId="6">[1]EP_Bas1!#REF!</definedName>
    <definedName name="\i">[1]EP_Bas1!#REF!</definedName>
    <definedName name="\r" localSheetId="6">[1]EP_Bas1!#REF!</definedName>
    <definedName name="\r">[1]EP_Bas1!#REF!</definedName>
    <definedName name="___R" localSheetId="6">[2]EP_Bas1!#REF!</definedName>
    <definedName name="___R">[2]EP_Bas1!#REF!</definedName>
    <definedName name="__jb100">'[3]Precios Unit'!$D$227</definedName>
    <definedName name="__jb50">'[3]Precios Unit'!$D$229</definedName>
    <definedName name="__jd100">'[3]Precios Unit'!$G$227</definedName>
    <definedName name="__jh100">'[3]Precios Unit'!$O$221</definedName>
    <definedName name="__R" localSheetId="6">[4]EP_Bas1!#REF!</definedName>
    <definedName name="__R">[4]EP_Bas1!#REF!</definedName>
    <definedName name="__sca200">'[3]Precios Unit'!$C$33</definedName>
    <definedName name="__vc100">'[3]Precios Unit'!$C$139</definedName>
    <definedName name="__vc50">'[3]Precios Unit'!$C$141</definedName>
    <definedName name="__vr100">'[3]Precios Unit'!$F$162</definedName>
    <definedName name="__vt50">'[3]Precios Unit'!$G$175</definedName>
    <definedName name="_Fill" localSheetId="2" hidden="1">#REF!</definedName>
    <definedName name="_Fill" localSheetId="1" hidden="1">#REF!</definedName>
    <definedName name="_Fill" localSheetId="0" hidden="1">#REF!</definedName>
    <definedName name="_Fill" localSheetId="6" hidden="1">#REF!</definedName>
    <definedName name="_Fill" hidden="1">#REF!</definedName>
    <definedName name="_xlnm._FilterDatabase" localSheetId="1" hidden="1">informe!$A$11:$J$176</definedName>
    <definedName name="_jb100">'[3]Precios Unit'!$D$227</definedName>
    <definedName name="_jb50">'[3]Precios Unit'!$D$229</definedName>
    <definedName name="_jd100">'[3]Precios Unit'!$G$227</definedName>
    <definedName name="_jh100">'[3]Precios Unit'!$O$221</definedName>
    <definedName name="_R" localSheetId="6">[2]EP_Bas1!#REF!</definedName>
    <definedName name="_R">[2]EP_Bas1!#REF!</definedName>
    <definedName name="_Regression_Int" hidden="1">1</definedName>
    <definedName name="_sca200">'[3]Precios Unit'!$C$33</definedName>
    <definedName name="_sem1" localSheetId="6">#REF!</definedName>
    <definedName name="_sem1">#REF!</definedName>
    <definedName name="_us96" localSheetId="6">#REF!</definedName>
    <definedName name="_us96">#REF!</definedName>
    <definedName name="_vc100">'[3]Precios Unit'!$C$139</definedName>
    <definedName name="_vc50">'[3]Precios Unit'!$C$141</definedName>
    <definedName name="_vr100">'[3]Precios Unit'!$F$162</definedName>
    <definedName name="_vt50">'[3]Precios Unit'!$G$175</definedName>
    <definedName name="a">1.1</definedName>
    <definedName name="A_impresión_IM" localSheetId="2">#N/A</definedName>
    <definedName name="A_impresión_IM" localSheetId="6">#REF!</definedName>
    <definedName name="A_impresión_IM">#REF!</definedName>
    <definedName name="aa" localSheetId="2" hidden="1">{"Sin detalle",#N/A,FALSE,"Flujo (redondeado)";"Detallado",#N/A,FALSE,"Flujo (redondeado)"}</definedName>
    <definedName name="aa" localSheetId="0" hidden="1">{"Sin detalle",#N/A,FALSE,"Flujo (redondeado)";"Detallado",#N/A,FALSE,"Flujo (redondeado)"}</definedName>
    <definedName name="aa" localSheetId="6" hidden="1">{"Sin detalle",#N/A,FALSE,"Flujo (redondeado)";"Detallado",#N/A,FALSE,"Flujo (redondeado)"}</definedName>
    <definedName name="aa" hidden="1">{"Sin detalle",#N/A,FALSE,"Flujo (redondeado)";"Detallado",#N/A,FALSE,"Flujo (redondeado)"}</definedName>
    <definedName name="aaa" localSheetId="6">#REF!</definedName>
    <definedName name="aaa">#REF!</definedName>
    <definedName name="ABC" localSheetId="6">#REF!</definedName>
    <definedName name="ABC">#REF!</definedName>
    <definedName name="ABCO">#N/A</definedName>
    <definedName name="ACERODI" localSheetId="6">#REF!</definedName>
    <definedName name="ACERODI">#REF!</definedName>
    <definedName name="ACERODN" localSheetId="6">#REF!</definedName>
    <definedName name="ACERODN">#REF!</definedName>
    <definedName name="ACEROESP" localSheetId="6">#REF!</definedName>
    <definedName name="ACEROESP">#REF!</definedName>
    <definedName name="ACEROPRECIO" localSheetId="6">#REF!</definedName>
    <definedName name="ACEROPRECIO">#REF!</definedName>
    <definedName name="ALE" localSheetId="6">#REF!</definedName>
    <definedName name="ALE">#REF!</definedName>
    <definedName name="ALL" localSheetId="6">#REF!</definedName>
    <definedName name="ALL">#REF!</definedName>
    <definedName name="Alternativa" localSheetId="6">#REF!</definedName>
    <definedName name="Alternativa">#REF!</definedName>
    <definedName name="Año" localSheetId="6">#REF!</definedName>
    <definedName name="Año">#REF!</definedName>
    <definedName name="API" localSheetId="6">#REF!</definedName>
    <definedName name="API">#REF!</definedName>
    <definedName name="aqdfasdsa" localSheetId="6">#REF!</definedName>
    <definedName name="aqdfasdsa">#REF!</definedName>
    <definedName name="_xlnm.Print_Area" localSheetId="7">APU!$B$1:$F$37</definedName>
    <definedName name="_xlnm.Print_Area" localSheetId="2">'carta gantt'!$A$1:$AK$168</definedName>
    <definedName name="_xlnm.Print_Area" localSheetId="6">#REF!</definedName>
    <definedName name="_xlnm.Print_Area">#REF!</definedName>
    <definedName name="as" localSheetId="6">#REF!</definedName>
    <definedName name="as">#REF!</definedName>
    <definedName name="asasas" localSheetId="2" hidden="1">{"Sin detalle",#N/A,FALSE,"Flujo (redondeado)"}</definedName>
    <definedName name="asasas" localSheetId="1" hidden="1">{"Sin detalle",#N/A,FALSE,"Flujo (redondeado)"}</definedName>
    <definedName name="asasas" localSheetId="0" hidden="1">{"Sin detalle",#N/A,FALSE,"Flujo (redondeado)"}</definedName>
    <definedName name="asasas" localSheetId="6" hidden="1">{"Sin detalle",#N/A,FALSE,"Flujo (redondeado)"}</definedName>
    <definedName name="asasas" hidden="1">{"Sin detalle",#N/A,FALSE,"Flujo (redondeado)"}</definedName>
    <definedName name="ASD" localSheetId="6">#REF!</definedName>
    <definedName name="ASD">#REF!</definedName>
    <definedName name="asdas" localSheetId="6">#REF!</definedName>
    <definedName name="asdas">#REF!</definedName>
    <definedName name="asdw" localSheetId="6">#REF!</definedName>
    <definedName name="asdw">#REF!</definedName>
    <definedName name="asf" localSheetId="6">#REF!</definedName>
    <definedName name="asf">#REF!</definedName>
    <definedName name="ASFAF" localSheetId="6">#REF!</definedName>
    <definedName name="ASFAF">#REF!</definedName>
    <definedName name="AU_10" localSheetId="6">#REF!</definedName>
    <definedName name="AU_10">#REF!</definedName>
    <definedName name="AU_20" localSheetId="6">#REF!</definedName>
    <definedName name="AU_20">#REF!</definedName>
    <definedName name="AV_15" localSheetId="6">#REF!</definedName>
    <definedName name="AV_15">#REF!</definedName>
    <definedName name="AW_20" localSheetId="6">#REF!</definedName>
    <definedName name="AW_20">#REF!</definedName>
    <definedName name="axw" localSheetId="6">#REF!</definedName>
    <definedName name="axw">#REF!</definedName>
    <definedName name="AZAZAZ" localSheetId="2" hidden="1">{"Sin detalle",#N/A,FALSE,"Flujo (redondeado)"}</definedName>
    <definedName name="AZAZAZ" localSheetId="1" hidden="1">{"Sin detalle",#N/A,FALSE,"Flujo (redondeado)"}</definedName>
    <definedName name="AZAZAZ" localSheetId="0" hidden="1">{"Sin detalle",#N/A,FALSE,"Flujo (redondeado)"}</definedName>
    <definedName name="AZAZAZ" localSheetId="6" hidden="1">{"Sin detalle",#N/A,FALSE,"Flujo (redondeado)"}</definedName>
    <definedName name="AZAZAZ" hidden="1">{"Sin detalle",#N/A,FALSE,"Flujo (redondeado)"}</definedName>
    <definedName name="B" localSheetId="6">#REF!</definedName>
    <definedName name="B">#REF!</definedName>
    <definedName name="Bansander" localSheetId="6">#REF!</definedName>
    <definedName name="Bansander">#REF!</definedName>
    <definedName name="base" localSheetId="6">#REF!</definedName>
    <definedName name="base">#REF!</definedName>
    <definedName name="_xlnm.Database" localSheetId="6">#REF!</definedName>
    <definedName name="_xlnm.Database">#REF!</definedName>
    <definedName name="bb" localSheetId="2" hidden="1">{"Sin detalle",#N/A,FALSE,"Flujo (redondeado)";"Detallado",#N/A,FALSE,"Flujo (redondeado)"}</definedName>
    <definedName name="bb" localSheetId="1" hidden="1">{"Sin detalle",#N/A,FALSE,"Flujo (redondeado)";"Detallado",#N/A,FALSE,"Flujo (redondeado)"}</definedName>
    <definedName name="bb" localSheetId="0" hidden="1">{"Sin detalle",#N/A,FALSE,"Flujo (redondeado)";"Detallado",#N/A,FALSE,"Flujo (redondeado)"}</definedName>
    <definedName name="bb" localSheetId="6" hidden="1">{"Sin detalle",#N/A,FALSE,"Flujo (redondeado)";"Detallado",#N/A,FALSE,"Flujo (redondeado)"}</definedName>
    <definedName name="bb" hidden="1">{"Sin detalle",#N/A,FALSE,"Flujo (redondeado)";"Detallado",#N/A,FALSE,"Flujo (redondeado)"}</definedName>
    <definedName name="bbbbb" localSheetId="2" hidden="1">{"Sin detalle",#N/A,FALSE,"Flujo (redondeado)";"Detallado",#N/A,FALSE,"Flujo (redondeado)"}</definedName>
    <definedName name="bbbbb" localSheetId="1" hidden="1">{"Sin detalle",#N/A,FALSE,"Flujo (redondeado)";"Detallado",#N/A,FALSE,"Flujo (redondeado)"}</definedName>
    <definedName name="bbbbb" localSheetId="0" hidden="1">{"Sin detalle",#N/A,FALSE,"Flujo (redondeado)";"Detallado",#N/A,FALSE,"Flujo (redondeado)"}</definedName>
    <definedName name="bbbbb" localSheetId="6" hidden="1">{"Sin detalle",#N/A,FALSE,"Flujo (redondeado)";"Detallado",#N/A,FALSE,"Flujo (redondeado)"}</definedName>
    <definedName name="bbbbb" hidden="1">{"Sin detalle",#N/A,FALSE,"Flujo (redondeado)";"Detallado",#N/A,FALSE,"Flujo (redondeado)"}</definedName>
    <definedName name="bgagbz" localSheetId="6">#REF!</definedName>
    <definedName name="bgagbz">#REF!</definedName>
    <definedName name="bgfgxb" localSheetId="6">#REF!</definedName>
    <definedName name="bgfgxb">#REF!</definedName>
    <definedName name="bghn" localSheetId="6">#REF!</definedName>
    <definedName name="bghn">#REF!</definedName>
    <definedName name="bnmcm" localSheetId="6">#REF!</definedName>
    <definedName name="bnmcm">#REF!</definedName>
    <definedName name="BuiltIn_Print_Area">'[5] GANTT  '!$A$1:$Y$275</definedName>
    <definedName name="BuiltIn_Print_Area___0">'[5] GANTT  '!$A$362:$P$401</definedName>
    <definedName name="BuiltIn_Print_Area___1" localSheetId="6">#REF!</definedName>
    <definedName name="BuiltIn_Print_Area___1">#REF!</definedName>
    <definedName name="BuiltIn_Print_Area___2">'[5]PRESUP. VIVIENDA'!$A$1:$F$200</definedName>
    <definedName name="BuiltIn_Print_Titles">'[5]PRESUP. VIVIENDA'!$A$9:$IV$10</definedName>
    <definedName name="BuiltIn_Print_Titles___1">'[5]PRESUP. URBANIZACION'!$A$9:$IV$9</definedName>
    <definedName name="C_10" localSheetId="6">#REF!</definedName>
    <definedName name="C_10">#REF!</definedName>
    <definedName name="C_16" localSheetId="6">#REF!</definedName>
    <definedName name="C_16">#REF!</definedName>
    <definedName name="C_4" localSheetId="6">#REF!</definedName>
    <definedName name="C_4">#REF!</definedName>
    <definedName name="C_6" localSheetId="6">#REF!</definedName>
    <definedName name="C_6">#REF!</definedName>
    <definedName name="cc" localSheetId="6">#REF!</definedName>
    <definedName name="cc">#REF!</definedName>
    <definedName name="CLIENTE" localSheetId="6">#REF!</definedName>
    <definedName name="CLIENTE">#REF!</definedName>
    <definedName name="cod_sem" localSheetId="6">#REF!</definedName>
    <definedName name="cod_sem">#REF!</definedName>
    <definedName name="cod_sem2" localSheetId="6">#REF!</definedName>
    <definedName name="cod_sem2">#REF!</definedName>
    <definedName name="codigo" localSheetId="6">#REF!</definedName>
    <definedName name="codigo">#REF!</definedName>
    <definedName name="compactacion" localSheetId="6">#REF!</definedName>
    <definedName name="compactacion">#REF!</definedName>
    <definedName name="constructora" localSheetId="6">#REF!</definedName>
    <definedName name="constructora">#REF!</definedName>
    <definedName name="controlhromigon" localSheetId="6">#REF!</definedName>
    <definedName name="controlhromigon">#REF!</definedName>
    <definedName name="CT">[6]A.P.U.!$G$47</definedName>
    <definedName name="CU">[6]A.P.U.!$F$47</definedName>
    <definedName name="cv" localSheetId="2" hidden="1">{#N/A,#N/A,TRUE,"LP-CO2X"}</definedName>
    <definedName name="cv" localSheetId="1" hidden="1">{#N/A,#N/A,TRUE,"LP-CO2X"}</definedName>
    <definedName name="cv" localSheetId="0" hidden="1">{#N/A,#N/A,TRUE,"LP-CO2X"}</definedName>
    <definedName name="cv" localSheetId="6" hidden="1">{#N/A,#N/A,TRUE,"LP-CO2X"}</definedName>
    <definedName name="cv" hidden="1">{#N/A,#N/A,TRUE,"LP-CO2X"}</definedName>
    <definedName name="cvb" localSheetId="6">#REF!</definedName>
    <definedName name="cvb">#REF!</definedName>
    <definedName name="D" localSheetId="6">#REF!</definedName>
    <definedName name="D">#REF!</definedName>
    <definedName name="D_AU_10" localSheetId="6">#REF!</definedName>
    <definedName name="D_AU_10">#REF!</definedName>
    <definedName name="D_AV_15" localSheetId="6">#REF!</definedName>
    <definedName name="D_AV_15">#REF!</definedName>
    <definedName name="D_AW_20" localSheetId="6">#REF!</definedName>
    <definedName name="D_AW_20">#REF!</definedName>
    <definedName name="D_C_10" localSheetId="6">#REF!</definedName>
    <definedName name="D_C_10">#REF!</definedName>
    <definedName name="D_C_16" localSheetId="6">#REF!</definedName>
    <definedName name="D_C_16">#REF!</definedName>
    <definedName name="D_C_4" localSheetId="6">#REF!</definedName>
    <definedName name="D_C_4">#REF!</definedName>
    <definedName name="D_C_6" localSheetId="6">#REF!</definedName>
    <definedName name="D_C_6">#REF!</definedName>
    <definedName name="D_k7" localSheetId="6">#REF!</definedName>
    <definedName name="D_k7">#REF!</definedName>
    <definedName name="D_k8" localSheetId="6">#REF!</definedName>
    <definedName name="D_k8">#REF!</definedName>
    <definedName name="D_k9" localSheetId="6">#REF!</definedName>
    <definedName name="D_k9">#REF!</definedName>
    <definedName name="ddd" localSheetId="2" hidden="1">{"Sin detalle",#N/A,FALSE,"Flujo (redondeado)";"Detallado",#N/A,FALSE,"Flujo (redondeado)"}</definedName>
    <definedName name="ddd" localSheetId="1" hidden="1">{"Sin detalle",#N/A,FALSE,"Flujo (redondeado)";"Detallado",#N/A,FALSE,"Flujo (redondeado)"}</definedName>
    <definedName name="ddd" localSheetId="0" hidden="1">{"Sin detalle",#N/A,FALSE,"Flujo (redondeado)";"Detallado",#N/A,FALSE,"Flujo (redondeado)"}</definedName>
    <definedName name="ddd" localSheetId="6" hidden="1">{"Sin detalle",#N/A,FALSE,"Flujo (redondeado)";"Detallado",#N/A,FALSE,"Flujo (redondeado)"}</definedName>
    <definedName name="ddd" hidden="1">{"Sin detalle",#N/A,FALSE,"Flujo (redondeado)";"Detallado",#N/A,FALSE,"Flujo (redondeado)"}</definedName>
    <definedName name="DDF" localSheetId="6">[1]EP_Bas1!#REF!</definedName>
    <definedName name="DDF">[1]EP_Bas1!#REF!</definedName>
    <definedName name="dewdwe" localSheetId="6">#REF!</definedName>
    <definedName name="dewdwe">#REF!</definedName>
    <definedName name="DFG" localSheetId="6">[1]EP_Bas1!#REF!</definedName>
    <definedName name="DFG">[1]EP_Bas1!#REF!</definedName>
    <definedName name="dfgdfg" localSheetId="6">#REF!</definedName>
    <definedName name="dfgdfg">#REF!</definedName>
    <definedName name="dfgdfr" localSheetId="6">#REF!</definedName>
    <definedName name="dfgdfr">#REF!</definedName>
    <definedName name="Diámetro" localSheetId="6">#REF!</definedName>
    <definedName name="Diámetro">#REF!</definedName>
    <definedName name="DiasCategorias">[7]Diario!$F$2:$F$366</definedName>
    <definedName name="DM">[8]CONFIG!$D$10</definedName>
    <definedName name="DN_Fibro_Cemento" localSheetId="6">#REF!</definedName>
    <definedName name="DN_Fibro_Cemento">#REF!</definedName>
    <definedName name="DN_Hierro_Dúctil" localSheetId="6">#REF!</definedName>
    <definedName name="DN_Hierro_Dúctil">#REF!</definedName>
    <definedName name="DN_PVC" localSheetId="6">#REF!</definedName>
    <definedName name="DN_PVC">#REF!</definedName>
    <definedName name="dol" localSheetId="6">#REF!</definedName>
    <definedName name="dol">#REF!</definedName>
    <definedName name="DOLAR" localSheetId="6">#REF!</definedName>
    <definedName name="DOLAR">#REF!</definedName>
    <definedName name="dqwd" localSheetId="6">#REF!</definedName>
    <definedName name="dqwd">#REF!</definedName>
    <definedName name="dtable">[9]MapData!$A$2:$B$55</definedName>
    <definedName name="dtot" localSheetId="6">#REF!</definedName>
    <definedName name="dtot">#REF!</definedName>
    <definedName name="dun" localSheetId="6">#REF!</definedName>
    <definedName name="dun">#REF!</definedName>
    <definedName name="E" localSheetId="6">#REF!</definedName>
    <definedName name="E">#REF!</definedName>
    <definedName name="e_AU_10" localSheetId="6">#REF!</definedName>
    <definedName name="e_AU_10">#REF!</definedName>
    <definedName name="e_AV_15" localSheetId="6">#REF!</definedName>
    <definedName name="e_AV_15">#REF!</definedName>
    <definedName name="e_AW_20" localSheetId="6">#REF!</definedName>
    <definedName name="e_AW_20">#REF!</definedName>
    <definedName name="e_C_10" localSheetId="6">#REF!</definedName>
    <definedName name="e_C_10">#REF!</definedName>
    <definedName name="e_C_16" localSheetId="6">#REF!</definedName>
    <definedName name="e_C_16">#REF!</definedName>
    <definedName name="e_C_4" localSheetId="6">#REF!</definedName>
    <definedName name="e_C_4">#REF!</definedName>
    <definedName name="e_C_6" localSheetId="6">#REF!</definedName>
    <definedName name="e_C_6">#REF!</definedName>
    <definedName name="e_k7" localSheetId="6">#REF!</definedName>
    <definedName name="e_k7">#REF!</definedName>
    <definedName name="e_k8" localSheetId="6">#REF!</definedName>
    <definedName name="e_k8">#REF!</definedName>
    <definedName name="e_k9" localSheetId="6">#REF!</definedName>
    <definedName name="e_k9">#REF!</definedName>
    <definedName name="edqw" localSheetId="6">#REF!</definedName>
    <definedName name="edqw">#REF!</definedName>
    <definedName name="EE" localSheetId="2" hidden="1">{"Sin detalle",#N/A,FALSE,"Flujo (redondeado)";"Detallado",#N/A,FALSE,"Flujo (redondeado)"}</definedName>
    <definedName name="EE" localSheetId="1" hidden="1">{"Sin detalle",#N/A,FALSE,"Flujo (redondeado)";"Detallado",#N/A,FALSE,"Flujo (redondeado)"}</definedName>
    <definedName name="EE" localSheetId="0" hidden="1">{"Sin detalle",#N/A,FALSE,"Flujo (redondeado)";"Detallado",#N/A,FALSE,"Flujo (redondeado)"}</definedName>
    <definedName name="EE" localSheetId="6" hidden="1">{"Sin detalle",#N/A,FALSE,"Flujo (redondeado)";"Detallado",#N/A,FALSE,"Flujo (redondeado)"}</definedName>
    <definedName name="EE" hidden="1">{"Sin detalle",#N/A,FALSE,"Flujo (redondeado)";"Detallado",#N/A,FALSE,"Flujo (redondeado)"}</definedName>
    <definedName name="eeee">'[10]PRESUP. VIVIENDA'!$A$9:$IV$10</definedName>
    <definedName name="EFwef" localSheetId="6">#REF!</definedName>
    <definedName name="EFwef">#REF!</definedName>
    <definedName name="elaboracion" localSheetId="6">#REF!</definedName>
    <definedName name="elaboracion">#REF!</definedName>
    <definedName name="EPI_DIRECTO">'[11]EPI Directo'!$G$47</definedName>
    <definedName name="EPI_INDIRECTO1" localSheetId="6">#REF!</definedName>
    <definedName name="EPI_INDIRECTO1">#REF!</definedName>
    <definedName name="EPI_INDIRECTO2" localSheetId="6">#REF!</definedName>
    <definedName name="EPI_INDIRECTO2">#REF!</definedName>
    <definedName name="EPI_SOLDADOR" localSheetId="6">#REF!</definedName>
    <definedName name="EPI_SOLDADOR">#REF!</definedName>
    <definedName name="EQUIPOS" localSheetId="6">'[12]Gastos Generales'!#REF!</definedName>
    <definedName name="EQUIPOS">'[12]Gastos Generales'!#REF!</definedName>
    <definedName name="erfer" localSheetId="6">#REF!</definedName>
    <definedName name="erfer">#REF!</definedName>
    <definedName name="ewe" localSheetId="6">#REF!</definedName>
    <definedName name="ewe">#REF!</definedName>
    <definedName name="ewwe" localSheetId="6">[2]EP_Bas1!#REF!</definedName>
    <definedName name="ewwe">[2]EP_Bas1!#REF!</definedName>
    <definedName name="Excel_BuiltIn_Database" localSheetId="6">#REF!</definedName>
    <definedName name="Excel_BuiltIn_Database">#REF!</definedName>
    <definedName name="FACGRAL" localSheetId="6">#REF!</definedName>
    <definedName name="FACGRAL">#REF!</definedName>
    <definedName name="factor" localSheetId="6">#REF!</definedName>
    <definedName name="factor">#REF!</definedName>
    <definedName name="fdf" localSheetId="6">#REF!</definedName>
    <definedName name="fdf">#REF!</definedName>
    <definedName name="FE" localSheetId="6">#REF!</definedName>
    <definedName name="FE">#REF!</definedName>
    <definedName name="fechaimp" localSheetId="6">#REF!</definedName>
    <definedName name="fechaimp">#REF!</definedName>
    <definedName name="FechaInicio">[7]Completo!$B$1</definedName>
    <definedName name="fefwef" localSheetId="6">[2]EP_Bas1!#REF!</definedName>
    <definedName name="fefwef">[2]EP_Bas1!#REF!</definedName>
    <definedName name="FFDI" localSheetId="6">#REF!</definedName>
    <definedName name="FFDI">#REF!</definedName>
    <definedName name="FFDN" localSheetId="6">#REF!</definedName>
    <definedName name="FFDN">#REF!</definedName>
    <definedName name="FFESP" localSheetId="6">#REF!</definedName>
    <definedName name="FFESP">#REF!</definedName>
    <definedName name="FFPRECIO" localSheetId="6">#REF!</definedName>
    <definedName name="FFPRECIO">#REF!</definedName>
    <definedName name="fgbfgsa" localSheetId="6">#REF!</definedName>
    <definedName name="fgbfgsa">#REF!</definedName>
    <definedName name="fh" localSheetId="6">#REF!</definedName>
    <definedName name="fh">#REF!</definedName>
    <definedName name="FN" localSheetId="6">#REF!</definedName>
    <definedName name="FN">#REF!</definedName>
    <definedName name="FNC" localSheetId="6">#REF!</definedName>
    <definedName name="FNC">#REF!</definedName>
    <definedName name="Formato" localSheetId="2" hidden="1">{"Sin detalle",#N/A,FALSE,"Flujo (redondeado)";"Detallado",#N/A,FALSE,"Flujo (redondeado)"}</definedName>
    <definedName name="Formato" localSheetId="1" hidden="1">{"Sin detalle",#N/A,FALSE,"Flujo (redondeado)";"Detallado",#N/A,FALSE,"Flujo (redondeado)"}</definedName>
    <definedName name="Formato" localSheetId="0" hidden="1">{"Sin detalle",#N/A,FALSE,"Flujo (redondeado)";"Detallado",#N/A,FALSE,"Flujo (redondeado)"}</definedName>
    <definedName name="Formato" localSheetId="6" hidden="1">{"Sin detalle",#N/A,FALSE,"Flujo (redondeado)";"Detallado",#N/A,FALSE,"Flujo (redondeado)"}</definedName>
    <definedName name="Formato" hidden="1">{"Sin detalle",#N/A,FALSE,"Flujo (redondeado)";"Detallado",#N/A,FALSE,"Flujo (redondeado)"}</definedName>
    <definedName name="formularioapu" localSheetId="6">#REF!</definedName>
    <definedName name="formularioapu">#REF!</definedName>
    <definedName name="frer" localSheetId="6">#REF!</definedName>
    <definedName name="frer">#REF!</definedName>
    <definedName name="fsdfsdf" localSheetId="6">#REF!</definedName>
    <definedName name="fsdfsdf">#REF!</definedName>
    <definedName name="fsdfsg" localSheetId="6">#REF!</definedName>
    <definedName name="fsdfsg">#REF!</definedName>
    <definedName name="G" localSheetId="6">#REF!</definedName>
    <definedName name="G">#REF!</definedName>
    <definedName name="G.G." localSheetId="6">#REF!</definedName>
    <definedName name="G.G.">#REF!</definedName>
    <definedName name="gdfgdf" localSheetId="6">#REF!</definedName>
    <definedName name="gdfgdf">#REF!</definedName>
    <definedName name="GG">"Botón de opción 6"</definedName>
    <definedName name="GGC">[6]A.P.U.!$E$58</definedName>
    <definedName name="ggg" localSheetId="2" hidden="1">{"Sin detalle",#N/A,FALSE,"Flujo (redondeado)"}</definedName>
    <definedName name="ggg" localSheetId="1" hidden="1">{"Sin detalle",#N/A,FALSE,"Flujo (redondeado)"}</definedName>
    <definedName name="ggg" localSheetId="0" hidden="1">{"Sin detalle",#N/A,FALSE,"Flujo (redondeado)"}</definedName>
    <definedName name="ggg" localSheetId="6" hidden="1">{"Sin detalle",#N/A,FALSE,"Flujo (redondeado)"}</definedName>
    <definedName name="ggg" hidden="1">{"Sin detalle",#N/A,FALSE,"Flujo (redondeado)"}</definedName>
    <definedName name="GGP">[6]A.P.U.!$E$53</definedName>
    <definedName name="ghjgh" localSheetId="6">#REF!</definedName>
    <definedName name="ghjgh">#REF!</definedName>
    <definedName name="grg" localSheetId="6">'[13]Bas_Original Segtaylor'!#REF!</definedName>
    <definedName name="grg">'[13]Bas_Original Segtaylor'!#REF!</definedName>
    <definedName name="gtfbtz" localSheetId="6">#REF!</definedName>
    <definedName name="gtfbtz">#REF!</definedName>
    <definedName name="HDDI" localSheetId="6">#REF!</definedName>
    <definedName name="HDDI">#REF!</definedName>
    <definedName name="HDDN" localSheetId="6">#REF!</definedName>
    <definedName name="HDDN">#REF!</definedName>
    <definedName name="HDESP" localSheetId="6">#REF!</definedName>
    <definedName name="HDESP">#REF!</definedName>
    <definedName name="HDPEDI" localSheetId="6">#REF!</definedName>
    <definedName name="HDPEDI">#REF!</definedName>
    <definedName name="HDPEDN" localSheetId="6">#REF!</definedName>
    <definedName name="HDPEDN">#REF!</definedName>
    <definedName name="HDPEPRECIO" localSheetId="6">#REF!</definedName>
    <definedName name="HDPEPRECIO">#REF!</definedName>
    <definedName name="HDPESP" localSheetId="6">#REF!</definedName>
    <definedName name="HDPESP">#REF!</definedName>
    <definedName name="HDPRECIO" localSheetId="6">#REF!</definedName>
    <definedName name="HDPRECIO">#REF!</definedName>
    <definedName name="HH" localSheetId="6">#REF!</definedName>
    <definedName name="HH">#REF!</definedName>
    <definedName name="HORASMES">[14]INSTRUCTIVO!$F$11</definedName>
    <definedName name="icaH100">'[3]Precios Unit'!$H$35</definedName>
    <definedName name="icpvc1032">'[3]Precios Unit'!$H$59</definedName>
    <definedName name="INGRE">#N/A</definedName>
    <definedName name="INGRE2">#N/A</definedName>
    <definedName name="INGRE3">#N/A</definedName>
    <definedName name="INGRE4">#N/A</definedName>
    <definedName name="Inversión_Actual" localSheetId="6">#REF!</definedName>
    <definedName name="Inversión_Actual">#REF!</definedName>
    <definedName name="Inversiones" localSheetId="6">#REF!</definedName>
    <definedName name="Inversiones">#REF!</definedName>
    <definedName name="ITEM1" localSheetId="6">#REF!</definedName>
    <definedName name="ITEM1">#REF!</definedName>
    <definedName name="ITEM2" localSheetId="6">#REF!</definedName>
    <definedName name="ITEM2">#REF!</definedName>
    <definedName name="ITEM3" localSheetId="6">#REF!</definedName>
    <definedName name="ITEM3">#REF!</definedName>
    <definedName name="ITEM4" localSheetId="6">#REF!</definedName>
    <definedName name="ITEM4">#REF!</definedName>
    <definedName name="ITEM5" localSheetId="6">#REF!</definedName>
    <definedName name="ITEM5">#REF!</definedName>
    <definedName name="ITEMZ" localSheetId="6">#REF!</definedName>
    <definedName name="ITEMZ">#REF!</definedName>
    <definedName name="jk" localSheetId="2" hidden="1">{#N/A,#N/A,TRUE,"LP-CO2X"}</definedName>
    <definedName name="jk" localSheetId="1" hidden="1">{#N/A,#N/A,TRUE,"LP-CO2X"}</definedName>
    <definedName name="jk" localSheetId="0" hidden="1">{#N/A,#N/A,TRUE,"LP-CO2X"}</definedName>
    <definedName name="jk" localSheetId="6" hidden="1">{#N/A,#N/A,TRUE,"LP-CO2X"}</definedName>
    <definedName name="jk" hidden="1">{#N/A,#N/A,TRUE,"LP-CO2X"}</definedName>
    <definedName name="jkljkl" localSheetId="6">#REF!</definedName>
    <definedName name="jkljkl">#REF!</definedName>
    <definedName name="k7_" localSheetId="6">#REF!</definedName>
    <definedName name="k7_">#REF!</definedName>
    <definedName name="k8_" localSheetId="6">#REF!</definedName>
    <definedName name="k8_">#REF!</definedName>
    <definedName name="k9_" localSheetId="6">#REF!</definedName>
    <definedName name="k9_">#REF!</definedName>
    <definedName name="LISTA">#N/A</definedName>
    <definedName name="LISTA0">#N/A</definedName>
    <definedName name="LISTA2">#N/A</definedName>
    <definedName name="LISTA3">#N/A</definedName>
    <definedName name="LISTA4">#N/A</definedName>
    <definedName name="LISTA5">#N/A</definedName>
    <definedName name="Listado_Equipos" localSheetId="6">#REF!</definedName>
    <definedName name="Listado_Equipos">#REF!</definedName>
    <definedName name="lo" localSheetId="6">#REF!</definedName>
    <definedName name="lo">#REF!</definedName>
    <definedName name="machan">'[3]Precios Unit'!$E$305</definedName>
    <definedName name="machap">'[3]Precios Unit'!$E$304</definedName>
    <definedName name="MACU">#N/A</definedName>
    <definedName name="mandante">'[15]0-Datos de la Obra'!$D$3</definedName>
    <definedName name="Mano_Obra" localSheetId="6">#REF!</definedName>
    <definedName name="Mano_Obra">#REF!</definedName>
    <definedName name="MANZANA" localSheetId="6">#REF!</definedName>
    <definedName name="MANZANA">#REF!</definedName>
    <definedName name="Materiales" localSheetId="6">#REF!</definedName>
    <definedName name="Materiales">#REF!</definedName>
    <definedName name="MESESOBRA">[16]INSTRUCTIVO!$F$9</definedName>
    <definedName name="MMMMMM" localSheetId="6">#REF!</definedName>
    <definedName name="MMMMMM">#REF!</definedName>
    <definedName name="MO">#N/A</definedName>
    <definedName name="Modelo" localSheetId="6">#REF!</definedName>
    <definedName name="Modelo">#REF!</definedName>
    <definedName name="Moneda" localSheetId="6">#REF!</definedName>
    <definedName name="Moneda">#REF!</definedName>
    <definedName name="MP">[8]CONFIG!$D$5</definedName>
    <definedName name="mum" localSheetId="6">#REF!</definedName>
    <definedName name="mum">#REF!</definedName>
    <definedName name="ng" localSheetId="6">#REF!</definedName>
    <definedName name="ng">#REF!</definedName>
    <definedName name="NO" localSheetId="2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NO" localSheetId="1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NO" localSheetId="0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NO" localSheetId="6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NO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Nombre" localSheetId="6">#REF!</definedName>
    <definedName name="Nombre">#REF!</definedName>
    <definedName name="nombreobra">'[15]0-Datos de la Obra'!$D$7</definedName>
    <definedName name="ntyn" localSheetId="6">#REF!</definedName>
    <definedName name="ntyn">#REF!</definedName>
    <definedName name="nuEVO" localSheetId="6">#REF!</definedName>
    <definedName name="nuEVO">#REF!</definedName>
    <definedName name="numerocontrato" localSheetId="6">#REF!</definedName>
    <definedName name="numerocontrato">#REF!</definedName>
    <definedName name="numlicitacion" localSheetId="6">#REF!</definedName>
    <definedName name="numlicitacion">#REF!</definedName>
    <definedName name="oioouiyi7" localSheetId="6">#REF!</definedName>
    <definedName name="oioouiyi7">#REF!</definedName>
    <definedName name="OLA" localSheetId="6">#REF!</definedName>
    <definedName name="OLA">#REF!</definedName>
    <definedName name="OTRO" localSheetId="6">#REF!</definedName>
    <definedName name="OTRO">#REF!</definedName>
    <definedName name="PAGO" localSheetId="6">[2]EP_Bas1!#REF!</definedName>
    <definedName name="PAGO">[2]EP_Bas1!#REF!</definedName>
    <definedName name="partidas" localSheetId="6">#REF!</definedName>
    <definedName name="partidas">#REF!</definedName>
    <definedName name="partidas_seguimiento">[17]!Tabla2[[   Entrega de terreno]]</definedName>
    <definedName name="PD">[8]CONFIG!$D$16</definedName>
    <definedName name="peag">'[3]Precios Unit'!$E$8</definedName>
    <definedName name="PF">#N/A</definedName>
    <definedName name="PIPE" localSheetId="6">#REF!</definedName>
    <definedName name="PIPE">#REF!</definedName>
    <definedName name="pipe1" localSheetId="6">#REF!</definedName>
    <definedName name="pipe1">#REF!</definedName>
    <definedName name="Plazo_obra___7_meses" localSheetId="6">'[12]Gastos Generales'!#REF!</definedName>
    <definedName name="Plazo_obra___7_meses">'[12]Gastos Generales'!#REF!</definedName>
    <definedName name="Poc.Nac" localSheetId="6">#REF!</definedName>
    <definedName name="Poc.Nac">#REF!</definedName>
    <definedName name="Por.Imp" localSheetId="6">#REF!</definedName>
    <definedName name="Por.Imp">#REF!</definedName>
    <definedName name="PP" localSheetId="6">#REF!</definedName>
    <definedName name="PP">#REF!</definedName>
    <definedName name="precio.m3" localSheetId="6">#REF!</definedName>
    <definedName name="precio.m3">#REF!</definedName>
    <definedName name="probetas" localSheetId="6">#REF!</definedName>
    <definedName name="probetas">#REF!</definedName>
    <definedName name="PVCDI" localSheetId="6">#REF!</definedName>
    <definedName name="PVCDI">#REF!</definedName>
    <definedName name="PVCDN" localSheetId="6">#REF!</definedName>
    <definedName name="PVCDN">#REF!</definedName>
    <definedName name="PVCESP" localSheetId="6">#REF!</definedName>
    <definedName name="PVCESP">#REF!</definedName>
    <definedName name="PVCPRECIO" localSheetId="6">#REF!</definedName>
    <definedName name="PVCPRECIO">#REF!</definedName>
    <definedName name="qq" localSheetId="2" hidden="1">{"Sin detalle",#N/A,FALSE,"Flujo (redondeado)";"Detallado",#N/A,FALSE,"Flujo (redondeado)"}</definedName>
    <definedName name="qq" localSheetId="1" hidden="1">{"Sin detalle",#N/A,FALSE,"Flujo (redondeado)";"Detallado",#N/A,FALSE,"Flujo (redondeado)"}</definedName>
    <definedName name="qq" localSheetId="0" hidden="1">{"Sin detalle",#N/A,FALSE,"Flujo (redondeado)";"Detallado",#N/A,FALSE,"Flujo (redondeado)"}</definedName>
    <definedName name="qq" localSheetId="6" hidden="1">{"Sin detalle",#N/A,FALSE,"Flujo (redondeado)";"Detallado",#N/A,FALSE,"Flujo (redondeado)"}</definedName>
    <definedName name="qq" hidden="1">{"Sin detalle",#N/A,FALSE,"Flujo (redondeado)";"Detallado",#N/A,FALSE,"Flujo (redondeado)"}</definedName>
    <definedName name="qwdqwd" localSheetId="6">#REF!</definedName>
    <definedName name="qwdqwd">#REF!</definedName>
    <definedName name="qwsqwsc" localSheetId="6">#REF!</definedName>
    <definedName name="qwsqwsc">#REF!</definedName>
    <definedName name="rege" localSheetId="6">#REF!</definedName>
    <definedName name="rege">#REF!</definedName>
    <definedName name="repconstructora" localSheetId="6">#REF!</definedName>
    <definedName name="repconstructora">#REF!</definedName>
    <definedName name="rrrrr" localSheetId="6">'[13]Bas_Original Segtaylor'!#REF!</definedName>
    <definedName name="rrrrr">'[13]Bas_Original Segtaylor'!#REF!</definedName>
    <definedName name="rtrt" localSheetId="6">#REF!</definedName>
    <definedName name="rtrt">#REF!</definedName>
    <definedName name="rx" localSheetId="6">#REF!</definedName>
    <definedName name="rx">#REF!</definedName>
    <definedName name="scpvc1032">'[3]Precios Unit'!$G$59</definedName>
    <definedName name="sd" localSheetId="2" hidden="1">{"Sin detalle",#N/A,FALSE,"Flujo (redondeado)";"Detallado",#N/A,FALSE,"Flujo (redondeado)"}</definedName>
    <definedName name="sd" localSheetId="1" hidden="1">{"Sin detalle",#N/A,FALSE,"Flujo (redondeado)";"Detallado",#N/A,FALSE,"Flujo (redondeado)"}</definedName>
    <definedName name="sd" localSheetId="0" hidden="1">{"Sin detalle",#N/A,FALSE,"Flujo (redondeado)";"Detallado",#N/A,FALSE,"Flujo (redondeado)"}</definedName>
    <definedName name="sd" localSheetId="6" hidden="1">{"Sin detalle",#N/A,FALSE,"Flujo (redondeado)";"Detallado",#N/A,FALSE,"Flujo (redondeado)"}</definedName>
    <definedName name="sd" hidden="1">{"Sin detalle",#N/A,FALSE,"Flujo (redondeado)";"Detallado",#N/A,FALSE,"Flujo (redondeado)"}</definedName>
    <definedName name="sdf" localSheetId="6">#REF!</definedName>
    <definedName name="sdf">#REF!</definedName>
    <definedName name="sdfbb" localSheetId="6">#REF!</definedName>
    <definedName name="sdfbb">#REF!</definedName>
    <definedName name="SDFDSF" localSheetId="6">#REF!</definedName>
    <definedName name="SDFDSF">#REF!</definedName>
    <definedName name="sdfe" localSheetId="6">#REF!</definedName>
    <definedName name="sdfe">#REF!</definedName>
    <definedName name="sdffsa" localSheetId="6">#REF!</definedName>
    <definedName name="sdffsa">#REF!</definedName>
    <definedName name="SDFSDF" localSheetId="6">#REF!</definedName>
    <definedName name="SDFSDF">#REF!</definedName>
    <definedName name="sdgsdg" localSheetId="6">[1]EP_Bas1!#REF!</definedName>
    <definedName name="sdgsdg">[1]EP_Bas1!#REF!</definedName>
    <definedName name="Sector1" localSheetId="2" hidden="1">{#N/A,#N/A,TRUE,"LP-CO2X"}</definedName>
    <definedName name="Sector1" localSheetId="1" hidden="1">{#N/A,#N/A,TRUE,"LP-CO2X"}</definedName>
    <definedName name="Sector1" localSheetId="0" hidden="1">{#N/A,#N/A,TRUE,"LP-CO2X"}</definedName>
    <definedName name="Sector1" localSheetId="6" hidden="1">{#N/A,#N/A,TRUE,"LP-CO2X"}</definedName>
    <definedName name="Sector1" hidden="1">{#N/A,#N/A,TRUE,"LP-CO2X"}</definedName>
    <definedName name="sem_control" localSheetId="6">#REF!</definedName>
    <definedName name="sem_control">#REF!</definedName>
    <definedName name="semanas">[18]Hoja2!$C$5:$E$56</definedName>
    <definedName name="SHARED_FORMULA_0">#N/A</definedName>
    <definedName name="SHARED_FORMULA_1">#N/A</definedName>
    <definedName name="SHARED_FORMULA_10">#N/A</definedName>
    <definedName name="SHARED_FORMULA_11">#N/A</definedName>
    <definedName name="SHARED_FORMULA_12">#N/A</definedName>
    <definedName name="SHARED_FORMULA_13">#N/A</definedName>
    <definedName name="SHARED_FORMULA_14">#N/A</definedName>
    <definedName name="SHARED_FORMULA_144">#N/A</definedName>
    <definedName name="SHARED_FORMULA_145">#N/A</definedName>
    <definedName name="SHARED_FORMULA_146">#N/A</definedName>
    <definedName name="SHARED_FORMULA_147">#N/A</definedName>
    <definedName name="SHARED_FORMULA_148">#N/A</definedName>
    <definedName name="SHARED_FORMULA_149">#N/A</definedName>
    <definedName name="SHARED_FORMULA_15">#N/A</definedName>
    <definedName name="SHARED_FORMULA_150">#N/A</definedName>
    <definedName name="SHARED_FORMULA_151">#N/A</definedName>
    <definedName name="SHARED_FORMULA_153">#N/A</definedName>
    <definedName name="SHARED_FORMULA_154">#N/A</definedName>
    <definedName name="SHARED_FORMULA_156">#N/A</definedName>
    <definedName name="SHARED_FORMULA_157">#N/A</definedName>
    <definedName name="SHARED_FORMULA_158">#N/A</definedName>
    <definedName name="SHARED_FORMULA_159">#N/A</definedName>
    <definedName name="SHARED_FORMULA_16">#N/A</definedName>
    <definedName name="SHARED_FORMULA_163">#N/A</definedName>
    <definedName name="SHARED_FORMULA_164">#N/A</definedName>
    <definedName name="SHARED_FORMULA_165">#N/A</definedName>
    <definedName name="SHARED_FORMULA_166">#N/A</definedName>
    <definedName name="SHARED_FORMULA_167">#N/A</definedName>
    <definedName name="SHARED_FORMULA_168">#N/A</definedName>
    <definedName name="SHARED_FORMULA_17">#N/A</definedName>
    <definedName name="SHARED_FORMULA_18">#N/A</definedName>
    <definedName name="SHARED_FORMULA_19">#N/A</definedName>
    <definedName name="SHARED_FORMULA_2">#N/A</definedName>
    <definedName name="SHARED_FORMULA_20">#N/A</definedName>
    <definedName name="SHARED_FORMULA_208">#N/A</definedName>
    <definedName name="SHARED_FORMULA_209">#N/A</definedName>
    <definedName name="SHARED_FORMULA_21">#N/A</definedName>
    <definedName name="SHARED_FORMULA_210">#N/A</definedName>
    <definedName name="SHARED_FORMULA_211">#N/A</definedName>
    <definedName name="SHARED_FORMULA_212">#N/A</definedName>
    <definedName name="SHARED_FORMULA_213">#N/A</definedName>
    <definedName name="SHARED_FORMULA_214">#N/A</definedName>
    <definedName name="SHARED_FORMULA_215">#N/A</definedName>
    <definedName name="SHARED_FORMULA_216">#N/A</definedName>
    <definedName name="SHARED_FORMULA_22">#N/A</definedName>
    <definedName name="SHARED_FORMULA_221">#N/A</definedName>
    <definedName name="SHARED_FORMULA_23">#N/A</definedName>
    <definedName name="SHARED_FORMULA_24">#N/A</definedName>
    <definedName name="SHARED_FORMULA_25">#N/A</definedName>
    <definedName name="SHARED_FORMULA_26">#N/A</definedName>
    <definedName name="SHARED_FORMULA_27">#N/A</definedName>
    <definedName name="SHARED_FORMULA_28">#N/A</definedName>
    <definedName name="SHARED_FORMULA_29">#N/A</definedName>
    <definedName name="SHARED_FORMULA_3">#N/A</definedName>
    <definedName name="SHARED_FORMULA_30">#N/A</definedName>
    <definedName name="SHARED_FORMULA_31">#N/A</definedName>
    <definedName name="SHARED_FORMULA_32">#N/A</definedName>
    <definedName name="SHARED_FORMULA_33">#N/A</definedName>
    <definedName name="SHARED_FORMULA_34">#N/A</definedName>
    <definedName name="SHARED_FORMULA_35">#N/A</definedName>
    <definedName name="SHARED_FORMULA_36">#N/A</definedName>
    <definedName name="SHARED_FORMULA_37">#N/A</definedName>
    <definedName name="SHARED_FORMULA_38">#N/A</definedName>
    <definedName name="SHARED_FORMULA_39">#N/A</definedName>
    <definedName name="SHARED_FORMULA_4">#N/A</definedName>
    <definedName name="SHARED_FORMULA_40">#N/A</definedName>
    <definedName name="SHARED_FORMULA_46">#N/A</definedName>
    <definedName name="SHARED_FORMULA_49">#N/A</definedName>
    <definedName name="SHARED_FORMULA_5">#N/A</definedName>
    <definedName name="SHARED_FORMULA_54">#N/A</definedName>
    <definedName name="SHARED_FORMULA_55">#N/A</definedName>
    <definedName name="SHARED_FORMULA_56">#N/A</definedName>
    <definedName name="SHARED_FORMULA_57">#N/A</definedName>
    <definedName name="SHARED_FORMULA_58">#N/A</definedName>
    <definedName name="SHARED_FORMULA_59">#N/A</definedName>
    <definedName name="SHARED_FORMULA_6">#N/A</definedName>
    <definedName name="SHARED_FORMULA_60">#N/A</definedName>
    <definedName name="SHARED_FORMULA_61">#N/A</definedName>
    <definedName name="SHARED_FORMULA_62">#N/A</definedName>
    <definedName name="SHARED_FORMULA_63">#N/A</definedName>
    <definedName name="SHARED_FORMULA_64">#N/A</definedName>
    <definedName name="SHARED_FORMULA_65">#N/A</definedName>
    <definedName name="SHARED_FORMULA_66">#N/A</definedName>
    <definedName name="SHARED_FORMULA_7">#N/A</definedName>
    <definedName name="SHARED_FORMULA_72">#N/A</definedName>
    <definedName name="SHARED_FORMULA_73">#N/A</definedName>
    <definedName name="SHARED_FORMULA_74">#N/A</definedName>
    <definedName name="SHARED_FORMULA_77">#N/A</definedName>
    <definedName name="SHARED_FORMULA_79">#N/A</definedName>
    <definedName name="SHARED_FORMULA_8">#N/A</definedName>
    <definedName name="SHARED_FORMULA_9">#N/A</definedName>
    <definedName name="sobreeco" localSheetId="6">#REF!</definedName>
    <definedName name="sobreeco">#REF!</definedName>
    <definedName name="ss" localSheetId="2" hidden="1">{"Sin detalle",#N/A,FALSE,"Flujo (redondeado)";"Detallado",#N/A,FALSE,"Flujo (redondeado)"}</definedName>
    <definedName name="ss" localSheetId="1" hidden="1">{"Sin detalle",#N/A,FALSE,"Flujo (redondeado)";"Detallado",#N/A,FALSE,"Flujo (redondeado)"}</definedName>
    <definedName name="ss" localSheetId="0" hidden="1">{"Sin detalle",#N/A,FALSE,"Flujo (redondeado)";"Detallado",#N/A,FALSE,"Flujo (redondeado)"}</definedName>
    <definedName name="ss" localSheetId="6" hidden="1">{"Sin detalle",#N/A,FALSE,"Flujo (redondeado)";"Detallado",#N/A,FALSE,"Flujo (redondeado)"}</definedName>
    <definedName name="ss" hidden="1">{"Sin detalle",#N/A,FALSE,"Flujo (redondeado)";"Detallado",#N/A,FALSE,"Flujo (redondeado)"}</definedName>
    <definedName name="sxaw" localSheetId="6">#REF!</definedName>
    <definedName name="sxaw">#REF!</definedName>
    <definedName name="Tasa_cambio" localSheetId="6">#REF!</definedName>
    <definedName name="Tasa_cambio">#REF!</definedName>
    <definedName name="TC">[8]CONFIG!$D$7</definedName>
    <definedName name="tiposdehormigon" localSheetId="6">#REF!</definedName>
    <definedName name="tiposdehormigon">#REF!</definedName>
    <definedName name="_xlnm.Print_Titles">#N/A</definedName>
    <definedName name="Títulos_a_imprimir_IM" localSheetId="6">#REF!</definedName>
    <definedName name="Títulos_a_imprimir_IM">#REF!</definedName>
    <definedName name="tj" localSheetId="6">#REF!</definedName>
    <definedName name="tj">#REF!</definedName>
    <definedName name="tm">'[3]Precios Unit'!$E$6</definedName>
    <definedName name="tnyn" localSheetId="6">#REF!</definedName>
    <definedName name="tnyn">#REF!</definedName>
    <definedName name="transporte" localSheetId="6">#REF!</definedName>
    <definedName name="transporte">#REF!</definedName>
    <definedName name="trtb" localSheetId="6">#REF!</definedName>
    <definedName name="trtb">#REF!</definedName>
    <definedName name="TURNO">[19]CPU!$E$7</definedName>
    <definedName name="tyhe" localSheetId="6">#REF!</definedName>
    <definedName name="tyhe">#REF!</definedName>
    <definedName name="tytd" localSheetId="6">#REF!</definedName>
    <definedName name="tytd">#REF!</definedName>
    <definedName name="UF" localSheetId="2">'[20]Res. Gral'!$G$8</definedName>
    <definedName name="UF" localSheetId="6">#REF!</definedName>
    <definedName name="UF">#REF!</definedName>
    <definedName name="UGIGIG" localSheetId="6">#REF!</definedName>
    <definedName name="UGIGIG">#REF!</definedName>
    <definedName name="ui" localSheetId="6">#REF!</definedName>
    <definedName name="ui">#REF!</definedName>
    <definedName name="uik" localSheetId="6">#REF!</definedName>
    <definedName name="uik">#REF!</definedName>
    <definedName name="uiui" localSheetId="6">[1]EP_Bas1!#REF!</definedName>
    <definedName name="uiui">[1]EP_Bas1!#REF!</definedName>
    <definedName name="us" localSheetId="6">#REF!</definedName>
    <definedName name="us">#REF!</definedName>
    <definedName name="UTC">[6]A.P.U.!$E$59</definedName>
    <definedName name="Utilidad" localSheetId="6">#REF!</definedName>
    <definedName name="Utilidad">#REF!</definedName>
    <definedName name="UTP">[6]A.P.U.!$F$53</definedName>
    <definedName name="V" localSheetId="6">'[13]Bas_Original Segtaylor'!#REF!</definedName>
    <definedName name="V">'[13]Bas_Original Segtaylor'!#REF!</definedName>
    <definedName name="Valor_U.F.">'[21]Resumen General'!$H$12</definedName>
    <definedName name="Variables" localSheetId="6">#REF!</definedName>
    <definedName name="Variables">#REF!</definedName>
    <definedName name="varList">[9]Control!$A$1:$A$3</definedName>
    <definedName name="vDiastólica" localSheetId="6">#REF!</definedName>
    <definedName name="vDiastólica">#REF!</definedName>
    <definedName name="vFechaHora" localSheetId="6">#REF!</definedName>
    <definedName name="vFechaHora">#REF!</definedName>
    <definedName name="vmoneda" localSheetId="6">#REF!</definedName>
    <definedName name="vmoneda">#REF!</definedName>
    <definedName name="vRitmo" localSheetId="6">#REF!</definedName>
    <definedName name="vRitmo">#REF!</definedName>
    <definedName name="vrver" localSheetId="6">#REF!</definedName>
    <definedName name="vrver">#REF!</definedName>
    <definedName name="vSistólica" localSheetId="6">#REF!</definedName>
    <definedName name="vSistólica">#REF!</definedName>
    <definedName name="VV" localSheetId="2" hidden="1">{"Sin detalle",#N/A,FALSE,"Flujo (redondeado)";"Detallado",#N/A,FALSE,"Flujo (redondeado)"}</definedName>
    <definedName name="VV" localSheetId="1" hidden="1">{"Sin detalle",#N/A,FALSE,"Flujo (redondeado)";"Detallado",#N/A,FALSE,"Flujo (redondeado)"}</definedName>
    <definedName name="VV" localSheetId="0" hidden="1">{"Sin detalle",#N/A,FALSE,"Flujo (redondeado)";"Detallado",#N/A,FALSE,"Flujo (redondeado)"}</definedName>
    <definedName name="VV" localSheetId="6" hidden="1">{"Sin detalle",#N/A,FALSE,"Flujo (redondeado)";"Detallado",#N/A,FALSE,"Flujo (redondeado)"}</definedName>
    <definedName name="VV" hidden="1">{"Sin detalle",#N/A,FALSE,"Flujo (redondeado)";"Detallado",#N/A,FALSE,"Flujo (redondeado)"}</definedName>
    <definedName name="w2w" localSheetId="6">#REF!</definedName>
    <definedName name="w2w">#REF!</definedName>
    <definedName name="wdwe" localSheetId="6">#REF!</definedName>
    <definedName name="wdwe">#REF!</definedName>
    <definedName name="wefwef" localSheetId="6">#REF!</definedName>
    <definedName name="wefwef">#REF!</definedName>
    <definedName name="wq" localSheetId="2" hidden="1">{"Sin detalle",#N/A,FALSE,"Flujo (redondeado)";"Detallado",#N/A,FALSE,"Flujo (redondeado)"}</definedName>
    <definedName name="wq" localSheetId="1" hidden="1">{"Sin detalle",#N/A,FALSE,"Flujo (redondeado)";"Detallado",#N/A,FALSE,"Flujo (redondeado)"}</definedName>
    <definedName name="wq" localSheetId="0" hidden="1">{"Sin detalle",#N/A,FALSE,"Flujo (redondeado)";"Detallado",#N/A,FALSE,"Flujo (redondeado)"}</definedName>
    <definedName name="wq" localSheetId="6" hidden="1">{"Sin detalle",#N/A,FALSE,"Flujo (redondeado)";"Detallado",#N/A,FALSE,"Flujo (redondeado)"}</definedName>
    <definedName name="wq" hidden="1">{"Sin detalle",#N/A,FALSE,"Flujo (redondeado)";"Detallado",#N/A,FALSE,"Flujo (redondeado)"}</definedName>
    <definedName name="wrn.All._.Equipment." localSheetId="2" hidden="1">{#N/A,#N/A,TRUE,"LP-CO2X"}</definedName>
    <definedName name="wrn.All._.Equipment." localSheetId="1" hidden="1">{#N/A,#N/A,TRUE,"LP-CO2X"}</definedName>
    <definedName name="wrn.All._.Equipment." localSheetId="0" hidden="1">{#N/A,#N/A,TRUE,"LP-CO2X"}</definedName>
    <definedName name="wrn.All._.Equipment." localSheetId="6" hidden="1">{#N/A,#N/A,TRUE,"LP-CO2X"}</definedName>
    <definedName name="wrn.All._.Equipment." hidden="1">{#N/A,#N/A,TRUE,"LP-CO2X"}</definedName>
    <definedName name="wrn.Completo." localSheetId="2" hidden="1">{"Sin detalle",#N/A,FALSE,"Flujo (redondeado)";"Detallado",#N/A,FALSE,"Flujo (redondeado)"}</definedName>
    <definedName name="wrn.Completo." localSheetId="1" hidden="1">{"Sin detalle",#N/A,FALSE,"Flujo (redondeado)";"Detallado",#N/A,FALSE,"Flujo (redondeado)"}</definedName>
    <definedName name="wrn.Completo." localSheetId="0" hidden="1">{"Sin detalle",#N/A,FALSE,"Flujo (redondeado)";"Detallado",#N/A,FALSE,"Flujo (redondeado)"}</definedName>
    <definedName name="wrn.Completo." localSheetId="6" hidden="1">{"Sin detalle",#N/A,FALSE,"Flujo (redondeado)";"Detallado",#N/A,FALSE,"Flujo (redondeado)"}</definedName>
    <definedName name="wrn.Completo." hidden="1">{"Sin detalle",#N/A,FALSE,"Flujo (redondeado)";"Detallado",#N/A,FALSE,"Flujo (redondeado)"}</definedName>
    <definedName name="wrn.INFORMETEC." localSheetId="2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wrn.INFORMETEC." localSheetId="1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wrn.INFORMETEC." localSheetId="0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wrn.INFORMETEC." localSheetId="6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wrn.INFORMETEC." hidden="1">{#N/A,#N/A,FALSE,"TEC-01";#N/A,#N/A,FALSE,"TEC - 02";#N/A,#N/A,FALSE,"TEC - 03";#N/A,#N/A,FALSE,"TEC - 04";#N/A,#N/A,FALSE,"TEC-07";#N/A,#N/A,FALSE,"TEC-08";#N/A,#N/A,FALSE,"TEC - 09A";#N/A,#N/A,FALSE,"TEC - 09B";#N/A,#N/A,FALSE,"TEC - 09C";#N/A,#N/A,FALSE,"TEC - 10";#N/A,#N/A,FALSE,"TEC-11"}</definedName>
    <definedName name="wrn.Una._.Hoja." localSheetId="2" hidden="1">{"Sin detalle",#N/A,FALSE,"Flujo (redondeado)"}</definedName>
    <definedName name="wrn.Una._.Hoja." localSheetId="1" hidden="1">{"Sin detalle",#N/A,FALSE,"Flujo (redondeado)"}</definedName>
    <definedName name="wrn.Una._.Hoja." localSheetId="0" hidden="1">{"Sin detalle",#N/A,FALSE,"Flujo (redondeado)"}</definedName>
    <definedName name="wrn.Una._.Hoja." localSheetId="6" hidden="1">{"Sin detalle",#N/A,FALSE,"Flujo (redondeado)"}</definedName>
    <definedName name="wrn.Una._.Hoja." hidden="1">{"Sin detalle",#N/A,FALSE,"Flujo (redondeado)"}</definedName>
    <definedName name="wwww" localSheetId="6">#REF!</definedName>
    <definedName name="wwww">#REF!</definedName>
    <definedName name="wwwww" localSheetId="2" hidden="1">{"Sin detalle",#N/A,FALSE,"Flujo (redondeado)";"Detallado",#N/A,FALSE,"Flujo (redondeado)"}</definedName>
    <definedName name="wwwww" localSheetId="1" hidden="1">{"Sin detalle",#N/A,FALSE,"Flujo (redondeado)";"Detallado",#N/A,FALSE,"Flujo (redondeado)"}</definedName>
    <definedName name="wwwww" localSheetId="0" hidden="1">{"Sin detalle",#N/A,FALSE,"Flujo (redondeado)";"Detallado",#N/A,FALSE,"Flujo (redondeado)"}</definedName>
    <definedName name="wwwww" localSheetId="6" hidden="1">{"Sin detalle",#N/A,FALSE,"Flujo (redondeado)";"Detallado",#N/A,FALSE,"Flujo (redondeado)"}</definedName>
    <definedName name="wwwww" hidden="1">{"Sin detalle",#N/A,FALSE,"Flujo (redondeado)";"Detallado",#N/A,FALSE,"Flujo (redondeado)"}</definedName>
    <definedName name="X" localSheetId="6">'[13]Bas_Original Segtaylor'!#REF!</definedName>
    <definedName name="X">'[13]Bas_Original Segtaylor'!#REF!</definedName>
    <definedName name="xfdgr" localSheetId="6">#REF!</definedName>
    <definedName name="xfdgr">#REF!</definedName>
    <definedName name="xqw" localSheetId="6">#REF!</definedName>
    <definedName name="xqw">#REF!</definedName>
    <definedName name="XXXXXX" localSheetId="6">#REF!</definedName>
    <definedName name="XXXXXX">#REF!</definedName>
    <definedName name="Y" localSheetId="6">#REF!</definedName>
    <definedName name="Y">#REF!</definedName>
    <definedName name="ytut" localSheetId="6">#REF!</definedName>
    <definedName name="ytut">#REF!</definedName>
    <definedName name="yui" localSheetId="6">#REF!</definedName>
    <definedName name="yui">#REF!</definedName>
    <definedName name="Z" localSheetId="6">#REF!</definedName>
    <definedName name="Z">#REF!</definedName>
    <definedName name="zcx" localSheetId="6">[1]EP_Bas1!#REF!</definedName>
    <definedName name="zcx">[1]EP_Bas1!#REF!</definedName>
    <definedName name="ZD" localSheetId="2" hidden="1">{"Sin detalle",#N/A,FALSE,"Flujo (redondeado)";"Detallado",#N/A,FALSE,"Flujo (redondeado)"}</definedName>
    <definedName name="ZD" localSheetId="1" hidden="1">{"Sin detalle",#N/A,FALSE,"Flujo (redondeado)";"Detallado",#N/A,FALSE,"Flujo (redondeado)"}</definedName>
    <definedName name="ZD" localSheetId="0" hidden="1">{"Sin detalle",#N/A,FALSE,"Flujo (redondeado)";"Detallado",#N/A,FALSE,"Flujo (redondeado)"}</definedName>
    <definedName name="ZD" localSheetId="6" hidden="1">{"Sin detalle",#N/A,FALSE,"Flujo (redondeado)";"Detallado",#N/A,FALSE,"Flujo (redondeado)"}</definedName>
    <definedName name="ZD" hidden="1">{"Sin detalle",#N/A,FALSE,"Flujo (redondeado)";"Detallado",#N/A,FALSE,"Flujo (redondeado)"}</definedName>
    <definedName name="zdssd" localSheetId="6">#REF!</definedName>
    <definedName name="zdssd">#REF!</definedName>
    <definedName name="zxcxc" localSheetId="6">[1]EP_Bas1!#REF!</definedName>
    <definedName name="zxcxc">[1]EP_Bas1!#REF!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9" l="1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108" i="29"/>
  <c r="F109" i="29"/>
  <c r="F110" i="29"/>
  <c r="F111" i="29"/>
  <c r="F112" i="29"/>
  <c r="F113" i="29"/>
  <c r="F114" i="29"/>
  <c r="F115" i="29"/>
  <c r="F116" i="29"/>
  <c r="F117" i="29"/>
  <c r="F118" i="29"/>
  <c r="F119" i="29"/>
  <c r="F120" i="29"/>
  <c r="F121" i="29"/>
  <c r="F122" i="29"/>
  <c r="F123" i="29"/>
  <c r="F124" i="29"/>
  <c r="F125" i="29"/>
  <c r="F126" i="29"/>
  <c r="F127" i="29"/>
  <c r="F128" i="29"/>
  <c r="F129" i="29"/>
  <c r="F130" i="29"/>
  <c r="F131" i="29"/>
  <c r="F132" i="29"/>
  <c r="F133" i="29"/>
  <c r="F134" i="29"/>
  <c r="F135" i="29"/>
  <c r="F136" i="29"/>
  <c r="F137" i="29"/>
  <c r="F138" i="29"/>
  <c r="F139" i="29"/>
  <c r="F140" i="29"/>
  <c r="F141" i="29"/>
  <c r="F142" i="29"/>
  <c r="F143" i="29"/>
  <c r="F144" i="29"/>
  <c r="F145" i="29"/>
  <c r="F146" i="29"/>
  <c r="F147" i="29"/>
  <c r="F148" i="29"/>
  <c r="F149" i="29"/>
  <c r="F150" i="29"/>
  <c r="F151" i="29"/>
  <c r="F152" i="29"/>
  <c r="F153" i="29"/>
  <c r="F154" i="29"/>
  <c r="F155" i="29"/>
  <c r="F156" i="29"/>
  <c r="F157" i="29"/>
  <c r="F158" i="29"/>
  <c r="F159" i="29"/>
  <c r="F160" i="29"/>
  <c r="F161" i="29"/>
  <c r="F162" i="29"/>
  <c r="F163" i="29"/>
  <c r="F164" i="29"/>
  <c r="F165" i="29"/>
  <c r="F166" i="29"/>
  <c r="F167" i="29"/>
  <c r="F168" i="29"/>
  <c r="F169" i="29"/>
  <c r="F170" i="29"/>
  <c r="F171" i="29"/>
  <c r="F172" i="29"/>
  <c r="F7" i="29"/>
  <c r="A1" i="65" l="1"/>
  <c r="C121" i="61" l="1"/>
  <c r="CV121" i="37"/>
  <c r="C115" i="65"/>
  <c r="C168" i="65" l="1"/>
  <c r="C167" i="65"/>
  <c r="C166" i="65"/>
  <c r="C165" i="65"/>
  <c r="C164" i="65"/>
  <c r="C163" i="65"/>
  <c r="C162" i="65"/>
  <c r="C161" i="65"/>
  <c r="C160" i="65"/>
  <c r="C159" i="65"/>
  <c r="C158" i="65"/>
  <c r="C157" i="65"/>
  <c r="C156" i="65"/>
  <c r="C155" i="65"/>
  <c r="C154" i="65"/>
  <c r="C153" i="65"/>
  <c r="C152" i="65"/>
  <c r="C151" i="65"/>
  <c r="C150" i="65"/>
  <c r="C149" i="65"/>
  <c r="C148" i="65"/>
  <c r="C147" i="65"/>
  <c r="C146" i="65"/>
  <c r="C145" i="65"/>
  <c r="C144" i="65"/>
  <c r="C143" i="65"/>
  <c r="C142" i="65"/>
  <c r="C141" i="65"/>
  <c r="C140" i="65"/>
  <c r="C139" i="65"/>
  <c r="C138" i="65"/>
  <c r="C137" i="65"/>
  <c r="C136" i="65"/>
  <c r="C135" i="65"/>
  <c r="C134" i="65"/>
  <c r="C133" i="65"/>
  <c r="C132" i="65"/>
  <c r="C131" i="65"/>
  <c r="C130" i="65"/>
  <c r="C129" i="65"/>
  <c r="C128" i="65"/>
  <c r="C127" i="65"/>
  <c r="C126" i="65"/>
  <c r="C125" i="65"/>
  <c r="C124" i="65"/>
  <c r="C123" i="65"/>
  <c r="C122" i="65"/>
  <c r="C121" i="65"/>
  <c r="C120" i="65"/>
  <c r="C119" i="65"/>
  <c r="C118" i="65"/>
  <c r="C117" i="65"/>
  <c r="C116" i="65"/>
  <c r="C114" i="65"/>
  <c r="C113" i="65"/>
  <c r="C112" i="65"/>
  <c r="C111" i="65"/>
  <c r="C110" i="65"/>
  <c r="C109" i="65"/>
  <c r="C108" i="65"/>
  <c r="C107" i="65"/>
  <c r="C106" i="65"/>
  <c r="C105" i="65"/>
  <c r="C104" i="65"/>
  <c r="C103" i="65"/>
  <c r="C102" i="65"/>
  <c r="C101" i="65"/>
  <c r="C100" i="65"/>
  <c r="C99" i="65"/>
  <c r="C98" i="65"/>
  <c r="C97" i="65"/>
  <c r="C96" i="65"/>
  <c r="C95" i="65"/>
  <c r="C94" i="65"/>
  <c r="C93" i="65"/>
  <c r="C92" i="65"/>
  <c r="C91" i="65"/>
  <c r="C90" i="65"/>
  <c r="C89" i="65"/>
  <c r="C88" i="65"/>
  <c r="C87" i="65"/>
  <c r="C86" i="65"/>
  <c r="C85" i="65"/>
  <c r="C84" i="65"/>
  <c r="C83" i="65"/>
  <c r="C82" i="65"/>
  <c r="C81" i="65"/>
  <c r="C80" i="65"/>
  <c r="C79" i="65"/>
  <c r="C78" i="65"/>
  <c r="C77" i="65"/>
  <c r="C76" i="65"/>
  <c r="C75" i="65"/>
  <c r="C74" i="65"/>
  <c r="C73" i="65"/>
  <c r="C72" i="65"/>
  <c r="C71" i="65"/>
  <c r="C70" i="65"/>
  <c r="C69" i="65"/>
  <c r="C68" i="65"/>
  <c r="C67" i="65"/>
  <c r="C66" i="65"/>
  <c r="C65" i="65"/>
  <c r="C64" i="65"/>
  <c r="C63" i="65"/>
  <c r="C62" i="65"/>
  <c r="C61" i="65"/>
  <c r="C60" i="65"/>
  <c r="C59" i="65"/>
  <c r="C58" i="65"/>
  <c r="C57" i="65"/>
  <c r="C56" i="65"/>
  <c r="C55" i="65"/>
  <c r="C54" i="65"/>
  <c r="C53" i="65"/>
  <c r="C52" i="65"/>
  <c r="C51" i="65"/>
  <c r="C50" i="65"/>
  <c r="C49" i="65"/>
  <c r="C48" i="65"/>
  <c r="C47" i="65"/>
  <c r="C46" i="65"/>
  <c r="C45" i="65"/>
  <c r="C44" i="65"/>
  <c r="C43" i="65"/>
  <c r="C42" i="65"/>
  <c r="C41" i="65"/>
  <c r="C40" i="65"/>
  <c r="C39" i="65"/>
  <c r="C38" i="65"/>
  <c r="C37" i="65"/>
  <c r="C36" i="65"/>
  <c r="C35" i="65"/>
  <c r="C34" i="65"/>
  <c r="C33" i="65"/>
  <c r="C32" i="65"/>
  <c r="C31" i="65"/>
  <c r="C30" i="65"/>
  <c r="C29" i="65"/>
  <c r="C28" i="65"/>
  <c r="C27" i="65"/>
  <c r="C26" i="65"/>
  <c r="C25" i="65"/>
  <c r="C24" i="65"/>
  <c r="C23" i="65"/>
  <c r="C22" i="65"/>
  <c r="C21" i="65"/>
  <c r="C20" i="65"/>
  <c r="C19" i="65"/>
  <c r="C18" i="65"/>
  <c r="C17" i="65"/>
  <c r="C16" i="65"/>
  <c r="C15" i="65"/>
  <c r="C14" i="65"/>
  <c r="C13" i="65"/>
  <c r="C12" i="65"/>
  <c r="C11" i="65"/>
  <c r="C10" i="65"/>
  <c r="C9" i="65"/>
  <c r="C8" i="65"/>
  <c r="C7" i="65"/>
  <c r="C6" i="65"/>
  <c r="C5" i="65"/>
  <c r="C4" i="65" l="1"/>
  <c r="B168" i="65"/>
  <c r="A168" i="65"/>
  <c r="B167" i="65"/>
  <c r="A167" i="65"/>
  <c r="B166" i="65"/>
  <c r="A166" i="65"/>
  <c r="B165" i="65"/>
  <c r="A165" i="65"/>
  <c r="B164" i="65"/>
  <c r="A164" i="65"/>
  <c r="B163" i="65"/>
  <c r="A163" i="65"/>
  <c r="B162" i="65"/>
  <c r="A162" i="65"/>
  <c r="B161" i="65"/>
  <c r="A161" i="65"/>
  <c r="B160" i="65"/>
  <c r="A160" i="65"/>
  <c r="B159" i="65"/>
  <c r="A159" i="65"/>
  <c r="B158" i="65"/>
  <c r="A158" i="65"/>
  <c r="B157" i="65"/>
  <c r="A157" i="65"/>
  <c r="B156" i="65"/>
  <c r="A156" i="65"/>
  <c r="B155" i="65"/>
  <c r="A155" i="65"/>
  <c r="B154" i="65"/>
  <c r="A154" i="65"/>
  <c r="B153" i="65"/>
  <c r="A153" i="65"/>
  <c r="B152" i="65"/>
  <c r="A152" i="65"/>
  <c r="B151" i="65"/>
  <c r="A151" i="65"/>
  <c r="B150" i="65"/>
  <c r="A150" i="65"/>
  <c r="B149" i="65"/>
  <c r="A149" i="65"/>
  <c r="B148" i="65"/>
  <c r="A148" i="65"/>
  <c r="B147" i="65"/>
  <c r="A147" i="65"/>
  <c r="B146" i="65"/>
  <c r="A146" i="65"/>
  <c r="B145" i="65"/>
  <c r="A145" i="65"/>
  <c r="B144" i="65"/>
  <c r="A144" i="65"/>
  <c r="B143" i="65"/>
  <c r="A143" i="65"/>
  <c r="B142" i="65"/>
  <c r="A142" i="65"/>
  <c r="B141" i="65"/>
  <c r="A141" i="65"/>
  <c r="B140" i="65"/>
  <c r="A140" i="65"/>
  <c r="B139" i="65"/>
  <c r="A139" i="65"/>
  <c r="B138" i="65"/>
  <c r="A138" i="65"/>
  <c r="B137" i="65"/>
  <c r="A137" i="65"/>
  <c r="B136" i="65"/>
  <c r="A136" i="65"/>
  <c r="B135" i="65"/>
  <c r="A135" i="65"/>
  <c r="B134" i="65"/>
  <c r="A134" i="65"/>
  <c r="B133" i="65"/>
  <c r="A133" i="65"/>
  <c r="B132" i="65"/>
  <c r="A132" i="65"/>
  <c r="B131" i="65"/>
  <c r="A131" i="65"/>
  <c r="B130" i="65"/>
  <c r="A130" i="65"/>
  <c r="B129" i="65"/>
  <c r="A129" i="65"/>
  <c r="B128" i="65"/>
  <c r="A128" i="65"/>
  <c r="B127" i="65"/>
  <c r="A127" i="65"/>
  <c r="B126" i="65"/>
  <c r="A126" i="65"/>
  <c r="B125" i="65"/>
  <c r="A125" i="65"/>
  <c r="B124" i="65"/>
  <c r="A124" i="65"/>
  <c r="B123" i="65"/>
  <c r="A123" i="65"/>
  <c r="B122" i="65"/>
  <c r="A122" i="65"/>
  <c r="B121" i="65"/>
  <c r="A121" i="65"/>
  <c r="B120" i="65"/>
  <c r="A120" i="65"/>
  <c r="B119" i="65"/>
  <c r="A119" i="65"/>
  <c r="B118" i="65"/>
  <c r="A118" i="65"/>
  <c r="B117" i="65"/>
  <c r="A117" i="65"/>
  <c r="B116" i="65"/>
  <c r="A116" i="65"/>
  <c r="B115" i="65"/>
  <c r="A115" i="65"/>
  <c r="B114" i="65"/>
  <c r="A114" i="65"/>
  <c r="B113" i="65"/>
  <c r="A113" i="65"/>
  <c r="B112" i="65"/>
  <c r="A112" i="65"/>
  <c r="B111" i="65"/>
  <c r="A111" i="65"/>
  <c r="B110" i="65"/>
  <c r="A110" i="65"/>
  <c r="B109" i="65"/>
  <c r="A109" i="65"/>
  <c r="B108" i="65"/>
  <c r="A108" i="65"/>
  <c r="B107" i="65"/>
  <c r="A107" i="65"/>
  <c r="B106" i="65"/>
  <c r="A106" i="65"/>
  <c r="B105" i="65"/>
  <c r="A105" i="65"/>
  <c r="B104" i="65"/>
  <c r="A104" i="65"/>
  <c r="B103" i="65"/>
  <c r="A103" i="65"/>
  <c r="B102" i="65"/>
  <c r="A102" i="65"/>
  <c r="B101" i="65"/>
  <c r="A101" i="65"/>
  <c r="B100" i="65"/>
  <c r="A100" i="65"/>
  <c r="B99" i="65"/>
  <c r="A99" i="65"/>
  <c r="B98" i="65"/>
  <c r="A98" i="65"/>
  <c r="B97" i="65"/>
  <c r="A97" i="65"/>
  <c r="B96" i="65"/>
  <c r="A96" i="65"/>
  <c r="B95" i="65"/>
  <c r="A95" i="65"/>
  <c r="B94" i="65"/>
  <c r="A94" i="65"/>
  <c r="B93" i="65"/>
  <c r="A93" i="65"/>
  <c r="B92" i="65"/>
  <c r="A92" i="65"/>
  <c r="B91" i="65"/>
  <c r="A91" i="65"/>
  <c r="B90" i="65"/>
  <c r="A90" i="65"/>
  <c r="B89" i="65"/>
  <c r="A89" i="65"/>
  <c r="B88" i="65"/>
  <c r="A88" i="65"/>
  <c r="B87" i="65"/>
  <c r="A87" i="65"/>
  <c r="B86" i="65"/>
  <c r="A86" i="65"/>
  <c r="B85" i="65"/>
  <c r="A85" i="65"/>
  <c r="B84" i="65"/>
  <c r="A84" i="65"/>
  <c r="B83" i="65"/>
  <c r="A83" i="65"/>
  <c r="B82" i="65"/>
  <c r="A82" i="65"/>
  <c r="B81" i="65"/>
  <c r="A81" i="65"/>
  <c r="B80" i="65"/>
  <c r="A80" i="65"/>
  <c r="B79" i="65"/>
  <c r="A79" i="65"/>
  <c r="B78" i="65"/>
  <c r="A78" i="65"/>
  <c r="B77" i="65"/>
  <c r="A77" i="65"/>
  <c r="B76" i="65"/>
  <c r="A76" i="65"/>
  <c r="B75" i="65"/>
  <c r="A75" i="65"/>
  <c r="B74" i="65"/>
  <c r="A74" i="65"/>
  <c r="B73" i="65"/>
  <c r="A73" i="65"/>
  <c r="B72" i="65"/>
  <c r="A72" i="65"/>
  <c r="B71" i="65"/>
  <c r="A71" i="65"/>
  <c r="B70" i="65"/>
  <c r="A70" i="65"/>
  <c r="B69" i="65"/>
  <c r="A69" i="65"/>
  <c r="B68" i="65"/>
  <c r="A68" i="65"/>
  <c r="B67" i="65"/>
  <c r="A67" i="65"/>
  <c r="B66" i="65"/>
  <c r="A66" i="65"/>
  <c r="B65" i="65"/>
  <c r="A65" i="65"/>
  <c r="B64" i="65"/>
  <c r="A64" i="65"/>
  <c r="B63" i="65"/>
  <c r="A63" i="65"/>
  <c r="B62" i="65"/>
  <c r="A62" i="65"/>
  <c r="B61" i="65"/>
  <c r="A61" i="65"/>
  <c r="B60" i="65"/>
  <c r="A60" i="65"/>
  <c r="B59" i="65"/>
  <c r="A59" i="65"/>
  <c r="B58" i="65"/>
  <c r="A58" i="65"/>
  <c r="B57" i="65"/>
  <c r="A57" i="65"/>
  <c r="B56" i="65"/>
  <c r="A56" i="65"/>
  <c r="B55" i="65"/>
  <c r="A55" i="65"/>
  <c r="B54" i="65"/>
  <c r="A54" i="65"/>
  <c r="B53" i="65"/>
  <c r="A53" i="65"/>
  <c r="B52" i="65"/>
  <c r="A52" i="65"/>
  <c r="B51" i="65"/>
  <c r="A51" i="65"/>
  <c r="B50" i="65"/>
  <c r="A50" i="65"/>
  <c r="B49" i="65"/>
  <c r="A49" i="65"/>
  <c r="B48" i="65"/>
  <c r="A48" i="65"/>
  <c r="B47" i="65"/>
  <c r="A47" i="65"/>
  <c r="B46" i="65"/>
  <c r="A46" i="65"/>
  <c r="B45" i="65"/>
  <c r="A45" i="65"/>
  <c r="B44" i="65"/>
  <c r="A44" i="65"/>
  <c r="B43" i="65"/>
  <c r="A43" i="65"/>
  <c r="B42" i="65"/>
  <c r="A42" i="65"/>
  <c r="B41" i="65"/>
  <c r="A41" i="65"/>
  <c r="B40" i="65"/>
  <c r="A40" i="65"/>
  <c r="B39" i="65"/>
  <c r="A39" i="65"/>
  <c r="B38" i="65"/>
  <c r="A38" i="65"/>
  <c r="B37" i="65"/>
  <c r="A37" i="65"/>
  <c r="B36" i="65"/>
  <c r="A36" i="65"/>
  <c r="B35" i="65"/>
  <c r="A35" i="65"/>
  <c r="B34" i="65"/>
  <c r="A34" i="65"/>
  <c r="B33" i="65"/>
  <c r="A33" i="65"/>
  <c r="B32" i="65"/>
  <c r="A32" i="65"/>
  <c r="B31" i="65"/>
  <c r="A31" i="65"/>
  <c r="B30" i="65"/>
  <c r="A30" i="65"/>
  <c r="B29" i="65"/>
  <c r="A29" i="65"/>
  <c r="B28" i="65"/>
  <c r="A28" i="65"/>
  <c r="B27" i="65"/>
  <c r="A27" i="65"/>
  <c r="B26" i="65"/>
  <c r="A26" i="65"/>
  <c r="B25" i="65"/>
  <c r="A25" i="65"/>
  <c r="B24" i="65"/>
  <c r="A24" i="65"/>
  <c r="B23" i="65"/>
  <c r="A23" i="65"/>
  <c r="B22" i="65"/>
  <c r="A22" i="65"/>
  <c r="B21" i="65"/>
  <c r="A21" i="65"/>
  <c r="B20" i="65"/>
  <c r="A20" i="65"/>
  <c r="B19" i="65"/>
  <c r="A19" i="65"/>
  <c r="B18" i="65"/>
  <c r="A18" i="65"/>
  <c r="B17" i="65"/>
  <c r="A17" i="65"/>
  <c r="B16" i="65"/>
  <c r="A16" i="65"/>
  <c r="B15" i="65"/>
  <c r="A15" i="65"/>
  <c r="B14" i="65"/>
  <c r="A14" i="65"/>
  <c r="B13" i="65"/>
  <c r="A13" i="65"/>
  <c r="B12" i="65"/>
  <c r="A12" i="65"/>
  <c r="B11" i="65"/>
  <c r="A11" i="65"/>
  <c r="B10" i="65"/>
  <c r="A10" i="65"/>
  <c r="B9" i="65"/>
  <c r="A9" i="65"/>
  <c r="B8" i="65"/>
  <c r="A8" i="65"/>
  <c r="B7" i="65"/>
  <c r="A7" i="65"/>
  <c r="B6" i="65"/>
  <c r="A6" i="65"/>
  <c r="B5" i="65"/>
  <c r="A5" i="65"/>
  <c r="B4" i="65"/>
  <c r="A4" i="65"/>
  <c r="H3" i="65" l="1"/>
  <c r="G2" i="65"/>
  <c r="I3" i="65" l="1"/>
  <c r="H2" i="65"/>
  <c r="J3" i="65" l="1"/>
  <c r="I2" i="65"/>
  <c r="J2" i="65" l="1"/>
  <c r="K3" i="65"/>
  <c r="K2" i="65" l="1"/>
  <c r="L3" i="65"/>
  <c r="M3" i="65" l="1"/>
  <c r="L2" i="65"/>
  <c r="N3" i="65" l="1"/>
  <c r="M2" i="65"/>
  <c r="O3" i="65" l="1"/>
  <c r="N2" i="65"/>
  <c r="P3" i="65" l="1"/>
  <c r="O2" i="65"/>
  <c r="Q3" i="65" l="1"/>
  <c r="P2" i="65"/>
  <c r="R3" i="65" l="1"/>
  <c r="Q2" i="65"/>
  <c r="R2" i="65" l="1"/>
  <c r="S3" i="65"/>
  <c r="S2" i="65" l="1"/>
  <c r="T3" i="65"/>
  <c r="U3" i="65" l="1"/>
  <c r="T2" i="65"/>
  <c r="V3" i="65" l="1"/>
  <c r="U2" i="65"/>
  <c r="W3" i="65" l="1"/>
  <c r="V2" i="65"/>
  <c r="X3" i="65" l="1"/>
  <c r="W2" i="65"/>
  <c r="Y3" i="65" l="1"/>
  <c r="X2" i="65"/>
  <c r="Z3" i="65" l="1"/>
  <c r="Y2" i="65"/>
  <c r="Z2" i="65" l="1"/>
  <c r="AA3" i="65"/>
  <c r="AA2" i="65" l="1"/>
  <c r="AB3" i="65"/>
  <c r="AC3" i="65" l="1"/>
  <c r="AB2" i="65"/>
  <c r="AD3" i="65" l="1"/>
  <c r="AC2" i="65"/>
  <c r="AE3" i="65" l="1"/>
  <c r="AD2" i="65"/>
  <c r="AE2" i="65" l="1"/>
  <c r="AF3" i="65"/>
  <c r="AG3" i="65" l="1"/>
  <c r="AF2" i="65"/>
  <c r="AH3" i="65" l="1"/>
  <c r="AG2" i="65"/>
  <c r="AH2" i="65" l="1"/>
  <c r="AI3" i="65"/>
  <c r="AI2" i="65" l="1"/>
  <c r="AJ3" i="65"/>
  <c r="AK3" i="65" l="1"/>
  <c r="AJ2" i="65"/>
  <c r="AK2" i="65" l="1"/>
  <c r="F121" i="37" l="1"/>
  <c r="F122" i="37"/>
  <c r="F123" i="37"/>
  <c r="F20" i="62" l="1"/>
  <c r="F19" i="62"/>
  <c r="F18" i="62"/>
  <c r="F27" i="62"/>
  <c r="F26" i="62"/>
  <c r="F25" i="62"/>
  <c r="F24" i="62"/>
  <c r="F12" i="62"/>
  <c r="F11" i="62"/>
  <c r="F181" i="61"/>
  <c r="E181" i="61"/>
  <c r="D181" i="61"/>
  <c r="C181" i="61"/>
  <c r="A181" i="61"/>
  <c r="F180" i="61"/>
  <c r="E180" i="61"/>
  <c r="D180" i="61"/>
  <c r="C180" i="61"/>
  <c r="A180" i="61"/>
  <c r="F179" i="61"/>
  <c r="E179" i="61"/>
  <c r="D179" i="61"/>
  <c r="C179" i="61"/>
  <c r="A179" i="61"/>
  <c r="F178" i="61"/>
  <c r="E178" i="61"/>
  <c r="D178" i="61"/>
  <c r="C178" i="61"/>
  <c r="A178" i="61"/>
  <c r="F177" i="61"/>
  <c r="E177" i="61"/>
  <c r="D177" i="61"/>
  <c r="C177" i="61"/>
  <c r="A177" i="61"/>
  <c r="F176" i="61"/>
  <c r="E176" i="61"/>
  <c r="D176" i="61"/>
  <c r="C176" i="61"/>
  <c r="A176" i="61"/>
  <c r="B176" i="61" s="1"/>
  <c r="F175" i="61"/>
  <c r="E175" i="61"/>
  <c r="D175" i="61"/>
  <c r="C175" i="61"/>
  <c r="A175" i="61"/>
  <c r="B175" i="61" s="1"/>
  <c r="F174" i="61"/>
  <c r="E174" i="61"/>
  <c r="D174" i="61"/>
  <c r="C174" i="61"/>
  <c r="A174" i="61"/>
  <c r="B174" i="61" s="1"/>
  <c r="F173" i="61"/>
  <c r="E173" i="61"/>
  <c r="D173" i="61"/>
  <c r="C173" i="61"/>
  <c r="A173" i="61"/>
  <c r="B173" i="61" s="1"/>
  <c r="F172" i="61"/>
  <c r="E172" i="61"/>
  <c r="D172" i="61"/>
  <c r="C172" i="61"/>
  <c r="A172" i="61"/>
  <c r="B172" i="61" s="1"/>
  <c r="F171" i="61"/>
  <c r="E171" i="61"/>
  <c r="D171" i="61"/>
  <c r="C171" i="61"/>
  <c r="A171" i="61"/>
  <c r="B171" i="61" s="1"/>
  <c r="F170" i="61"/>
  <c r="E170" i="61"/>
  <c r="D170" i="61"/>
  <c r="C170" i="61"/>
  <c r="A170" i="61"/>
  <c r="B170" i="61" s="1"/>
  <c r="F169" i="61"/>
  <c r="E169" i="61"/>
  <c r="D169" i="61"/>
  <c r="C169" i="61"/>
  <c r="A169" i="61"/>
  <c r="B169" i="61" s="1"/>
  <c r="F168" i="61"/>
  <c r="E168" i="61"/>
  <c r="D168" i="61"/>
  <c r="C168" i="61"/>
  <c r="A168" i="61"/>
  <c r="B168" i="61" s="1"/>
  <c r="F167" i="61"/>
  <c r="E167" i="61"/>
  <c r="D167" i="61"/>
  <c r="C167" i="61"/>
  <c r="A167" i="61"/>
  <c r="B167" i="61" s="1"/>
  <c r="F166" i="61"/>
  <c r="E166" i="61"/>
  <c r="D166" i="61"/>
  <c r="C166" i="61"/>
  <c r="A166" i="61"/>
  <c r="B166" i="61" s="1"/>
  <c r="F165" i="61"/>
  <c r="E165" i="61"/>
  <c r="D165" i="61"/>
  <c r="C165" i="61"/>
  <c r="A165" i="61"/>
  <c r="B165" i="61" s="1"/>
  <c r="F164" i="61"/>
  <c r="E164" i="61"/>
  <c r="D164" i="61"/>
  <c r="C164" i="61"/>
  <c r="A164" i="61"/>
  <c r="B164" i="61" s="1"/>
  <c r="F163" i="61"/>
  <c r="E163" i="61"/>
  <c r="D163" i="61"/>
  <c r="C163" i="61"/>
  <c r="A163" i="61"/>
  <c r="B163" i="61" s="1"/>
  <c r="F162" i="61"/>
  <c r="E162" i="61"/>
  <c r="D162" i="61"/>
  <c r="C162" i="61"/>
  <c r="A162" i="61"/>
  <c r="B162" i="61" s="1"/>
  <c r="F161" i="61"/>
  <c r="E161" i="61"/>
  <c r="D161" i="61"/>
  <c r="C161" i="61"/>
  <c r="A161" i="61"/>
  <c r="B161" i="61" s="1"/>
  <c r="F160" i="61"/>
  <c r="E160" i="61"/>
  <c r="D160" i="61"/>
  <c r="C160" i="61"/>
  <c r="A160" i="61"/>
  <c r="B160" i="61" s="1"/>
  <c r="F159" i="61"/>
  <c r="E159" i="61"/>
  <c r="D159" i="61"/>
  <c r="C159" i="61"/>
  <c r="A159" i="61"/>
  <c r="B159" i="61" s="1"/>
  <c r="F158" i="61"/>
  <c r="E158" i="61"/>
  <c r="D158" i="61"/>
  <c r="C158" i="61"/>
  <c r="A158" i="61"/>
  <c r="B158" i="61" s="1"/>
  <c r="F157" i="61"/>
  <c r="E157" i="61"/>
  <c r="D157" i="61"/>
  <c r="C157" i="61"/>
  <c r="A157" i="61"/>
  <c r="B157" i="61" s="1"/>
  <c r="F156" i="61"/>
  <c r="E156" i="61"/>
  <c r="D156" i="61"/>
  <c r="C156" i="61"/>
  <c r="A156" i="61"/>
  <c r="B156" i="61" s="1"/>
  <c r="F155" i="61"/>
  <c r="E155" i="61"/>
  <c r="D155" i="61"/>
  <c r="C155" i="61"/>
  <c r="A155" i="61"/>
  <c r="B155" i="61" s="1"/>
  <c r="F154" i="61"/>
  <c r="E154" i="61"/>
  <c r="D154" i="61"/>
  <c r="C154" i="61"/>
  <c r="A154" i="61"/>
  <c r="B154" i="61" s="1"/>
  <c r="F153" i="61"/>
  <c r="E153" i="61"/>
  <c r="D153" i="61"/>
  <c r="C153" i="61"/>
  <c r="A153" i="61"/>
  <c r="B153" i="61" s="1"/>
  <c r="F152" i="61"/>
  <c r="E152" i="61"/>
  <c r="D152" i="61"/>
  <c r="C152" i="61"/>
  <c r="A152" i="61"/>
  <c r="B152" i="61" s="1"/>
  <c r="F151" i="61"/>
  <c r="E151" i="61"/>
  <c r="D151" i="61"/>
  <c r="C151" i="61"/>
  <c r="A151" i="61"/>
  <c r="B151" i="61" s="1"/>
  <c r="F150" i="61"/>
  <c r="E150" i="61"/>
  <c r="D150" i="61"/>
  <c r="C150" i="61"/>
  <c r="A150" i="61"/>
  <c r="B150" i="61" s="1"/>
  <c r="F149" i="61"/>
  <c r="E149" i="61"/>
  <c r="D149" i="61"/>
  <c r="C149" i="61"/>
  <c r="A149" i="61"/>
  <c r="B149" i="61" s="1"/>
  <c r="F148" i="61"/>
  <c r="E148" i="61"/>
  <c r="D148" i="61"/>
  <c r="C148" i="61"/>
  <c r="A148" i="61"/>
  <c r="B148" i="61" s="1"/>
  <c r="F147" i="61"/>
  <c r="E147" i="61"/>
  <c r="D147" i="61"/>
  <c r="C147" i="61"/>
  <c r="A147" i="61"/>
  <c r="B147" i="61" s="1"/>
  <c r="F146" i="61"/>
  <c r="E146" i="61"/>
  <c r="D146" i="61"/>
  <c r="C146" i="61"/>
  <c r="A146" i="61"/>
  <c r="B146" i="61" s="1"/>
  <c r="F145" i="61"/>
  <c r="E145" i="61"/>
  <c r="D145" i="61"/>
  <c r="C145" i="61"/>
  <c r="A145" i="61"/>
  <c r="B145" i="61" s="1"/>
  <c r="F144" i="61"/>
  <c r="E144" i="61"/>
  <c r="D144" i="61"/>
  <c r="C144" i="61"/>
  <c r="A144" i="61"/>
  <c r="B144" i="61" s="1"/>
  <c r="F143" i="61"/>
  <c r="E143" i="61"/>
  <c r="D143" i="61"/>
  <c r="C143" i="61"/>
  <c r="A143" i="61"/>
  <c r="B143" i="61" s="1"/>
  <c r="F142" i="61"/>
  <c r="E142" i="61"/>
  <c r="D142" i="61"/>
  <c r="C142" i="61"/>
  <c r="A142" i="61"/>
  <c r="B142" i="61" s="1"/>
  <c r="F141" i="61"/>
  <c r="E141" i="61"/>
  <c r="D141" i="61"/>
  <c r="C141" i="61"/>
  <c r="A141" i="61"/>
  <c r="B141" i="61" s="1"/>
  <c r="F140" i="61"/>
  <c r="E140" i="61"/>
  <c r="D140" i="61"/>
  <c r="C140" i="61"/>
  <c r="A140" i="61"/>
  <c r="B140" i="61" s="1"/>
  <c r="F139" i="61"/>
  <c r="E139" i="61"/>
  <c r="D139" i="61"/>
  <c r="C139" i="61"/>
  <c r="A139" i="61"/>
  <c r="B139" i="61" s="1"/>
  <c r="F138" i="61"/>
  <c r="E138" i="61"/>
  <c r="D138" i="61"/>
  <c r="C138" i="61"/>
  <c r="A138" i="61"/>
  <c r="B138" i="61" s="1"/>
  <c r="F137" i="61"/>
  <c r="E137" i="61"/>
  <c r="D137" i="61"/>
  <c r="C137" i="61"/>
  <c r="A137" i="61"/>
  <c r="B137" i="61" s="1"/>
  <c r="F136" i="61"/>
  <c r="E136" i="61"/>
  <c r="D136" i="61"/>
  <c r="C136" i="61"/>
  <c r="A136" i="61"/>
  <c r="B136" i="61" s="1"/>
  <c r="F135" i="61"/>
  <c r="E135" i="61"/>
  <c r="D135" i="61"/>
  <c r="C135" i="61"/>
  <c r="A135" i="61"/>
  <c r="B135" i="61" s="1"/>
  <c r="F134" i="61"/>
  <c r="E134" i="61"/>
  <c r="D134" i="61"/>
  <c r="C134" i="61"/>
  <c r="A134" i="61"/>
  <c r="B134" i="61" s="1"/>
  <c r="F133" i="61"/>
  <c r="E133" i="61"/>
  <c r="D133" i="61"/>
  <c r="C133" i="61"/>
  <c r="A133" i="61"/>
  <c r="B133" i="61" s="1"/>
  <c r="F132" i="61"/>
  <c r="E132" i="61"/>
  <c r="D132" i="61"/>
  <c r="C132" i="61"/>
  <c r="A132" i="61"/>
  <c r="B132" i="61" s="1"/>
  <c r="F131" i="61"/>
  <c r="E131" i="61"/>
  <c r="D131" i="61"/>
  <c r="C131" i="61"/>
  <c r="A131" i="61"/>
  <c r="B131" i="61" s="1"/>
  <c r="F130" i="61"/>
  <c r="E130" i="61"/>
  <c r="D130" i="61"/>
  <c r="C130" i="61"/>
  <c r="A130" i="61"/>
  <c r="B130" i="61" s="1"/>
  <c r="F129" i="61"/>
  <c r="E129" i="61"/>
  <c r="D129" i="61"/>
  <c r="C129" i="61"/>
  <c r="A129" i="61"/>
  <c r="B129" i="61" s="1"/>
  <c r="F128" i="61"/>
  <c r="E128" i="61"/>
  <c r="D128" i="61"/>
  <c r="C128" i="61"/>
  <c r="A128" i="61"/>
  <c r="B128" i="61" s="1"/>
  <c r="F127" i="61"/>
  <c r="E127" i="61"/>
  <c r="D127" i="61"/>
  <c r="C127" i="61"/>
  <c r="A127" i="61"/>
  <c r="B127" i="61" s="1"/>
  <c r="F126" i="61"/>
  <c r="E126" i="61"/>
  <c r="D126" i="61"/>
  <c r="C126" i="61"/>
  <c r="A126" i="61"/>
  <c r="B126" i="61" s="1"/>
  <c r="F125" i="61"/>
  <c r="E125" i="61"/>
  <c r="D125" i="61"/>
  <c r="C125" i="61"/>
  <c r="A125" i="61"/>
  <c r="B125" i="61" s="1"/>
  <c r="F124" i="61"/>
  <c r="E124" i="61"/>
  <c r="D124" i="61"/>
  <c r="C124" i="61"/>
  <c r="A124" i="61"/>
  <c r="B124" i="61" s="1"/>
  <c r="F123" i="61"/>
  <c r="E123" i="61"/>
  <c r="D123" i="61"/>
  <c r="C123" i="61"/>
  <c r="A123" i="61"/>
  <c r="B123" i="61" s="1"/>
  <c r="F122" i="61"/>
  <c r="E122" i="61"/>
  <c r="D122" i="61"/>
  <c r="C122" i="61"/>
  <c r="A122" i="61"/>
  <c r="B122" i="61" s="1"/>
  <c r="F121" i="61"/>
  <c r="E121" i="61"/>
  <c r="D121" i="61"/>
  <c r="A121" i="61"/>
  <c r="B121" i="61" s="1"/>
  <c r="F120" i="61"/>
  <c r="E120" i="61"/>
  <c r="D120" i="61"/>
  <c r="C120" i="61"/>
  <c r="A120" i="61"/>
  <c r="B120" i="61" s="1"/>
  <c r="F119" i="61"/>
  <c r="E119" i="61"/>
  <c r="D119" i="61"/>
  <c r="C119" i="61"/>
  <c r="A119" i="61"/>
  <c r="B119" i="61" s="1"/>
  <c r="F118" i="61"/>
  <c r="E118" i="61"/>
  <c r="D118" i="61"/>
  <c r="C118" i="61"/>
  <c r="A118" i="61"/>
  <c r="B118" i="61" s="1"/>
  <c r="F117" i="61"/>
  <c r="E117" i="61"/>
  <c r="D117" i="61"/>
  <c r="C117" i="61"/>
  <c r="A117" i="61"/>
  <c r="B117" i="61" s="1"/>
  <c r="F116" i="61"/>
  <c r="E116" i="61"/>
  <c r="D116" i="61"/>
  <c r="C116" i="61"/>
  <c r="A116" i="61"/>
  <c r="B116" i="61" s="1"/>
  <c r="F115" i="61"/>
  <c r="E115" i="61"/>
  <c r="D115" i="61"/>
  <c r="C115" i="61"/>
  <c r="A115" i="61"/>
  <c r="B115" i="61" s="1"/>
  <c r="F114" i="61"/>
  <c r="E114" i="61"/>
  <c r="D114" i="61"/>
  <c r="C114" i="61"/>
  <c r="A114" i="61"/>
  <c r="B114" i="61" s="1"/>
  <c r="F113" i="61"/>
  <c r="E113" i="61"/>
  <c r="D113" i="61"/>
  <c r="C113" i="61"/>
  <c r="A113" i="61"/>
  <c r="B113" i="61" s="1"/>
  <c r="F112" i="61"/>
  <c r="E112" i="61"/>
  <c r="D112" i="61"/>
  <c r="C112" i="61"/>
  <c r="A112" i="61"/>
  <c r="B112" i="61" s="1"/>
  <c r="F111" i="61"/>
  <c r="E111" i="61"/>
  <c r="D111" i="61"/>
  <c r="C111" i="61"/>
  <c r="A111" i="61"/>
  <c r="B111" i="61" s="1"/>
  <c r="F110" i="61"/>
  <c r="E110" i="61"/>
  <c r="D110" i="61"/>
  <c r="C110" i="61"/>
  <c r="A110" i="61"/>
  <c r="B110" i="61" s="1"/>
  <c r="F109" i="61"/>
  <c r="E109" i="61"/>
  <c r="D109" i="61"/>
  <c r="C109" i="61"/>
  <c r="A109" i="61"/>
  <c r="B109" i="61" s="1"/>
  <c r="F108" i="61"/>
  <c r="E108" i="61"/>
  <c r="D108" i="61"/>
  <c r="C108" i="61"/>
  <c r="A108" i="61"/>
  <c r="B108" i="61" s="1"/>
  <c r="F107" i="61"/>
  <c r="E107" i="61"/>
  <c r="D107" i="61"/>
  <c r="C107" i="61"/>
  <c r="A107" i="61"/>
  <c r="B107" i="61" s="1"/>
  <c r="F106" i="61"/>
  <c r="E106" i="61"/>
  <c r="D106" i="61"/>
  <c r="C106" i="61"/>
  <c r="A106" i="61"/>
  <c r="B106" i="61" s="1"/>
  <c r="F105" i="61"/>
  <c r="E105" i="61"/>
  <c r="D105" i="61"/>
  <c r="C105" i="61"/>
  <c r="A105" i="61"/>
  <c r="B105" i="61" s="1"/>
  <c r="F104" i="61"/>
  <c r="E104" i="61"/>
  <c r="D104" i="61"/>
  <c r="C104" i="61"/>
  <c r="A104" i="61"/>
  <c r="B104" i="61" s="1"/>
  <c r="F103" i="61"/>
  <c r="E103" i="61"/>
  <c r="D103" i="61"/>
  <c r="C103" i="61"/>
  <c r="A103" i="61"/>
  <c r="B103" i="61" s="1"/>
  <c r="F102" i="61"/>
  <c r="E102" i="61"/>
  <c r="D102" i="61"/>
  <c r="C102" i="61"/>
  <c r="A102" i="61"/>
  <c r="B102" i="61" s="1"/>
  <c r="F101" i="61"/>
  <c r="E101" i="61"/>
  <c r="D101" i="61"/>
  <c r="C101" i="61"/>
  <c r="A101" i="61"/>
  <c r="B101" i="61" s="1"/>
  <c r="F100" i="61"/>
  <c r="E100" i="61"/>
  <c r="D100" i="61"/>
  <c r="C100" i="61"/>
  <c r="A100" i="61"/>
  <c r="B100" i="61" s="1"/>
  <c r="F99" i="61"/>
  <c r="E99" i="61"/>
  <c r="D99" i="61"/>
  <c r="C99" i="61"/>
  <c r="A99" i="61"/>
  <c r="B99" i="61" s="1"/>
  <c r="F98" i="61"/>
  <c r="E98" i="61"/>
  <c r="D98" i="61"/>
  <c r="C98" i="61"/>
  <c r="A98" i="61"/>
  <c r="B98" i="61" s="1"/>
  <c r="F97" i="61"/>
  <c r="E97" i="61"/>
  <c r="D97" i="61"/>
  <c r="C97" i="61"/>
  <c r="A97" i="61"/>
  <c r="B97" i="61" s="1"/>
  <c r="F96" i="61"/>
  <c r="E96" i="61"/>
  <c r="D96" i="61"/>
  <c r="C96" i="61"/>
  <c r="A96" i="61"/>
  <c r="B96" i="61" s="1"/>
  <c r="F95" i="61"/>
  <c r="E95" i="61"/>
  <c r="D95" i="61"/>
  <c r="C95" i="61"/>
  <c r="A95" i="61"/>
  <c r="B95" i="61" s="1"/>
  <c r="F94" i="61"/>
  <c r="E94" i="61"/>
  <c r="D94" i="61"/>
  <c r="C94" i="61"/>
  <c r="A94" i="61"/>
  <c r="B94" i="61" s="1"/>
  <c r="F93" i="61"/>
  <c r="E93" i="61"/>
  <c r="D93" i="61"/>
  <c r="C93" i="61"/>
  <c r="A93" i="61"/>
  <c r="B93" i="61" s="1"/>
  <c r="F92" i="61"/>
  <c r="E92" i="61"/>
  <c r="D92" i="61"/>
  <c r="C92" i="61"/>
  <c r="A92" i="61"/>
  <c r="B92" i="61" s="1"/>
  <c r="F91" i="61"/>
  <c r="E91" i="61"/>
  <c r="D91" i="61"/>
  <c r="C91" i="61"/>
  <c r="A91" i="61"/>
  <c r="F90" i="61"/>
  <c r="E90" i="61"/>
  <c r="D90" i="61"/>
  <c r="C90" i="61"/>
  <c r="A90" i="61"/>
  <c r="B90" i="61" s="1"/>
  <c r="F89" i="61"/>
  <c r="E89" i="61"/>
  <c r="D89" i="61"/>
  <c r="C89" i="61"/>
  <c r="A89" i="61"/>
  <c r="B89" i="61" s="1"/>
  <c r="F88" i="61"/>
  <c r="E88" i="61"/>
  <c r="D88" i="61"/>
  <c r="C88" i="61"/>
  <c r="A88" i="61"/>
  <c r="F87" i="61"/>
  <c r="E87" i="61"/>
  <c r="D87" i="61"/>
  <c r="C87" i="61"/>
  <c r="A87" i="61"/>
  <c r="B87" i="61" s="1"/>
  <c r="F86" i="61"/>
  <c r="E86" i="61"/>
  <c r="D86" i="61"/>
  <c r="C86" i="61"/>
  <c r="A86" i="61"/>
  <c r="B86" i="61" s="1"/>
  <c r="F85" i="61"/>
  <c r="E85" i="61"/>
  <c r="D85" i="61"/>
  <c r="C85" i="61"/>
  <c r="A85" i="61"/>
  <c r="B85" i="61" s="1"/>
  <c r="F84" i="61"/>
  <c r="E84" i="61"/>
  <c r="D84" i="61"/>
  <c r="C84" i="61"/>
  <c r="A84" i="61"/>
  <c r="B84" i="61" s="1"/>
  <c r="F83" i="61"/>
  <c r="E83" i="61"/>
  <c r="D83" i="61"/>
  <c r="C83" i="61"/>
  <c r="A83" i="61"/>
  <c r="B83" i="61" s="1"/>
  <c r="F82" i="61"/>
  <c r="E82" i="61"/>
  <c r="D82" i="61"/>
  <c r="C82" i="61"/>
  <c r="A82" i="61"/>
  <c r="B82" i="61" s="1"/>
  <c r="F81" i="61"/>
  <c r="E81" i="61"/>
  <c r="D81" i="61"/>
  <c r="C81" i="61"/>
  <c r="A81" i="61"/>
  <c r="B81" i="61" s="1"/>
  <c r="F80" i="61"/>
  <c r="E80" i="61"/>
  <c r="D80" i="61"/>
  <c r="C80" i="61"/>
  <c r="A80" i="61"/>
  <c r="B80" i="61" s="1"/>
  <c r="F79" i="61"/>
  <c r="E79" i="61"/>
  <c r="D79" i="61"/>
  <c r="C79" i="61"/>
  <c r="A79" i="61"/>
  <c r="B79" i="61" s="1"/>
  <c r="F78" i="61"/>
  <c r="E78" i="61"/>
  <c r="D78" i="61"/>
  <c r="C78" i="61"/>
  <c r="A78" i="61"/>
  <c r="B78" i="61" s="1"/>
  <c r="F77" i="61"/>
  <c r="E77" i="61"/>
  <c r="D77" i="61"/>
  <c r="C77" i="61"/>
  <c r="A77" i="61"/>
  <c r="B77" i="61" s="1"/>
  <c r="F76" i="61"/>
  <c r="E76" i="61"/>
  <c r="D76" i="61"/>
  <c r="C76" i="61"/>
  <c r="A76" i="61"/>
  <c r="B76" i="61" s="1"/>
  <c r="F75" i="61"/>
  <c r="E75" i="61"/>
  <c r="D75" i="61"/>
  <c r="C75" i="61"/>
  <c r="A75" i="61"/>
  <c r="B75" i="61" s="1"/>
  <c r="F74" i="61"/>
  <c r="E74" i="61"/>
  <c r="D74" i="61"/>
  <c r="C74" i="61"/>
  <c r="A74" i="61"/>
  <c r="B74" i="61" s="1"/>
  <c r="F73" i="61"/>
  <c r="E73" i="61"/>
  <c r="D73" i="61"/>
  <c r="C73" i="61"/>
  <c r="A73" i="61"/>
  <c r="B73" i="61" s="1"/>
  <c r="F72" i="61"/>
  <c r="E72" i="61"/>
  <c r="D72" i="61"/>
  <c r="C72" i="61"/>
  <c r="A72" i="61"/>
  <c r="B72" i="61" s="1"/>
  <c r="F71" i="61"/>
  <c r="E71" i="61"/>
  <c r="D71" i="61"/>
  <c r="C71" i="61"/>
  <c r="A71" i="61"/>
  <c r="B71" i="61" s="1"/>
  <c r="F70" i="61"/>
  <c r="E70" i="61"/>
  <c r="D70" i="61"/>
  <c r="C70" i="61"/>
  <c r="A70" i="61"/>
  <c r="B70" i="61" s="1"/>
  <c r="F69" i="61"/>
  <c r="E69" i="61"/>
  <c r="D69" i="61"/>
  <c r="C69" i="61"/>
  <c r="A69" i="61"/>
  <c r="B69" i="61" s="1"/>
  <c r="F68" i="61"/>
  <c r="E68" i="61"/>
  <c r="D68" i="61"/>
  <c r="C68" i="61"/>
  <c r="A68" i="61"/>
  <c r="B68" i="61" s="1"/>
  <c r="F67" i="61"/>
  <c r="E67" i="61"/>
  <c r="D67" i="61"/>
  <c r="C67" i="61"/>
  <c r="A67" i="61"/>
  <c r="B67" i="61" s="1"/>
  <c r="F66" i="61"/>
  <c r="E66" i="61"/>
  <c r="D66" i="61"/>
  <c r="C66" i="61"/>
  <c r="A66" i="61"/>
  <c r="B66" i="61" s="1"/>
  <c r="F65" i="61"/>
  <c r="E65" i="61"/>
  <c r="D65" i="61"/>
  <c r="C65" i="61"/>
  <c r="A65" i="61"/>
  <c r="B65" i="61" s="1"/>
  <c r="F64" i="61"/>
  <c r="E64" i="61"/>
  <c r="D64" i="61"/>
  <c r="C64" i="61"/>
  <c r="A64" i="61"/>
  <c r="B64" i="61" s="1"/>
  <c r="F63" i="61"/>
  <c r="E63" i="61"/>
  <c r="D63" i="61"/>
  <c r="C63" i="61"/>
  <c r="A63" i="61"/>
  <c r="B63" i="61" s="1"/>
  <c r="F62" i="61"/>
  <c r="E62" i="61"/>
  <c r="D62" i="61"/>
  <c r="C62" i="61"/>
  <c r="A62" i="61"/>
  <c r="B62" i="61" s="1"/>
  <c r="F61" i="61"/>
  <c r="E61" i="61"/>
  <c r="D61" i="61"/>
  <c r="C61" i="61"/>
  <c r="A61" i="61"/>
  <c r="B61" i="61" s="1"/>
  <c r="F60" i="61"/>
  <c r="E60" i="61"/>
  <c r="D60" i="61"/>
  <c r="C60" i="61"/>
  <c r="A60" i="61"/>
  <c r="B60" i="61" s="1"/>
  <c r="F59" i="61"/>
  <c r="E59" i="61"/>
  <c r="D59" i="61"/>
  <c r="C59" i="61"/>
  <c r="A59" i="61"/>
  <c r="B59" i="61" s="1"/>
  <c r="F58" i="61"/>
  <c r="E58" i="61"/>
  <c r="D58" i="61"/>
  <c r="C58" i="61"/>
  <c r="A58" i="61"/>
  <c r="B58" i="61" s="1"/>
  <c r="F57" i="61"/>
  <c r="E57" i="61"/>
  <c r="D57" i="61"/>
  <c r="C57" i="61"/>
  <c r="A57" i="61"/>
  <c r="B57" i="61" s="1"/>
  <c r="F56" i="61"/>
  <c r="E56" i="61"/>
  <c r="D56" i="61"/>
  <c r="C56" i="61"/>
  <c r="A56" i="61"/>
  <c r="B56" i="61" s="1"/>
  <c r="F55" i="61"/>
  <c r="E55" i="61"/>
  <c r="D55" i="61"/>
  <c r="C55" i="61"/>
  <c r="A55" i="61"/>
  <c r="B55" i="61" s="1"/>
  <c r="F54" i="61"/>
  <c r="E54" i="61"/>
  <c r="D54" i="61"/>
  <c r="C54" i="61"/>
  <c r="A54" i="61"/>
  <c r="B54" i="61" s="1"/>
  <c r="F53" i="61"/>
  <c r="E53" i="61"/>
  <c r="D53" i="61"/>
  <c r="C53" i="61"/>
  <c r="A53" i="61"/>
  <c r="B53" i="61" s="1"/>
  <c r="F52" i="61"/>
  <c r="E52" i="61"/>
  <c r="D52" i="61"/>
  <c r="C52" i="61"/>
  <c r="A52" i="61"/>
  <c r="B52" i="61" s="1"/>
  <c r="F51" i="61"/>
  <c r="E51" i="61"/>
  <c r="D51" i="61"/>
  <c r="C51" i="61"/>
  <c r="A51" i="61"/>
  <c r="B51" i="61" s="1"/>
  <c r="F50" i="61"/>
  <c r="E50" i="61"/>
  <c r="D50" i="61"/>
  <c r="C50" i="61"/>
  <c r="A50" i="61"/>
  <c r="B50" i="61" s="1"/>
  <c r="F49" i="61"/>
  <c r="E49" i="61"/>
  <c r="D49" i="61"/>
  <c r="C49" i="61"/>
  <c r="A49" i="61"/>
  <c r="B49" i="61" s="1"/>
  <c r="F48" i="61"/>
  <c r="E48" i="61"/>
  <c r="D48" i="61"/>
  <c r="C48" i="61"/>
  <c r="A48" i="61"/>
  <c r="B48" i="61" s="1"/>
  <c r="F47" i="61"/>
  <c r="E47" i="61"/>
  <c r="D47" i="61"/>
  <c r="C47" i="61"/>
  <c r="A47" i="61"/>
  <c r="B47" i="61" s="1"/>
  <c r="F46" i="61"/>
  <c r="E46" i="61"/>
  <c r="D46" i="61"/>
  <c r="C46" i="61"/>
  <c r="A46" i="61"/>
  <c r="B46" i="61" s="1"/>
  <c r="F45" i="61"/>
  <c r="E45" i="61"/>
  <c r="D45" i="61"/>
  <c r="C45" i="61"/>
  <c r="A45" i="61"/>
  <c r="B45" i="61" s="1"/>
  <c r="F44" i="61"/>
  <c r="E44" i="61"/>
  <c r="D44" i="61"/>
  <c r="C44" i="61"/>
  <c r="A44" i="61"/>
  <c r="B44" i="61" s="1"/>
  <c r="F43" i="61"/>
  <c r="E43" i="61"/>
  <c r="D43" i="61"/>
  <c r="C43" i="61"/>
  <c r="A43" i="61"/>
  <c r="B43" i="61" s="1"/>
  <c r="F42" i="61"/>
  <c r="E42" i="61"/>
  <c r="D42" i="61"/>
  <c r="C42" i="61"/>
  <c r="A42" i="61"/>
  <c r="B42" i="61" s="1"/>
  <c r="F41" i="61"/>
  <c r="E41" i="61"/>
  <c r="D41" i="61"/>
  <c r="C41" i="61"/>
  <c r="A41" i="61"/>
  <c r="B41" i="61" s="1"/>
  <c r="F40" i="61"/>
  <c r="E40" i="61"/>
  <c r="D40" i="61"/>
  <c r="C40" i="61"/>
  <c r="A40" i="61"/>
  <c r="B40" i="61" s="1"/>
  <c r="F39" i="61"/>
  <c r="E39" i="61"/>
  <c r="D39" i="61"/>
  <c r="C39" i="61"/>
  <c r="A39" i="61"/>
  <c r="B39" i="61" s="1"/>
  <c r="F38" i="61"/>
  <c r="E38" i="61"/>
  <c r="D38" i="61"/>
  <c r="C38" i="61"/>
  <c r="A38" i="61"/>
  <c r="B38" i="61" s="1"/>
  <c r="F37" i="61"/>
  <c r="E37" i="61"/>
  <c r="D37" i="61"/>
  <c r="C37" i="61"/>
  <c r="A37" i="61"/>
  <c r="B37" i="61" s="1"/>
  <c r="F36" i="61"/>
  <c r="E36" i="61"/>
  <c r="D36" i="61"/>
  <c r="C36" i="61"/>
  <c r="A36" i="61"/>
  <c r="B36" i="61" s="1"/>
  <c r="F35" i="61"/>
  <c r="E35" i="61"/>
  <c r="D35" i="61"/>
  <c r="C35" i="61"/>
  <c r="A35" i="61"/>
  <c r="B35" i="61" s="1"/>
  <c r="F34" i="61"/>
  <c r="E34" i="61"/>
  <c r="D34" i="61"/>
  <c r="C34" i="61"/>
  <c r="A34" i="61"/>
  <c r="B34" i="61" s="1"/>
  <c r="F33" i="61"/>
  <c r="E33" i="61"/>
  <c r="D33" i="61"/>
  <c r="C33" i="61"/>
  <c r="A33" i="61"/>
  <c r="B33" i="61" s="1"/>
  <c r="F32" i="61"/>
  <c r="E32" i="61"/>
  <c r="D32" i="61"/>
  <c r="C32" i="61"/>
  <c r="A32" i="61"/>
  <c r="B32" i="61" s="1"/>
  <c r="F31" i="61"/>
  <c r="E31" i="61"/>
  <c r="D31" i="61"/>
  <c r="C31" i="61"/>
  <c r="A31" i="61"/>
  <c r="B31" i="61" s="1"/>
  <c r="F30" i="61"/>
  <c r="E30" i="61"/>
  <c r="D30" i="61"/>
  <c r="C30" i="61"/>
  <c r="A30" i="61"/>
  <c r="B30" i="61" s="1"/>
  <c r="F29" i="61"/>
  <c r="E29" i="61"/>
  <c r="D29" i="61"/>
  <c r="C29" i="61"/>
  <c r="A29" i="61"/>
  <c r="B29" i="61" s="1"/>
  <c r="F28" i="61"/>
  <c r="E28" i="61"/>
  <c r="D28" i="61"/>
  <c r="C28" i="61"/>
  <c r="A28" i="61"/>
  <c r="B28" i="61" s="1"/>
  <c r="F27" i="61"/>
  <c r="E27" i="61"/>
  <c r="D27" i="61"/>
  <c r="C27" i="61"/>
  <c r="A27" i="61"/>
  <c r="B27" i="61" s="1"/>
  <c r="F26" i="61"/>
  <c r="E26" i="61"/>
  <c r="D26" i="61"/>
  <c r="C26" i="61"/>
  <c r="A26" i="61"/>
  <c r="B26" i="61" s="1"/>
  <c r="F25" i="61"/>
  <c r="E25" i="61"/>
  <c r="D25" i="61"/>
  <c r="C25" i="61"/>
  <c r="A25" i="61"/>
  <c r="B25" i="61" s="1"/>
  <c r="F24" i="61"/>
  <c r="E24" i="61"/>
  <c r="D24" i="61"/>
  <c r="C24" i="61"/>
  <c r="A24" i="61"/>
  <c r="B24" i="61" s="1"/>
  <c r="F23" i="61"/>
  <c r="E23" i="61"/>
  <c r="D23" i="61"/>
  <c r="C23" i="61"/>
  <c r="A23" i="61"/>
  <c r="B23" i="61" s="1"/>
  <c r="F22" i="61"/>
  <c r="E22" i="61"/>
  <c r="D22" i="61"/>
  <c r="C22" i="61"/>
  <c r="A22" i="61"/>
  <c r="B22" i="61" s="1"/>
  <c r="F21" i="61"/>
  <c r="E21" i="61"/>
  <c r="D21" i="61"/>
  <c r="C21" i="61"/>
  <c r="A21" i="61"/>
  <c r="B21" i="61" s="1"/>
  <c r="F20" i="61"/>
  <c r="E20" i="61"/>
  <c r="D20" i="61"/>
  <c r="C20" i="61"/>
  <c r="A20" i="61"/>
  <c r="B20" i="61" s="1"/>
  <c r="F19" i="61"/>
  <c r="E19" i="61"/>
  <c r="D19" i="61"/>
  <c r="C19" i="61"/>
  <c r="A19" i="61"/>
  <c r="B19" i="61" s="1"/>
  <c r="F18" i="61"/>
  <c r="E18" i="61"/>
  <c r="D18" i="61"/>
  <c r="C18" i="61"/>
  <c r="A18" i="61"/>
  <c r="B18" i="61" s="1"/>
  <c r="F17" i="61"/>
  <c r="E17" i="61"/>
  <c r="D17" i="61"/>
  <c r="C17" i="61"/>
  <c r="A17" i="61"/>
  <c r="B17" i="61" s="1"/>
  <c r="F16" i="61"/>
  <c r="E16" i="61"/>
  <c r="D16" i="61"/>
  <c r="C16" i="61"/>
  <c r="A16" i="61"/>
  <c r="B16" i="61" s="1"/>
  <c r="F15" i="61"/>
  <c r="E15" i="61"/>
  <c r="D15" i="61"/>
  <c r="C15" i="61"/>
  <c r="A15" i="61"/>
  <c r="B15" i="61" s="1"/>
  <c r="F14" i="61"/>
  <c r="E14" i="61"/>
  <c r="D14" i="61"/>
  <c r="C14" i="61"/>
  <c r="A14" i="61"/>
  <c r="B14" i="61" s="1"/>
  <c r="F13" i="61"/>
  <c r="E13" i="61"/>
  <c r="D13" i="61"/>
  <c r="C13" i="61"/>
  <c r="A13" i="61"/>
  <c r="B13" i="61" s="1"/>
  <c r="F12" i="61"/>
  <c r="E12" i="61"/>
  <c r="D12" i="61"/>
  <c r="C12" i="61"/>
  <c r="A12" i="61"/>
  <c r="B12" i="61" s="1"/>
  <c r="B5" i="37"/>
  <c r="J4" i="61"/>
  <c r="J3" i="61"/>
  <c r="R1" i="29"/>
  <c r="B91" i="61" l="1"/>
  <c r="B88" i="61"/>
  <c r="F28" i="62"/>
  <c r="F30" i="62" s="1"/>
  <c r="F31" i="62" s="1"/>
  <c r="F21" i="62"/>
  <c r="F13" i="62"/>
  <c r="F15" i="62" s="1"/>
  <c r="F172" i="37"/>
  <c r="F171" i="37"/>
  <c r="F170" i="37"/>
  <c r="F169" i="37"/>
  <c r="F168" i="37"/>
  <c r="F167" i="37"/>
  <c r="F166" i="37"/>
  <c r="F165" i="37"/>
  <c r="F164" i="37"/>
  <c r="F163" i="37"/>
  <c r="F162" i="37"/>
  <c r="F161" i="37"/>
  <c r="F160" i="37"/>
  <c r="F159" i="37"/>
  <c r="F158" i="37"/>
  <c r="F157" i="37"/>
  <c r="F156" i="37"/>
  <c r="F155" i="37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0" i="37"/>
  <c r="F119" i="37"/>
  <c r="F115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F78" i="37"/>
  <c r="F77" i="37"/>
  <c r="F76" i="37"/>
  <c r="F75" i="37"/>
  <c r="F74" i="37"/>
  <c r="F73" i="37"/>
  <c r="F72" i="37"/>
  <c r="F71" i="37"/>
  <c r="F70" i="37"/>
  <c r="F69" i="37"/>
  <c r="F68" i="37"/>
  <c r="F67" i="37"/>
  <c r="F66" i="37"/>
  <c r="F65" i="37"/>
  <c r="F64" i="37"/>
  <c r="F63" i="37"/>
  <c r="F62" i="37"/>
  <c r="F61" i="37"/>
  <c r="F60" i="37"/>
  <c r="F59" i="37"/>
  <c r="F58" i="37"/>
  <c r="F57" i="37"/>
  <c r="F56" i="37"/>
  <c r="F55" i="37"/>
  <c r="F54" i="37"/>
  <c r="F53" i="37"/>
  <c r="F52" i="37"/>
  <c r="F51" i="37"/>
  <c r="F50" i="37"/>
  <c r="F49" i="37"/>
  <c r="F48" i="37"/>
  <c r="F47" i="37"/>
  <c r="F46" i="37"/>
  <c r="F45" i="37"/>
  <c r="F44" i="37"/>
  <c r="F43" i="37"/>
  <c r="F42" i="37"/>
  <c r="F41" i="37"/>
  <c r="F40" i="37"/>
  <c r="F39" i="37"/>
  <c r="F38" i="37"/>
  <c r="F37" i="37"/>
  <c r="F36" i="37"/>
  <c r="F35" i="37"/>
  <c r="F34" i="37"/>
  <c r="F33" i="37"/>
  <c r="F32" i="37"/>
  <c r="F31" i="37"/>
  <c r="F30" i="37"/>
  <c r="F29" i="37"/>
  <c r="F28" i="37"/>
  <c r="F27" i="37"/>
  <c r="F26" i="37"/>
  <c r="F25" i="37"/>
  <c r="F24" i="37"/>
  <c r="F23" i="37"/>
  <c r="F22" i="37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6" i="37"/>
  <c r="F5" i="37"/>
  <c r="F4" i="37"/>
  <c r="F3" i="37"/>
  <c r="F7" i="37"/>
  <c r="F14" i="62" l="1"/>
  <c r="F34" i="62"/>
  <c r="F36" i="62" s="1"/>
  <c r="F32" i="62"/>
  <c r="G177" i="61"/>
  <c r="G178" i="61"/>
  <c r="G179" i="61"/>
  <c r="G180" i="61"/>
  <c r="G181" i="61"/>
  <c r="F35" i="62" l="1"/>
  <c r="F37" i="62" s="1"/>
  <c r="C3" i="37" l="1"/>
  <c r="E3" i="37" s="1"/>
  <c r="N3" i="29"/>
  <c r="D4" i="65" s="1"/>
  <c r="O3" i="29"/>
  <c r="Q3" i="29" s="1"/>
  <c r="M3" i="29" l="1"/>
  <c r="J3" i="29" s="1"/>
  <c r="E4" i="65"/>
  <c r="I178" i="61"/>
  <c r="I34" i="61"/>
  <c r="I57" i="61"/>
  <c r="I181" i="61"/>
  <c r="I85" i="61"/>
  <c r="I158" i="61"/>
  <c r="I154" i="61"/>
  <c r="I160" i="61"/>
  <c r="I180" i="61"/>
  <c r="I121" i="61"/>
  <c r="I179" i="61"/>
  <c r="I177" i="61"/>
  <c r="I2" i="37" l="1"/>
  <c r="I1" i="37" s="1"/>
  <c r="G176" i="61"/>
  <c r="G175" i="61"/>
  <c r="G174" i="61"/>
  <c r="G173" i="61"/>
  <c r="G172" i="61"/>
  <c r="G171" i="61"/>
  <c r="G170" i="61"/>
  <c r="G169" i="61"/>
  <c r="G168" i="61"/>
  <c r="G167" i="61"/>
  <c r="G166" i="61"/>
  <c r="G165" i="61"/>
  <c r="G164" i="61"/>
  <c r="G163" i="61"/>
  <c r="G162" i="61"/>
  <c r="G161" i="61"/>
  <c r="G160" i="61"/>
  <c r="G159" i="61"/>
  <c r="G158" i="61"/>
  <c r="G157" i="61"/>
  <c r="G156" i="61"/>
  <c r="G155" i="61"/>
  <c r="G154" i="61"/>
  <c r="G153" i="61"/>
  <c r="G152" i="61"/>
  <c r="G151" i="61"/>
  <c r="G150" i="61"/>
  <c r="G149" i="61"/>
  <c r="G148" i="61"/>
  <c r="G147" i="61"/>
  <c r="G146" i="61"/>
  <c r="G145" i="61"/>
  <c r="G144" i="61"/>
  <c r="G143" i="61"/>
  <c r="G142" i="61"/>
  <c r="G141" i="61"/>
  <c r="G140" i="61"/>
  <c r="G139" i="61"/>
  <c r="G138" i="61"/>
  <c r="G137" i="61"/>
  <c r="G136" i="61"/>
  <c r="G135" i="61"/>
  <c r="G134" i="61"/>
  <c r="G133" i="61"/>
  <c r="G132" i="61"/>
  <c r="G131" i="61"/>
  <c r="G130" i="61"/>
  <c r="G129" i="61"/>
  <c r="G128" i="61"/>
  <c r="G127" i="61"/>
  <c r="G126" i="61"/>
  <c r="G125" i="61"/>
  <c r="G124" i="61"/>
  <c r="G123" i="61"/>
  <c r="G122" i="61"/>
  <c r="G121" i="61"/>
  <c r="G120" i="61"/>
  <c r="G119" i="61"/>
  <c r="G118" i="61"/>
  <c r="G117" i="61"/>
  <c r="G116" i="61"/>
  <c r="G115" i="61"/>
  <c r="G114" i="61"/>
  <c r="G113" i="61"/>
  <c r="G112" i="61"/>
  <c r="G111" i="61"/>
  <c r="G110" i="61"/>
  <c r="G109" i="61"/>
  <c r="G108" i="61"/>
  <c r="G107" i="61"/>
  <c r="G106" i="61"/>
  <c r="G105" i="61"/>
  <c r="G104" i="61"/>
  <c r="G103" i="61"/>
  <c r="G102" i="61"/>
  <c r="G101" i="61"/>
  <c r="G100" i="61"/>
  <c r="G99" i="61"/>
  <c r="G98" i="61"/>
  <c r="G97" i="61"/>
  <c r="G96" i="61"/>
  <c r="G95" i="61"/>
  <c r="G94" i="61"/>
  <c r="G93" i="61"/>
  <c r="G92" i="61"/>
  <c r="G91" i="61"/>
  <c r="G90" i="61"/>
  <c r="G89" i="61"/>
  <c r="G88" i="61"/>
  <c r="G87" i="61"/>
  <c r="G86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G72" i="61"/>
  <c r="G71" i="61"/>
  <c r="G70" i="61"/>
  <c r="G69" i="61"/>
  <c r="G68" i="61"/>
  <c r="G67" i="61"/>
  <c r="G66" i="61"/>
  <c r="G65" i="61"/>
  <c r="G64" i="61"/>
  <c r="G63" i="61"/>
  <c r="G62" i="61"/>
  <c r="G61" i="61"/>
  <c r="G60" i="61"/>
  <c r="G59" i="61"/>
  <c r="G58" i="61"/>
  <c r="G57" i="61"/>
  <c r="G56" i="61"/>
  <c r="G55" i="61"/>
  <c r="G54" i="61"/>
  <c r="G53" i="61"/>
  <c r="G52" i="61"/>
  <c r="G51" i="61"/>
  <c r="G50" i="61"/>
  <c r="G49" i="61"/>
  <c r="G48" i="61"/>
  <c r="G47" i="61"/>
  <c r="G46" i="61"/>
  <c r="G45" i="61"/>
  <c r="G44" i="61"/>
  <c r="G43" i="61"/>
  <c r="G42" i="61"/>
  <c r="G41" i="61"/>
  <c r="G40" i="61"/>
  <c r="G39" i="61"/>
  <c r="G38" i="61"/>
  <c r="G37" i="61"/>
  <c r="G36" i="61"/>
  <c r="G35" i="61"/>
  <c r="G34" i="61"/>
  <c r="G33" i="61"/>
  <c r="G32" i="61"/>
  <c r="G31" i="61"/>
  <c r="G30" i="61"/>
  <c r="G29" i="61"/>
  <c r="G28" i="61"/>
  <c r="G27" i="61"/>
  <c r="G26" i="61"/>
  <c r="G25" i="61"/>
  <c r="G24" i="61"/>
  <c r="G23" i="61"/>
  <c r="G22" i="61"/>
  <c r="G21" i="61"/>
  <c r="G20" i="61"/>
  <c r="G19" i="61"/>
  <c r="G18" i="61"/>
  <c r="G17" i="61"/>
  <c r="G16" i="61"/>
  <c r="G15" i="61"/>
  <c r="G14" i="61"/>
  <c r="J2" i="37" l="1"/>
  <c r="K2" i="37" s="1"/>
  <c r="L2" i="37" s="1"/>
  <c r="B3" i="37"/>
  <c r="H3" i="37"/>
  <c r="B4" i="37"/>
  <c r="C4" i="37"/>
  <c r="E4" i="37" s="1"/>
  <c r="H4" i="37"/>
  <c r="C5" i="37"/>
  <c r="E5" i="37" s="1"/>
  <c r="H5" i="37"/>
  <c r="B6" i="37"/>
  <c r="C6" i="37"/>
  <c r="E6" i="37" s="1"/>
  <c r="H6" i="37"/>
  <c r="B7" i="37"/>
  <c r="C7" i="37"/>
  <c r="E7" i="37" s="1"/>
  <c r="H7" i="37"/>
  <c r="B8" i="37"/>
  <c r="C8" i="37"/>
  <c r="E8" i="37" s="1"/>
  <c r="H8" i="37"/>
  <c r="B9" i="37"/>
  <c r="C9" i="37"/>
  <c r="E9" i="37" s="1"/>
  <c r="H9" i="37"/>
  <c r="B10" i="37"/>
  <c r="C10" i="37"/>
  <c r="E10" i="37" s="1"/>
  <c r="H10" i="37"/>
  <c r="B11" i="37"/>
  <c r="C11" i="37"/>
  <c r="E11" i="37" s="1"/>
  <c r="H11" i="37"/>
  <c r="B12" i="37"/>
  <c r="C12" i="37"/>
  <c r="E12" i="37" s="1"/>
  <c r="H12" i="37"/>
  <c r="B13" i="37"/>
  <c r="C13" i="37"/>
  <c r="E13" i="37" s="1"/>
  <c r="H13" i="37"/>
  <c r="B14" i="37"/>
  <c r="C14" i="37"/>
  <c r="E14" i="37" s="1"/>
  <c r="H14" i="37"/>
  <c r="B15" i="37"/>
  <c r="C15" i="37"/>
  <c r="E15" i="37" s="1"/>
  <c r="H15" i="37"/>
  <c r="B16" i="37"/>
  <c r="C16" i="37"/>
  <c r="E16" i="37" s="1"/>
  <c r="H16" i="37"/>
  <c r="B17" i="37"/>
  <c r="C17" i="37"/>
  <c r="E17" i="37" s="1"/>
  <c r="H17" i="37"/>
  <c r="B18" i="37"/>
  <c r="C18" i="37"/>
  <c r="E18" i="37" s="1"/>
  <c r="H18" i="37"/>
  <c r="B19" i="37"/>
  <c r="C19" i="37"/>
  <c r="E19" i="37" s="1"/>
  <c r="H19" i="37"/>
  <c r="B20" i="37"/>
  <c r="C20" i="37"/>
  <c r="E20" i="37" s="1"/>
  <c r="H20" i="37"/>
  <c r="B21" i="37"/>
  <c r="C21" i="37"/>
  <c r="E21" i="37" s="1"/>
  <c r="H21" i="37"/>
  <c r="B22" i="37"/>
  <c r="C22" i="37"/>
  <c r="E22" i="37" s="1"/>
  <c r="H22" i="37"/>
  <c r="B23" i="37"/>
  <c r="C23" i="37"/>
  <c r="E23" i="37" s="1"/>
  <c r="H23" i="37"/>
  <c r="B24" i="37"/>
  <c r="C24" i="37"/>
  <c r="E24" i="37" s="1"/>
  <c r="H24" i="37"/>
  <c r="B25" i="37"/>
  <c r="C25" i="37"/>
  <c r="E25" i="37" s="1"/>
  <c r="H25" i="37"/>
  <c r="B26" i="37"/>
  <c r="C26" i="37"/>
  <c r="E26" i="37" s="1"/>
  <c r="H26" i="37"/>
  <c r="B27" i="37"/>
  <c r="C27" i="37"/>
  <c r="E27" i="37" s="1"/>
  <c r="H27" i="37"/>
  <c r="B28" i="37"/>
  <c r="C28" i="37"/>
  <c r="E28" i="37" s="1"/>
  <c r="H28" i="37"/>
  <c r="B29" i="37"/>
  <c r="C29" i="37"/>
  <c r="E29" i="37" s="1"/>
  <c r="H29" i="37"/>
  <c r="B30" i="37"/>
  <c r="C30" i="37"/>
  <c r="E30" i="37" s="1"/>
  <c r="H30" i="37"/>
  <c r="B31" i="37"/>
  <c r="C31" i="37"/>
  <c r="E31" i="37" s="1"/>
  <c r="H31" i="37"/>
  <c r="B32" i="37"/>
  <c r="C32" i="37"/>
  <c r="E32" i="37" s="1"/>
  <c r="H32" i="37"/>
  <c r="B33" i="37"/>
  <c r="C33" i="37"/>
  <c r="E33" i="37" s="1"/>
  <c r="H33" i="37"/>
  <c r="B34" i="37"/>
  <c r="C34" i="37"/>
  <c r="E34" i="37" s="1"/>
  <c r="H34" i="37"/>
  <c r="B35" i="37"/>
  <c r="C35" i="37"/>
  <c r="E35" i="37" s="1"/>
  <c r="H35" i="37"/>
  <c r="B36" i="37"/>
  <c r="C36" i="37"/>
  <c r="E36" i="37" s="1"/>
  <c r="H36" i="37"/>
  <c r="B37" i="37"/>
  <c r="C37" i="37"/>
  <c r="E37" i="37" s="1"/>
  <c r="H37" i="37"/>
  <c r="B38" i="37"/>
  <c r="C38" i="37"/>
  <c r="E38" i="37" s="1"/>
  <c r="H38" i="37"/>
  <c r="B39" i="37"/>
  <c r="C39" i="37"/>
  <c r="E39" i="37" s="1"/>
  <c r="H39" i="37"/>
  <c r="B40" i="37"/>
  <c r="C40" i="37"/>
  <c r="E40" i="37" s="1"/>
  <c r="H40" i="37"/>
  <c r="B41" i="37"/>
  <c r="C41" i="37"/>
  <c r="E41" i="37" s="1"/>
  <c r="H41" i="37"/>
  <c r="B42" i="37"/>
  <c r="C42" i="37"/>
  <c r="E42" i="37" s="1"/>
  <c r="H42" i="37"/>
  <c r="B43" i="37"/>
  <c r="C43" i="37"/>
  <c r="E43" i="37" s="1"/>
  <c r="H43" i="37"/>
  <c r="B44" i="37"/>
  <c r="C44" i="37"/>
  <c r="E44" i="37" s="1"/>
  <c r="H44" i="37"/>
  <c r="B45" i="37"/>
  <c r="C45" i="37"/>
  <c r="E45" i="37" s="1"/>
  <c r="H45" i="37"/>
  <c r="B46" i="37"/>
  <c r="C46" i="37"/>
  <c r="E46" i="37" s="1"/>
  <c r="H46" i="37"/>
  <c r="B47" i="37"/>
  <c r="C47" i="37"/>
  <c r="E47" i="37" s="1"/>
  <c r="H47" i="37"/>
  <c r="B48" i="37"/>
  <c r="C48" i="37"/>
  <c r="E48" i="37" s="1"/>
  <c r="H48" i="37"/>
  <c r="B49" i="37"/>
  <c r="C49" i="37"/>
  <c r="E49" i="37" s="1"/>
  <c r="H49" i="37"/>
  <c r="B50" i="37"/>
  <c r="C50" i="37"/>
  <c r="E50" i="37" s="1"/>
  <c r="H50" i="37"/>
  <c r="B51" i="37"/>
  <c r="C51" i="37"/>
  <c r="E51" i="37" s="1"/>
  <c r="H51" i="37"/>
  <c r="B52" i="37"/>
  <c r="C52" i="37"/>
  <c r="E52" i="37" s="1"/>
  <c r="H52" i="37"/>
  <c r="B53" i="37"/>
  <c r="C53" i="37"/>
  <c r="E53" i="37" s="1"/>
  <c r="H53" i="37"/>
  <c r="B54" i="37"/>
  <c r="C54" i="37"/>
  <c r="E54" i="37" s="1"/>
  <c r="H54" i="37"/>
  <c r="B55" i="37"/>
  <c r="C55" i="37"/>
  <c r="E55" i="37" s="1"/>
  <c r="H55" i="37"/>
  <c r="B56" i="37"/>
  <c r="C56" i="37"/>
  <c r="E56" i="37" s="1"/>
  <c r="H56" i="37"/>
  <c r="B57" i="37"/>
  <c r="C57" i="37"/>
  <c r="E57" i="37" s="1"/>
  <c r="H57" i="37"/>
  <c r="B58" i="37"/>
  <c r="C58" i="37"/>
  <c r="E58" i="37" s="1"/>
  <c r="H58" i="37"/>
  <c r="B59" i="37"/>
  <c r="C59" i="37"/>
  <c r="E59" i="37" s="1"/>
  <c r="H59" i="37"/>
  <c r="B60" i="37"/>
  <c r="C60" i="37"/>
  <c r="E60" i="37" s="1"/>
  <c r="H60" i="37"/>
  <c r="B61" i="37"/>
  <c r="C61" i="37"/>
  <c r="E61" i="37" s="1"/>
  <c r="H61" i="37"/>
  <c r="B62" i="37"/>
  <c r="C62" i="37"/>
  <c r="E62" i="37" s="1"/>
  <c r="H62" i="37"/>
  <c r="B63" i="37"/>
  <c r="C63" i="37"/>
  <c r="E63" i="37" s="1"/>
  <c r="H63" i="37"/>
  <c r="B64" i="37"/>
  <c r="C64" i="37"/>
  <c r="E64" i="37" s="1"/>
  <c r="H64" i="37"/>
  <c r="B65" i="37"/>
  <c r="C65" i="37"/>
  <c r="E65" i="37" s="1"/>
  <c r="H65" i="37"/>
  <c r="B66" i="37"/>
  <c r="C66" i="37"/>
  <c r="E66" i="37" s="1"/>
  <c r="H66" i="37"/>
  <c r="B67" i="37"/>
  <c r="C67" i="37"/>
  <c r="E67" i="37" s="1"/>
  <c r="H67" i="37"/>
  <c r="B68" i="37"/>
  <c r="C68" i="37"/>
  <c r="E68" i="37" s="1"/>
  <c r="H68" i="37"/>
  <c r="B69" i="37"/>
  <c r="C69" i="37"/>
  <c r="E69" i="37" s="1"/>
  <c r="H69" i="37"/>
  <c r="B70" i="37"/>
  <c r="C70" i="37"/>
  <c r="E70" i="37" s="1"/>
  <c r="H70" i="37"/>
  <c r="B71" i="37"/>
  <c r="C71" i="37"/>
  <c r="E71" i="37" s="1"/>
  <c r="H71" i="37"/>
  <c r="B72" i="37"/>
  <c r="C72" i="37"/>
  <c r="E72" i="37" s="1"/>
  <c r="H72" i="37"/>
  <c r="B73" i="37"/>
  <c r="C73" i="37"/>
  <c r="E73" i="37" s="1"/>
  <c r="H73" i="37"/>
  <c r="B74" i="37"/>
  <c r="C74" i="37"/>
  <c r="E74" i="37" s="1"/>
  <c r="H74" i="37"/>
  <c r="B75" i="37"/>
  <c r="C75" i="37"/>
  <c r="E75" i="37" s="1"/>
  <c r="H75" i="37"/>
  <c r="B76" i="37"/>
  <c r="C76" i="37"/>
  <c r="E76" i="37" s="1"/>
  <c r="H76" i="37"/>
  <c r="B77" i="37"/>
  <c r="C77" i="37"/>
  <c r="E77" i="37" s="1"/>
  <c r="H77" i="37"/>
  <c r="B78" i="37"/>
  <c r="C78" i="37"/>
  <c r="E78" i="37" s="1"/>
  <c r="H78" i="37"/>
  <c r="B79" i="37"/>
  <c r="C79" i="37"/>
  <c r="E79" i="37" s="1"/>
  <c r="H79" i="37"/>
  <c r="B80" i="37"/>
  <c r="C80" i="37"/>
  <c r="E80" i="37" s="1"/>
  <c r="H80" i="37"/>
  <c r="B81" i="37"/>
  <c r="C81" i="37"/>
  <c r="E81" i="37" s="1"/>
  <c r="H81" i="37"/>
  <c r="B82" i="37"/>
  <c r="C82" i="37"/>
  <c r="E82" i="37" s="1"/>
  <c r="H82" i="37"/>
  <c r="B83" i="37"/>
  <c r="C83" i="37"/>
  <c r="E83" i="37" s="1"/>
  <c r="H83" i="37"/>
  <c r="B84" i="37"/>
  <c r="C84" i="37"/>
  <c r="E84" i="37" s="1"/>
  <c r="H84" i="37"/>
  <c r="B85" i="37"/>
  <c r="C85" i="37"/>
  <c r="E85" i="37" s="1"/>
  <c r="H85" i="37"/>
  <c r="B86" i="37"/>
  <c r="C86" i="37"/>
  <c r="E86" i="37" s="1"/>
  <c r="H86" i="37"/>
  <c r="B87" i="37"/>
  <c r="C87" i="37"/>
  <c r="E87" i="37" s="1"/>
  <c r="H87" i="37"/>
  <c r="B88" i="37"/>
  <c r="C88" i="37"/>
  <c r="E88" i="37" s="1"/>
  <c r="H88" i="37"/>
  <c r="B89" i="37"/>
  <c r="C89" i="37"/>
  <c r="E89" i="37" s="1"/>
  <c r="H89" i="37"/>
  <c r="B90" i="37"/>
  <c r="C90" i="37"/>
  <c r="E90" i="37" s="1"/>
  <c r="H90" i="37"/>
  <c r="B91" i="37"/>
  <c r="C91" i="37"/>
  <c r="E91" i="37" s="1"/>
  <c r="H91" i="37"/>
  <c r="B92" i="37"/>
  <c r="C92" i="37"/>
  <c r="E92" i="37" s="1"/>
  <c r="H92" i="37"/>
  <c r="B93" i="37"/>
  <c r="C93" i="37"/>
  <c r="E93" i="37" s="1"/>
  <c r="H93" i="37"/>
  <c r="B94" i="37"/>
  <c r="C94" i="37"/>
  <c r="E94" i="37" s="1"/>
  <c r="H94" i="37"/>
  <c r="B95" i="37"/>
  <c r="C95" i="37"/>
  <c r="E95" i="37" s="1"/>
  <c r="H95" i="37"/>
  <c r="B96" i="37"/>
  <c r="C96" i="37"/>
  <c r="E96" i="37" s="1"/>
  <c r="H96" i="37"/>
  <c r="B97" i="37"/>
  <c r="C97" i="37"/>
  <c r="E97" i="37" s="1"/>
  <c r="H97" i="37"/>
  <c r="B98" i="37"/>
  <c r="C98" i="37"/>
  <c r="E98" i="37" s="1"/>
  <c r="H98" i="37"/>
  <c r="B99" i="37"/>
  <c r="C99" i="37"/>
  <c r="E99" i="37" s="1"/>
  <c r="H99" i="37"/>
  <c r="B100" i="37"/>
  <c r="C100" i="37"/>
  <c r="E100" i="37" s="1"/>
  <c r="H100" i="37"/>
  <c r="B101" i="37"/>
  <c r="C101" i="37"/>
  <c r="E101" i="37" s="1"/>
  <c r="H101" i="37"/>
  <c r="B102" i="37"/>
  <c r="C102" i="37"/>
  <c r="E102" i="37" s="1"/>
  <c r="H102" i="37"/>
  <c r="B103" i="37"/>
  <c r="C103" i="37"/>
  <c r="E103" i="37" s="1"/>
  <c r="H103" i="37"/>
  <c r="B104" i="37"/>
  <c r="C104" i="37"/>
  <c r="E104" i="37" s="1"/>
  <c r="H104" i="37"/>
  <c r="B105" i="37"/>
  <c r="C105" i="37"/>
  <c r="E105" i="37" s="1"/>
  <c r="H105" i="37"/>
  <c r="B106" i="37"/>
  <c r="C106" i="37"/>
  <c r="E106" i="37" s="1"/>
  <c r="H106" i="37"/>
  <c r="B107" i="37"/>
  <c r="C107" i="37"/>
  <c r="E107" i="37" s="1"/>
  <c r="H107" i="37"/>
  <c r="B108" i="37"/>
  <c r="C108" i="37"/>
  <c r="E108" i="37" s="1"/>
  <c r="H108" i="37"/>
  <c r="B109" i="37"/>
  <c r="C109" i="37"/>
  <c r="E109" i="37" s="1"/>
  <c r="H109" i="37"/>
  <c r="B110" i="37"/>
  <c r="C110" i="37"/>
  <c r="E110" i="37" s="1"/>
  <c r="H110" i="37"/>
  <c r="B111" i="37"/>
  <c r="C111" i="37"/>
  <c r="E111" i="37" s="1"/>
  <c r="H111" i="37"/>
  <c r="B112" i="37"/>
  <c r="C112" i="37"/>
  <c r="E112" i="37" s="1"/>
  <c r="H112" i="37"/>
  <c r="B113" i="37"/>
  <c r="C113" i="37"/>
  <c r="E113" i="37" s="1"/>
  <c r="H113" i="37"/>
  <c r="B114" i="37"/>
  <c r="C114" i="37"/>
  <c r="E114" i="37" s="1"/>
  <c r="H114" i="37"/>
  <c r="B115" i="37"/>
  <c r="C115" i="37"/>
  <c r="E115" i="37" s="1"/>
  <c r="H115" i="37"/>
  <c r="B116" i="37"/>
  <c r="C116" i="37"/>
  <c r="E116" i="37" s="1"/>
  <c r="H116" i="37"/>
  <c r="B117" i="37"/>
  <c r="C117" i="37"/>
  <c r="E117" i="37" s="1"/>
  <c r="H117" i="37"/>
  <c r="B118" i="37"/>
  <c r="C118" i="37"/>
  <c r="E118" i="37" s="1"/>
  <c r="H118" i="37"/>
  <c r="B119" i="37"/>
  <c r="C119" i="37"/>
  <c r="E119" i="37" s="1"/>
  <c r="H119" i="37"/>
  <c r="B120" i="37"/>
  <c r="C120" i="37"/>
  <c r="E120" i="37" s="1"/>
  <c r="H120" i="37"/>
  <c r="B121" i="37"/>
  <c r="C121" i="37"/>
  <c r="E121" i="37" s="1"/>
  <c r="H121" i="37"/>
  <c r="B122" i="37"/>
  <c r="C122" i="37"/>
  <c r="E122" i="37" s="1"/>
  <c r="H122" i="37"/>
  <c r="B123" i="37"/>
  <c r="C123" i="37"/>
  <c r="E123" i="37" s="1"/>
  <c r="H123" i="37"/>
  <c r="B124" i="37"/>
  <c r="C124" i="37"/>
  <c r="E124" i="37" s="1"/>
  <c r="H124" i="37"/>
  <c r="B125" i="37"/>
  <c r="C125" i="37"/>
  <c r="E125" i="37" s="1"/>
  <c r="H125" i="37"/>
  <c r="B126" i="37"/>
  <c r="C126" i="37"/>
  <c r="E126" i="37" s="1"/>
  <c r="H126" i="37"/>
  <c r="B127" i="37"/>
  <c r="C127" i="37"/>
  <c r="E127" i="37" s="1"/>
  <c r="H127" i="37"/>
  <c r="B128" i="37"/>
  <c r="C128" i="37"/>
  <c r="E128" i="37" s="1"/>
  <c r="H128" i="37"/>
  <c r="B129" i="37"/>
  <c r="C129" i="37"/>
  <c r="E129" i="37" s="1"/>
  <c r="H129" i="37"/>
  <c r="B130" i="37"/>
  <c r="C130" i="37"/>
  <c r="E130" i="37" s="1"/>
  <c r="H130" i="37"/>
  <c r="B131" i="37"/>
  <c r="C131" i="37"/>
  <c r="E131" i="37" s="1"/>
  <c r="H131" i="37"/>
  <c r="B132" i="37"/>
  <c r="C132" i="37"/>
  <c r="E132" i="37" s="1"/>
  <c r="H132" i="37"/>
  <c r="B133" i="37"/>
  <c r="C133" i="37"/>
  <c r="E133" i="37" s="1"/>
  <c r="H133" i="37"/>
  <c r="B134" i="37"/>
  <c r="C134" i="37"/>
  <c r="E134" i="37" s="1"/>
  <c r="H134" i="37"/>
  <c r="B135" i="37"/>
  <c r="C135" i="37"/>
  <c r="E135" i="37" s="1"/>
  <c r="H135" i="37"/>
  <c r="B136" i="37"/>
  <c r="C136" i="37"/>
  <c r="E136" i="37" s="1"/>
  <c r="H136" i="37"/>
  <c r="B137" i="37"/>
  <c r="C137" i="37"/>
  <c r="E137" i="37" s="1"/>
  <c r="H137" i="37"/>
  <c r="B138" i="37"/>
  <c r="C138" i="37"/>
  <c r="E138" i="37" s="1"/>
  <c r="H138" i="37"/>
  <c r="B139" i="37"/>
  <c r="C139" i="37"/>
  <c r="E139" i="37" s="1"/>
  <c r="H139" i="37"/>
  <c r="B140" i="37"/>
  <c r="C140" i="37"/>
  <c r="E140" i="37" s="1"/>
  <c r="H140" i="37"/>
  <c r="B141" i="37"/>
  <c r="C141" i="37"/>
  <c r="E141" i="37" s="1"/>
  <c r="H141" i="37"/>
  <c r="B142" i="37"/>
  <c r="C142" i="37"/>
  <c r="E142" i="37" s="1"/>
  <c r="H142" i="37"/>
  <c r="B143" i="37"/>
  <c r="C143" i="37"/>
  <c r="E143" i="37" s="1"/>
  <c r="H143" i="37"/>
  <c r="B144" i="37"/>
  <c r="C144" i="37"/>
  <c r="E144" i="37" s="1"/>
  <c r="H144" i="37"/>
  <c r="B145" i="37"/>
  <c r="C145" i="37"/>
  <c r="E145" i="37" s="1"/>
  <c r="H145" i="37"/>
  <c r="B146" i="37"/>
  <c r="C146" i="37"/>
  <c r="E146" i="37" s="1"/>
  <c r="H146" i="37"/>
  <c r="B147" i="37"/>
  <c r="C147" i="37"/>
  <c r="E147" i="37" s="1"/>
  <c r="H147" i="37"/>
  <c r="B148" i="37"/>
  <c r="C148" i="37"/>
  <c r="E148" i="37" s="1"/>
  <c r="H148" i="37"/>
  <c r="B149" i="37"/>
  <c r="C149" i="37"/>
  <c r="E149" i="37" s="1"/>
  <c r="H149" i="37"/>
  <c r="B150" i="37"/>
  <c r="C150" i="37"/>
  <c r="E150" i="37" s="1"/>
  <c r="H150" i="37"/>
  <c r="B151" i="37"/>
  <c r="C151" i="37"/>
  <c r="E151" i="37" s="1"/>
  <c r="H151" i="37"/>
  <c r="B152" i="37"/>
  <c r="C152" i="37"/>
  <c r="E152" i="37" s="1"/>
  <c r="H152" i="37"/>
  <c r="B153" i="37"/>
  <c r="C153" i="37"/>
  <c r="E153" i="37" s="1"/>
  <c r="H153" i="37"/>
  <c r="B154" i="37"/>
  <c r="C154" i="37"/>
  <c r="E154" i="37" s="1"/>
  <c r="H154" i="37"/>
  <c r="B155" i="37"/>
  <c r="C155" i="37"/>
  <c r="E155" i="37" s="1"/>
  <c r="H155" i="37"/>
  <c r="B156" i="37"/>
  <c r="C156" i="37"/>
  <c r="E156" i="37" s="1"/>
  <c r="H156" i="37"/>
  <c r="B157" i="37"/>
  <c r="C157" i="37"/>
  <c r="E157" i="37" s="1"/>
  <c r="H157" i="37"/>
  <c r="B158" i="37"/>
  <c r="C158" i="37"/>
  <c r="E158" i="37" s="1"/>
  <c r="H158" i="37"/>
  <c r="B159" i="37"/>
  <c r="C159" i="37"/>
  <c r="E159" i="37" s="1"/>
  <c r="H159" i="37"/>
  <c r="B160" i="37"/>
  <c r="C160" i="37"/>
  <c r="E160" i="37" s="1"/>
  <c r="H160" i="37"/>
  <c r="B161" i="37"/>
  <c r="C161" i="37"/>
  <c r="E161" i="37" s="1"/>
  <c r="H161" i="37"/>
  <c r="B162" i="37"/>
  <c r="C162" i="37"/>
  <c r="E162" i="37" s="1"/>
  <c r="H162" i="37"/>
  <c r="B163" i="37"/>
  <c r="C163" i="37"/>
  <c r="E163" i="37" s="1"/>
  <c r="H163" i="37"/>
  <c r="B164" i="37"/>
  <c r="C164" i="37"/>
  <c r="E164" i="37" s="1"/>
  <c r="H164" i="37"/>
  <c r="B165" i="37"/>
  <c r="C165" i="37"/>
  <c r="E165" i="37" s="1"/>
  <c r="H165" i="37"/>
  <c r="B166" i="37"/>
  <c r="C166" i="37"/>
  <c r="E166" i="37" s="1"/>
  <c r="H166" i="37"/>
  <c r="B167" i="37"/>
  <c r="C167" i="37"/>
  <c r="E167" i="37" s="1"/>
  <c r="H167" i="37"/>
  <c r="B168" i="37"/>
  <c r="C168" i="37"/>
  <c r="E168" i="37" s="1"/>
  <c r="H168" i="37"/>
  <c r="B169" i="37"/>
  <c r="C169" i="37"/>
  <c r="E169" i="37" s="1"/>
  <c r="H169" i="37"/>
  <c r="B170" i="37"/>
  <c r="C170" i="37"/>
  <c r="E170" i="37" s="1"/>
  <c r="H170" i="37"/>
  <c r="B171" i="37"/>
  <c r="C171" i="37"/>
  <c r="E171" i="37" s="1"/>
  <c r="H171" i="37"/>
  <c r="B172" i="37"/>
  <c r="C172" i="37"/>
  <c r="E172" i="37" s="1"/>
  <c r="H172" i="37"/>
  <c r="F118" i="37" l="1"/>
  <c r="I127" i="61" s="1"/>
  <c r="F116" i="37"/>
  <c r="I125" i="61" s="1"/>
  <c r="F114" i="37"/>
  <c r="I123" i="61" s="1"/>
  <c r="F117" i="37"/>
  <c r="I126" i="61" s="1"/>
  <c r="I14" i="61"/>
  <c r="I104" i="61"/>
  <c r="I26" i="61"/>
  <c r="I48" i="61"/>
  <c r="I110" i="61"/>
  <c r="I16" i="61"/>
  <c r="I78" i="61"/>
  <c r="I140" i="61"/>
  <c r="I114" i="61"/>
  <c r="I128" i="61"/>
  <c r="I72" i="61"/>
  <c r="I134" i="61"/>
  <c r="I54" i="61"/>
  <c r="I84" i="61"/>
  <c r="I146" i="61"/>
  <c r="I83" i="61"/>
  <c r="I105" i="61"/>
  <c r="I27" i="61"/>
  <c r="I88" i="61"/>
  <c r="I172" i="61"/>
  <c r="I40" i="61"/>
  <c r="I102" i="61"/>
  <c r="I70" i="61"/>
  <c r="I132" i="61"/>
  <c r="I113" i="61"/>
  <c r="I176" i="61"/>
  <c r="I97" i="61"/>
  <c r="I19" i="61"/>
  <c r="I81" i="61"/>
  <c r="I164" i="61"/>
  <c r="I33" i="61"/>
  <c r="I94" i="61"/>
  <c r="I170" i="61"/>
  <c r="I62" i="61"/>
  <c r="I124" i="61"/>
  <c r="I67" i="61"/>
  <c r="I82" i="61"/>
  <c r="I173" i="61"/>
  <c r="I119" i="61"/>
  <c r="I38" i="61"/>
  <c r="I108" i="61"/>
  <c r="I168" i="61"/>
  <c r="I68" i="61"/>
  <c r="I130" i="61"/>
  <c r="I59" i="61"/>
  <c r="I166" i="61"/>
  <c r="I89" i="61"/>
  <c r="I162" i="61"/>
  <c r="I96" i="61"/>
  <c r="I135" i="61"/>
  <c r="I79" i="61"/>
  <c r="I141" i="61"/>
  <c r="I109" i="61"/>
  <c r="I35" i="61"/>
  <c r="I103" i="61"/>
  <c r="I92" i="61"/>
  <c r="I53" i="61"/>
  <c r="I44" i="61"/>
  <c r="I58" i="61"/>
  <c r="I98" i="61"/>
  <c r="I64" i="61"/>
  <c r="I138" i="61"/>
  <c r="I73" i="61"/>
  <c r="I151" i="61"/>
  <c r="I25" i="61"/>
  <c r="I86" i="61"/>
  <c r="I149" i="61"/>
  <c r="I55" i="61"/>
  <c r="I117" i="61"/>
  <c r="I29" i="61"/>
  <c r="I66" i="61"/>
  <c r="I165" i="61"/>
  <c r="I111" i="61"/>
  <c r="I31" i="61"/>
  <c r="I100" i="61"/>
  <c r="I60" i="61"/>
  <c r="I122" i="61"/>
  <c r="I52" i="61"/>
  <c r="I145" i="61"/>
  <c r="I74" i="61"/>
  <c r="I156" i="61"/>
  <c r="I65" i="61"/>
  <c r="I17" i="61"/>
  <c r="I47" i="61"/>
  <c r="I169" i="61"/>
  <c r="I23" i="61"/>
  <c r="I115" i="61"/>
  <c r="I137" i="61"/>
  <c r="I171" i="61"/>
  <c r="I90" i="61"/>
  <c r="I116" i="61"/>
  <c r="I75" i="61"/>
  <c r="I20" i="61"/>
  <c r="I18" i="61"/>
  <c r="I71" i="61"/>
  <c r="I133" i="61"/>
  <c r="I39" i="61"/>
  <c r="I101" i="61"/>
  <c r="I161" i="61"/>
  <c r="I159" i="61"/>
  <c r="I152" i="61"/>
  <c r="I95" i="61"/>
  <c r="I15" i="61"/>
  <c r="I77" i="61"/>
  <c r="I147" i="61"/>
  <c r="I45" i="61"/>
  <c r="I107" i="61"/>
  <c r="I36" i="61"/>
  <c r="I51" i="61"/>
  <c r="I157" i="61"/>
  <c r="I112" i="61"/>
  <c r="I118" i="61"/>
  <c r="I136" i="61"/>
  <c r="I61" i="61"/>
  <c r="I30" i="61"/>
  <c r="I167" i="61"/>
  <c r="I143" i="61"/>
  <c r="I76" i="61"/>
  <c r="I21" i="61"/>
  <c r="I50" i="61"/>
  <c r="I120" i="61"/>
  <c r="I49" i="61"/>
  <c r="I63" i="61"/>
  <c r="I32" i="61"/>
  <c r="I93" i="61"/>
  <c r="I155" i="61"/>
  <c r="I153" i="61"/>
  <c r="I144" i="61"/>
  <c r="I87" i="61"/>
  <c r="I163" i="61"/>
  <c r="I69" i="61"/>
  <c r="I139" i="61"/>
  <c r="I37" i="61"/>
  <c r="I99" i="61"/>
  <c r="I175" i="61"/>
  <c r="I106" i="61"/>
  <c r="I43" i="61"/>
  <c r="I142" i="61"/>
  <c r="I22" i="61"/>
  <c r="I42" i="61"/>
  <c r="I41" i="61"/>
  <c r="I56" i="61"/>
  <c r="I24" i="61"/>
  <c r="I148" i="61"/>
  <c r="I129" i="61"/>
  <c r="I80" i="61"/>
  <c r="I150" i="61"/>
  <c r="I131" i="61"/>
  <c r="I91" i="61"/>
  <c r="I28" i="61"/>
  <c r="I46" i="61"/>
  <c r="I174" i="61"/>
  <c r="K1" i="37"/>
  <c r="J1" i="37"/>
  <c r="L1" i="37"/>
  <c r="M2" i="37"/>
  <c r="G85" i="61"/>
  <c r="J5" i="61" s="1"/>
  <c r="J7" i="61" l="1"/>
  <c r="J9" i="61"/>
  <c r="N2" i="37"/>
  <c r="M1" i="37"/>
  <c r="O2" i="37" l="1"/>
  <c r="N1" i="37"/>
  <c r="P2" i="37" l="1"/>
  <c r="O1" i="37"/>
  <c r="Q2" i="37" l="1"/>
  <c r="P1" i="37"/>
  <c r="R2" i="37" l="1"/>
  <c r="Q1" i="37"/>
  <c r="S2" i="37" l="1"/>
  <c r="R1" i="37"/>
  <c r="S1" i="37" l="1"/>
  <c r="T2" i="37"/>
  <c r="T1" i="37" l="1"/>
  <c r="U2" i="37"/>
  <c r="V2" i="37" l="1"/>
  <c r="U1" i="37"/>
  <c r="W2" i="37" l="1"/>
  <c r="V1" i="37"/>
  <c r="X2" i="37" l="1"/>
  <c r="W1" i="37"/>
  <c r="Y2" i="37" l="1"/>
  <c r="X1" i="37"/>
  <c r="N91" i="29"/>
  <c r="D92" i="65" s="1"/>
  <c r="O91" i="29"/>
  <c r="N92" i="29"/>
  <c r="D93" i="65" s="1"/>
  <c r="O92" i="29"/>
  <c r="N93" i="29"/>
  <c r="D94" i="65" s="1"/>
  <c r="O93" i="29"/>
  <c r="N94" i="29"/>
  <c r="D95" i="65" s="1"/>
  <c r="O94" i="29"/>
  <c r="N95" i="29"/>
  <c r="D96" i="65" s="1"/>
  <c r="O95" i="29"/>
  <c r="N96" i="29"/>
  <c r="D97" i="65" s="1"/>
  <c r="O96" i="29"/>
  <c r="N97" i="29"/>
  <c r="D98" i="65" s="1"/>
  <c r="O97" i="29"/>
  <c r="N98" i="29"/>
  <c r="D99" i="65" s="1"/>
  <c r="O98" i="29"/>
  <c r="N99" i="29"/>
  <c r="D100" i="65" s="1"/>
  <c r="O99" i="29"/>
  <c r="N100" i="29"/>
  <c r="D101" i="65" s="1"/>
  <c r="O100" i="29"/>
  <c r="N101" i="29"/>
  <c r="D102" i="65" s="1"/>
  <c r="O101" i="29"/>
  <c r="N102" i="29"/>
  <c r="D103" i="65" s="1"/>
  <c r="O102" i="29"/>
  <c r="N103" i="29"/>
  <c r="D104" i="65" s="1"/>
  <c r="O103" i="29"/>
  <c r="N104" i="29"/>
  <c r="D105" i="65" s="1"/>
  <c r="O104" i="29"/>
  <c r="N105" i="29"/>
  <c r="D106" i="65" s="1"/>
  <c r="O105" i="29"/>
  <c r="N106" i="29"/>
  <c r="D107" i="65" s="1"/>
  <c r="O106" i="29"/>
  <c r="N107" i="29"/>
  <c r="D108" i="65" s="1"/>
  <c r="O107" i="29"/>
  <c r="N108" i="29"/>
  <c r="D109" i="65" s="1"/>
  <c r="O108" i="29"/>
  <c r="N109" i="29"/>
  <c r="D110" i="65" s="1"/>
  <c r="O109" i="29"/>
  <c r="N110" i="29"/>
  <c r="D111" i="65" s="1"/>
  <c r="O110" i="29"/>
  <c r="N111" i="29"/>
  <c r="D112" i="65" s="1"/>
  <c r="O111" i="29"/>
  <c r="N112" i="29"/>
  <c r="D113" i="65" s="1"/>
  <c r="O112" i="29"/>
  <c r="N113" i="29"/>
  <c r="D114" i="65" s="1"/>
  <c r="O113" i="29"/>
  <c r="N114" i="29"/>
  <c r="D115" i="65" s="1"/>
  <c r="O114" i="29"/>
  <c r="N115" i="29"/>
  <c r="D116" i="65" s="1"/>
  <c r="O115" i="29"/>
  <c r="N116" i="29"/>
  <c r="D117" i="65" s="1"/>
  <c r="O116" i="29"/>
  <c r="N117" i="29"/>
  <c r="D118" i="65" s="1"/>
  <c r="O117" i="29"/>
  <c r="N118" i="29"/>
  <c r="D119" i="65" s="1"/>
  <c r="O118" i="29"/>
  <c r="N119" i="29"/>
  <c r="D120" i="65" s="1"/>
  <c r="O119" i="29"/>
  <c r="N120" i="29"/>
  <c r="D121" i="65" s="1"/>
  <c r="O120" i="29"/>
  <c r="N121" i="29"/>
  <c r="D122" i="65" s="1"/>
  <c r="O121" i="29"/>
  <c r="N122" i="29"/>
  <c r="D123" i="65" s="1"/>
  <c r="O122" i="29"/>
  <c r="N123" i="29"/>
  <c r="D124" i="65" s="1"/>
  <c r="O123" i="29"/>
  <c r="N124" i="29"/>
  <c r="D125" i="65" s="1"/>
  <c r="O124" i="29"/>
  <c r="N125" i="29"/>
  <c r="D126" i="65" s="1"/>
  <c r="O125" i="29"/>
  <c r="N126" i="29"/>
  <c r="D127" i="65" s="1"/>
  <c r="O126" i="29"/>
  <c r="N127" i="29"/>
  <c r="D128" i="65" s="1"/>
  <c r="O127" i="29"/>
  <c r="N128" i="29"/>
  <c r="D129" i="65" s="1"/>
  <c r="O128" i="29"/>
  <c r="N129" i="29"/>
  <c r="D130" i="65" s="1"/>
  <c r="O129" i="29"/>
  <c r="N130" i="29"/>
  <c r="D131" i="65" s="1"/>
  <c r="O130" i="29"/>
  <c r="N131" i="29"/>
  <c r="D132" i="65" s="1"/>
  <c r="O131" i="29"/>
  <c r="N132" i="29"/>
  <c r="D133" i="65" s="1"/>
  <c r="O132" i="29"/>
  <c r="N133" i="29"/>
  <c r="D134" i="65" s="1"/>
  <c r="O133" i="29"/>
  <c r="N134" i="29"/>
  <c r="D135" i="65" s="1"/>
  <c r="O134" i="29"/>
  <c r="N135" i="29"/>
  <c r="D136" i="65" s="1"/>
  <c r="O135" i="29"/>
  <c r="N136" i="29"/>
  <c r="D137" i="65" s="1"/>
  <c r="O136" i="29"/>
  <c r="N137" i="29"/>
  <c r="D138" i="65" s="1"/>
  <c r="O137" i="29"/>
  <c r="N138" i="29"/>
  <c r="D139" i="65" s="1"/>
  <c r="O138" i="29"/>
  <c r="N139" i="29"/>
  <c r="D140" i="65" s="1"/>
  <c r="O139" i="29"/>
  <c r="N140" i="29"/>
  <c r="D141" i="65" s="1"/>
  <c r="O140" i="29"/>
  <c r="N141" i="29"/>
  <c r="D142" i="65" s="1"/>
  <c r="O141" i="29"/>
  <c r="N142" i="29"/>
  <c r="D143" i="65" s="1"/>
  <c r="O142" i="29"/>
  <c r="N143" i="29"/>
  <c r="D144" i="65" s="1"/>
  <c r="O143" i="29"/>
  <c r="N144" i="29"/>
  <c r="D145" i="65" s="1"/>
  <c r="O144" i="29"/>
  <c r="N145" i="29"/>
  <c r="D146" i="65" s="1"/>
  <c r="O145" i="29"/>
  <c r="N146" i="29"/>
  <c r="D147" i="65" s="1"/>
  <c r="O146" i="29"/>
  <c r="N147" i="29"/>
  <c r="D148" i="65" s="1"/>
  <c r="O147" i="29"/>
  <c r="N148" i="29"/>
  <c r="D149" i="65" s="1"/>
  <c r="O148" i="29"/>
  <c r="N149" i="29"/>
  <c r="D150" i="65" s="1"/>
  <c r="O149" i="29"/>
  <c r="N150" i="29"/>
  <c r="D151" i="65" s="1"/>
  <c r="O150" i="29"/>
  <c r="N151" i="29"/>
  <c r="D152" i="65" s="1"/>
  <c r="O151" i="29"/>
  <c r="N152" i="29"/>
  <c r="D153" i="65" s="1"/>
  <c r="O152" i="29"/>
  <c r="N153" i="29"/>
  <c r="D154" i="65" s="1"/>
  <c r="O153" i="29"/>
  <c r="N154" i="29"/>
  <c r="D155" i="65" s="1"/>
  <c r="O154" i="29"/>
  <c r="N155" i="29"/>
  <c r="D156" i="65" s="1"/>
  <c r="O155" i="29"/>
  <c r="N156" i="29"/>
  <c r="D157" i="65" s="1"/>
  <c r="O156" i="29"/>
  <c r="N157" i="29"/>
  <c r="D158" i="65" s="1"/>
  <c r="O157" i="29"/>
  <c r="N158" i="29"/>
  <c r="D159" i="65" s="1"/>
  <c r="O158" i="29"/>
  <c r="N159" i="29"/>
  <c r="D160" i="65" s="1"/>
  <c r="O159" i="29"/>
  <c r="N160" i="29"/>
  <c r="D161" i="65" s="1"/>
  <c r="O160" i="29"/>
  <c r="N161" i="29"/>
  <c r="D162" i="65" s="1"/>
  <c r="O161" i="29"/>
  <c r="N162" i="29"/>
  <c r="D163" i="65" s="1"/>
  <c r="O162" i="29"/>
  <c r="N163" i="29"/>
  <c r="D164" i="65" s="1"/>
  <c r="O163" i="29"/>
  <c r="N164" i="29"/>
  <c r="D165" i="65" s="1"/>
  <c r="O164" i="29"/>
  <c r="N165" i="29"/>
  <c r="D166" i="65" s="1"/>
  <c r="O165" i="29"/>
  <c r="N166" i="29"/>
  <c r="D167" i="65" s="1"/>
  <c r="O166" i="29"/>
  <c r="N167" i="29"/>
  <c r="D168" i="65" s="1"/>
  <c r="O167" i="29"/>
  <c r="N168" i="29"/>
  <c r="O168" i="29"/>
  <c r="N169" i="29"/>
  <c r="O169" i="29"/>
  <c r="N170" i="29"/>
  <c r="O170" i="29"/>
  <c r="N171" i="29"/>
  <c r="O171" i="29"/>
  <c r="N172" i="29"/>
  <c r="O172" i="29"/>
  <c r="N5" i="29"/>
  <c r="D6" i="65" s="1"/>
  <c r="O5" i="29"/>
  <c r="N6" i="29"/>
  <c r="D7" i="65" s="1"/>
  <c r="O6" i="29"/>
  <c r="N7" i="29"/>
  <c r="D8" i="65" s="1"/>
  <c r="O7" i="29"/>
  <c r="N8" i="29"/>
  <c r="D9" i="65" s="1"/>
  <c r="O8" i="29"/>
  <c r="N9" i="29"/>
  <c r="D10" i="65" s="1"/>
  <c r="O9" i="29"/>
  <c r="N10" i="29"/>
  <c r="D11" i="65" s="1"/>
  <c r="O10" i="29"/>
  <c r="N11" i="29"/>
  <c r="D12" i="65" s="1"/>
  <c r="O11" i="29"/>
  <c r="N12" i="29"/>
  <c r="D13" i="65" s="1"/>
  <c r="O12" i="29"/>
  <c r="N4" i="29"/>
  <c r="D5" i="65" s="1"/>
  <c r="O4" i="29"/>
  <c r="Q170" i="29" l="1"/>
  <c r="E7" i="65"/>
  <c r="H7" i="65" s="1"/>
  <c r="Q6" i="29"/>
  <c r="E147" i="65"/>
  <c r="AK147" i="65" s="1"/>
  <c r="F147" i="65" s="1"/>
  <c r="Q146" i="29"/>
  <c r="E123" i="65"/>
  <c r="AD123" i="65" s="1"/>
  <c r="Q122" i="29"/>
  <c r="E103" i="65"/>
  <c r="T103" i="65" s="1"/>
  <c r="Q102" i="29"/>
  <c r="E12" i="65"/>
  <c r="AG12" i="65" s="1"/>
  <c r="Q11" i="29"/>
  <c r="E8" i="65"/>
  <c r="AE8" i="65" s="1"/>
  <c r="Q7" i="29"/>
  <c r="Q171" i="29"/>
  <c r="E168" i="65"/>
  <c r="Q167" i="29"/>
  <c r="E164" i="65"/>
  <c r="AH164" i="65" s="1"/>
  <c r="Q163" i="29"/>
  <c r="E160" i="65"/>
  <c r="AG160" i="65" s="1"/>
  <c r="Q159" i="29"/>
  <c r="E156" i="65"/>
  <c r="Q155" i="29"/>
  <c r="E152" i="65"/>
  <c r="X152" i="65" s="1"/>
  <c r="Q151" i="29"/>
  <c r="E148" i="65"/>
  <c r="AJ148" i="65" s="1"/>
  <c r="Q147" i="29"/>
  <c r="E144" i="65"/>
  <c r="Q143" i="29"/>
  <c r="E140" i="65"/>
  <c r="X140" i="65" s="1"/>
  <c r="Q139" i="29"/>
  <c r="E136" i="65"/>
  <c r="Q135" i="29"/>
  <c r="E132" i="65"/>
  <c r="M132" i="65" s="1"/>
  <c r="Q131" i="29"/>
  <c r="E128" i="65"/>
  <c r="V128" i="65" s="1"/>
  <c r="Q127" i="29"/>
  <c r="E124" i="65"/>
  <c r="Y124" i="65" s="1"/>
  <c r="Q123" i="29"/>
  <c r="E120" i="65"/>
  <c r="Q119" i="29"/>
  <c r="E116" i="65"/>
  <c r="AG116" i="65" s="1"/>
  <c r="Q115" i="29"/>
  <c r="E112" i="65"/>
  <c r="Q111" i="29"/>
  <c r="E108" i="65"/>
  <c r="T108" i="65" s="1"/>
  <c r="Q107" i="29"/>
  <c r="E104" i="65"/>
  <c r="N104" i="65" s="1"/>
  <c r="Q103" i="29"/>
  <c r="E100" i="65"/>
  <c r="J100" i="65" s="1"/>
  <c r="Q99" i="29"/>
  <c r="E96" i="65"/>
  <c r="H96" i="65" s="1"/>
  <c r="Q95" i="29"/>
  <c r="E92" i="65"/>
  <c r="AE92" i="65" s="1"/>
  <c r="Q91" i="29"/>
  <c r="E159" i="65"/>
  <c r="K159" i="65" s="1"/>
  <c r="Q158" i="29"/>
  <c r="E11" i="65"/>
  <c r="W11" i="65" s="1"/>
  <c r="Q10" i="29"/>
  <c r="E151" i="65"/>
  <c r="AC151" i="65" s="1"/>
  <c r="Q150" i="29"/>
  <c r="E131" i="65"/>
  <c r="K131" i="65" s="1"/>
  <c r="Q130" i="29"/>
  <c r="E99" i="65"/>
  <c r="AH99" i="65" s="1"/>
  <c r="Q98" i="29"/>
  <c r="E143" i="65"/>
  <c r="AK143" i="65" s="1"/>
  <c r="F143" i="65" s="1"/>
  <c r="Q142" i="29"/>
  <c r="E115" i="65"/>
  <c r="Q114" i="29"/>
  <c r="E5" i="65"/>
  <c r="Q4" i="29"/>
  <c r="E10" i="65"/>
  <c r="Q9" i="29"/>
  <c r="E6" i="65"/>
  <c r="G6" i="65" s="1"/>
  <c r="Q5" i="29"/>
  <c r="Q169" i="29"/>
  <c r="E166" i="65"/>
  <c r="Q165" i="29"/>
  <c r="E162" i="65"/>
  <c r="AF162" i="65" s="1"/>
  <c r="Q161" i="29"/>
  <c r="E158" i="65"/>
  <c r="Q157" i="29"/>
  <c r="E154" i="65"/>
  <c r="U154" i="65" s="1"/>
  <c r="Q153" i="29"/>
  <c r="E150" i="65"/>
  <c r="Q149" i="29"/>
  <c r="E146" i="65"/>
  <c r="Q145" i="29"/>
  <c r="E142" i="65"/>
  <c r="AG142" i="65" s="1"/>
  <c r="Q141" i="29"/>
  <c r="E138" i="65"/>
  <c r="Q137" i="29"/>
  <c r="E134" i="65"/>
  <c r="Q133" i="29"/>
  <c r="E130" i="65"/>
  <c r="Q129" i="29"/>
  <c r="E126" i="65"/>
  <c r="O126" i="65" s="1"/>
  <c r="Q125" i="29"/>
  <c r="E122" i="65"/>
  <c r="Q121" i="29"/>
  <c r="E118" i="65"/>
  <c r="Q117" i="29"/>
  <c r="E114" i="65"/>
  <c r="Q113" i="29"/>
  <c r="E110" i="65"/>
  <c r="Q109" i="29"/>
  <c r="E106" i="65"/>
  <c r="H106" i="65" s="1"/>
  <c r="Q105" i="29"/>
  <c r="E102" i="65"/>
  <c r="M102" i="65" s="1"/>
  <c r="Q101" i="29"/>
  <c r="E98" i="65"/>
  <c r="Q97" i="29"/>
  <c r="E94" i="65"/>
  <c r="Z94" i="65" s="1"/>
  <c r="Q93" i="29"/>
  <c r="E155" i="65"/>
  <c r="I155" i="65" s="1"/>
  <c r="Q154" i="29"/>
  <c r="E127" i="65"/>
  <c r="AK127" i="65" s="1"/>
  <c r="F127" i="65" s="1"/>
  <c r="Q126" i="29"/>
  <c r="E107" i="65"/>
  <c r="U107" i="65" s="1"/>
  <c r="Q106" i="29"/>
  <c r="E167" i="65"/>
  <c r="L167" i="65" s="1"/>
  <c r="Q166" i="29"/>
  <c r="E135" i="65"/>
  <c r="AK135" i="65" s="1"/>
  <c r="F135" i="65" s="1"/>
  <c r="Q134" i="29"/>
  <c r="E111" i="65"/>
  <c r="AK111" i="65" s="1"/>
  <c r="F111" i="65" s="1"/>
  <c r="Q110" i="29"/>
  <c r="E13" i="65"/>
  <c r="Q12" i="29"/>
  <c r="E9" i="65"/>
  <c r="Q8" i="29"/>
  <c r="Q172" i="29"/>
  <c r="Q168" i="29"/>
  <c r="E165" i="65"/>
  <c r="Q164" i="29"/>
  <c r="E161" i="65"/>
  <c r="Q160" i="29"/>
  <c r="E157" i="65"/>
  <c r="G157" i="65" s="1"/>
  <c r="Q156" i="29"/>
  <c r="E153" i="65"/>
  <c r="AC153" i="65" s="1"/>
  <c r="Q152" i="29"/>
  <c r="E149" i="65"/>
  <c r="N149" i="65" s="1"/>
  <c r="Q148" i="29"/>
  <c r="E145" i="65"/>
  <c r="Q144" i="29"/>
  <c r="E141" i="65"/>
  <c r="Q140" i="29"/>
  <c r="E137" i="65"/>
  <c r="Q136" i="29"/>
  <c r="E133" i="65"/>
  <c r="O133" i="65" s="1"/>
  <c r="Q132" i="29"/>
  <c r="E129" i="65"/>
  <c r="T129" i="65" s="1"/>
  <c r="Q128" i="29"/>
  <c r="E125" i="65"/>
  <c r="Q124" i="29"/>
  <c r="E121" i="65"/>
  <c r="Q120" i="29"/>
  <c r="E117" i="65"/>
  <c r="Q116" i="29"/>
  <c r="E113" i="65"/>
  <c r="Q112" i="29"/>
  <c r="E109" i="65"/>
  <c r="R109" i="65" s="1"/>
  <c r="Q108" i="29"/>
  <c r="E105" i="65"/>
  <c r="P105" i="65" s="1"/>
  <c r="Q104" i="29"/>
  <c r="E101" i="65"/>
  <c r="N101" i="65" s="1"/>
  <c r="Q100" i="29"/>
  <c r="E97" i="65"/>
  <c r="Q96" i="29"/>
  <c r="E93" i="65"/>
  <c r="T93" i="65" s="1"/>
  <c r="Q92" i="29"/>
  <c r="E163" i="65"/>
  <c r="K163" i="65" s="1"/>
  <c r="Q162" i="29"/>
  <c r="E139" i="65"/>
  <c r="N139" i="65" s="1"/>
  <c r="Q138" i="29"/>
  <c r="E119" i="65"/>
  <c r="Q118" i="29"/>
  <c r="E95" i="65"/>
  <c r="AJ95" i="65" s="1"/>
  <c r="Q94" i="29"/>
  <c r="Z2" i="37"/>
  <c r="Y1" i="37"/>
  <c r="M172" i="29"/>
  <c r="J172" i="29" s="1"/>
  <c r="M171" i="29"/>
  <c r="J171" i="29" s="1"/>
  <c r="M168" i="29"/>
  <c r="J168" i="29" s="1"/>
  <c r="M167" i="29"/>
  <c r="J167" i="29" s="1"/>
  <c r="M166" i="29"/>
  <c r="J166" i="29" s="1"/>
  <c r="M160" i="29"/>
  <c r="J160" i="29" s="1"/>
  <c r="M159" i="29"/>
  <c r="J159" i="29" s="1"/>
  <c r="M157" i="29"/>
  <c r="J157" i="29" s="1"/>
  <c r="M156" i="29"/>
  <c r="J156" i="29" s="1"/>
  <c r="M155" i="29"/>
  <c r="J155" i="29" s="1"/>
  <c r="M154" i="29"/>
  <c r="J154" i="29" s="1"/>
  <c r="M153" i="29"/>
  <c r="J153" i="29" s="1"/>
  <c r="M150" i="29"/>
  <c r="J150" i="29" s="1"/>
  <c r="M149" i="29"/>
  <c r="J149" i="29" s="1"/>
  <c r="M147" i="29"/>
  <c r="J147" i="29" s="1"/>
  <c r="M146" i="29"/>
  <c r="J146" i="29" s="1"/>
  <c r="M139" i="29"/>
  <c r="J139" i="29" s="1"/>
  <c r="M138" i="29"/>
  <c r="J138" i="29" s="1"/>
  <c r="M137" i="29"/>
  <c r="J137" i="29" s="1"/>
  <c r="M135" i="29"/>
  <c r="J135" i="29" s="1"/>
  <c r="M134" i="29"/>
  <c r="J134" i="29" s="1"/>
  <c r="M131" i="29"/>
  <c r="J131" i="29" s="1"/>
  <c r="M130" i="29"/>
  <c r="J130" i="29" s="1"/>
  <c r="M129" i="29"/>
  <c r="J129" i="29" s="1"/>
  <c r="M116" i="29"/>
  <c r="J116" i="29" s="1"/>
  <c r="M115" i="29"/>
  <c r="J115" i="29" s="1"/>
  <c r="M109" i="29"/>
  <c r="J109" i="29" s="1"/>
  <c r="M108" i="29"/>
  <c r="J108" i="29" s="1"/>
  <c r="M107" i="29"/>
  <c r="J107" i="29" s="1"/>
  <c r="M104" i="29"/>
  <c r="J104" i="29" s="1"/>
  <c r="M103" i="29"/>
  <c r="J103" i="29" s="1"/>
  <c r="M102" i="29"/>
  <c r="J102" i="29" s="1"/>
  <c r="M99" i="29"/>
  <c r="J99" i="29" s="1"/>
  <c r="M96" i="29"/>
  <c r="J96" i="29" s="1"/>
  <c r="M95" i="29"/>
  <c r="J95" i="29" s="1"/>
  <c r="M94" i="29"/>
  <c r="J94" i="29" s="1"/>
  <c r="M92" i="29"/>
  <c r="J92" i="29" s="1"/>
  <c r="M91" i="29"/>
  <c r="J91" i="29" s="1"/>
  <c r="M164" i="29"/>
  <c r="J164" i="29" s="1"/>
  <c r="M163" i="29"/>
  <c r="J163" i="29" s="1"/>
  <c r="M152" i="29"/>
  <c r="J152" i="29" s="1"/>
  <c r="M148" i="29"/>
  <c r="J148" i="29" s="1"/>
  <c r="M144" i="29"/>
  <c r="J144" i="29" s="1"/>
  <c r="M143" i="29"/>
  <c r="J143" i="29" s="1"/>
  <c r="M127" i="29"/>
  <c r="J127" i="29" s="1"/>
  <c r="M124" i="29"/>
  <c r="J124" i="29" s="1"/>
  <c r="M121" i="29"/>
  <c r="J121" i="29" s="1"/>
  <c r="M118" i="29"/>
  <c r="J118" i="29" s="1"/>
  <c r="M117" i="29"/>
  <c r="J117" i="29" s="1"/>
  <c r="M114" i="29"/>
  <c r="J114" i="29" s="1"/>
  <c r="M113" i="29"/>
  <c r="J113" i="29" s="1"/>
  <c r="M100" i="29"/>
  <c r="J100" i="29" s="1"/>
  <c r="M170" i="29"/>
  <c r="J170" i="29" s="1"/>
  <c r="M169" i="29"/>
  <c r="J169" i="29" s="1"/>
  <c r="M162" i="29"/>
  <c r="J162" i="29" s="1"/>
  <c r="M145" i="29"/>
  <c r="J145" i="29" s="1"/>
  <c r="M133" i="29"/>
  <c r="J133" i="29" s="1"/>
  <c r="M141" i="29"/>
  <c r="J141" i="29" s="1"/>
  <c r="M165" i="29"/>
  <c r="J165" i="29" s="1"/>
  <c r="M158" i="29"/>
  <c r="J158" i="29" s="1"/>
  <c r="M161" i="29"/>
  <c r="J161" i="29" s="1"/>
  <c r="M142" i="29"/>
  <c r="J142" i="29" s="1"/>
  <c r="M140" i="29"/>
  <c r="J140" i="29" s="1"/>
  <c r="M136" i="29"/>
  <c r="J136" i="29" s="1"/>
  <c r="M132" i="29"/>
  <c r="J132" i="29" s="1"/>
  <c r="M123" i="29"/>
  <c r="J123" i="29" s="1"/>
  <c r="M119" i="29"/>
  <c r="J119" i="29" s="1"/>
  <c r="M151" i="29"/>
  <c r="J151" i="29" s="1"/>
  <c r="M128" i="29"/>
  <c r="J128" i="29" s="1"/>
  <c r="M126" i="29"/>
  <c r="J126" i="29" s="1"/>
  <c r="M125" i="29"/>
  <c r="J125" i="29" s="1"/>
  <c r="M120" i="29"/>
  <c r="J120" i="29" s="1"/>
  <c r="M112" i="29"/>
  <c r="J112" i="29" s="1"/>
  <c r="M110" i="29"/>
  <c r="J110" i="29" s="1"/>
  <c r="M122" i="29"/>
  <c r="J122" i="29" s="1"/>
  <c r="M111" i="29"/>
  <c r="J111" i="29" s="1"/>
  <c r="M106" i="29"/>
  <c r="J106" i="29" s="1"/>
  <c r="M98" i="29"/>
  <c r="J98" i="29" s="1"/>
  <c r="M105" i="29"/>
  <c r="J105" i="29" s="1"/>
  <c r="M93" i="29"/>
  <c r="J93" i="29" s="1"/>
  <c r="M101" i="29"/>
  <c r="J101" i="29" s="1"/>
  <c r="M97" i="29"/>
  <c r="J97" i="29" s="1"/>
  <c r="G103" i="65" l="1"/>
  <c r="Z127" i="65"/>
  <c r="AE135" i="65"/>
  <c r="O139" i="65"/>
  <c r="H143" i="65"/>
  <c r="M151" i="65"/>
  <c r="AI151" i="65"/>
  <c r="AA155" i="65"/>
  <c r="AG163" i="65"/>
  <c r="R7" i="65"/>
  <c r="AA11" i="65"/>
  <c r="R96" i="65"/>
  <c r="X100" i="65"/>
  <c r="H116" i="65"/>
  <c r="J164" i="65"/>
  <c r="W128" i="65"/>
  <c r="Y12" i="65"/>
  <c r="AK163" i="65"/>
  <c r="F163" i="65" s="1"/>
  <c r="AF111" i="65"/>
  <c r="S127" i="65"/>
  <c r="R135" i="65"/>
  <c r="U139" i="65"/>
  <c r="M143" i="65"/>
  <c r="I151" i="65"/>
  <c r="G155" i="65"/>
  <c r="S155" i="65"/>
  <c r="P163" i="65"/>
  <c r="J7" i="65"/>
  <c r="N11" i="65"/>
  <c r="AB96" i="65"/>
  <c r="AG100" i="65"/>
  <c r="AE116" i="65"/>
  <c r="AG164" i="65"/>
  <c r="R153" i="65"/>
  <c r="K142" i="65"/>
  <c r="AH132" i="65"/>
  <c r="V105" i="65"/>
  <c r="Z126" i="65"/>
  <c r="AK116" i="65"/>
  <c r="F116" i="65" s="1"/>
  <c r="N111" i="65"/>
  <c r="W131" i="65"/>
  <c r="H135" i="65"/>
  <c r="AI139" i="65"/>
  <c r="S143" i="65"/>
  <c r="Y151" i="65"/>
  <c r="J155" i="65"/>
  <c r="K155" i="65"/>
  <c r="G163" i="65"/>
  <c r="AE7" i="65"/>
  <c r="AG11" i="65"/>
  <c r="S96" i="65"/>
  <c r="N100" i="65"/>
  <c r="P116" i="65"/>
  <c r="R164" i="65"/>
  <c r="AA153" i="65"/>
  <c r="AD154" i="65"/>
  <c r="X132" i="65"/>
  <c r="Z149" i="65"/>
  <c r="H138" i="65"/>
  <c r="AK105" i="65"/>
  <c r="F105" i="65" s="1"/>
  <c r="K111" i="65"/>
  <c r="AD135" i="65"/>
  <c r="G135" i="65"/>
  <c r="W143" i="65"/>
  <c r="K143" i="65"/>
  <c r="AJ151" i="65"/>
  <c r="AD155" i="65"/>
  <c r="AE163" i="65"/>
  <c r="AI163" i="65"/>
  <c r="W7" i="65"/>
  <c r="O11" i="65"/>
  <c r="J96" i="65"/>
  <c r="AC100" i="65"/>
  <c r="AH116" i="65"/>
  <c r="O8" i="65"/>
  <c r="J153" i="65"/>
  <c r="U132" i="65"/>
  <c r="AK106" i="65"/>
  <c r="F106" i="65" s="1"/>
  <c r="L135" i="65"/>
  <c r="O135" i="65"/>
  <c r="U143" i="65"/>
  <c r="AJ147" i="65"/>
  <c r="V151" i="65"/>
  <c r="AC155" i="65"/>
  <c r="H163" i="65"/>
  <c r="M7" i="65"/>
  <c r="O7" i="65"/>
  <c r="G11" i="65"/>
  <c r="G100" i="65"/>
  <c r="U100" i="65"/>
  <c r="H124" i="65"/>
  <c r="R106" i="65"/>
  <c r="L92" i="65"/>
  <c r="Y160" i="65"/>
  <c r="O157" i="65"/>
  <c r="Q99" i="65"/>
  <c r="J135" i="65"/>
  <c r="AI135" i="65"/>
  <c r="T143" i="65"/>
  <c r="X147" i="65"/>
  <c r="AB151" i="65"/>
  <c r="N155" i="65"/>
  <c r="O163" i="65"/>
  <c r="L7" i="65"/>
  <c r="AC11" i="65"/>
  <c r="L96" i="65"/>
  <c r="AI100" i="65"/>
  <c r="Y108" i="65"/>
  <c r="V148" i="65"/>
  <c r="AI93" i="65"/>
  <c r="AF106" i="65"/>
  <c r="AF104" i="65"/>
  <c r="P160" i="65"/>
  <c r="AD102" i="65"/>
  <c r="L99" i="65"/>
  <c r="X127" i="65"/>
  <c r="V135" i="65"/>
  <c r="AA135" i="65"/>
  <c r="AC143" i="65"/>
  <c r="L147" i="65"/>
  <c r="T151" i="65"/>
  <c r="W155" i="65"/>
  <c r="AJ163" i="65"/>
  <c r="AD7" i="65"/>
  <c r="I11" i="65"/>
  <c r="N96" i="65"/>
  <c r="Q100" i="65"/>
  <c r="AD116" i="65"/>
  <c r="P148" i="65"/>
  <c r="S106" i="65"/>
  <c r="AE128" i="65"/>
  <c r="AB102" i="65"/>
  <c r="V99" i="65"/>
  <c r="I127" i="65"/>
  <c r="AF135" i="65"/>
  <c r="Y139" i="65"/>
  <c r="R143" i="65"/>
  <c r="W151" i="65"/>
  <c r="J151" i="65"/>
  <c r="M155" i="65"/>
  <c r="N163" i="65"/>
  <c r="AG7" i="65"/>
  <c r="AB11" i="65"/>
  <c r="G96" i="65"/>
  <c r="L100" i="65"/>
  <c r="AB116" i="65"/>
  <c r="Z148" i="65"/>
  <c r="T5" i="65"/>
  <c r="I5" i="65"/>
  <c r="J5" i="65"/>
  <c r="AI107" i="65"/>
  <c r="AF131" i="65"/>
  <c r="G108" i="65"/>
  <c r="G165" i="65"/>
  <c r="K165" i="65"/>
  <c r="AD165" i="65"/>
  <c r="T165" i="65"/>
  <c r="L165" i="65"/>
  <c r="AC165" i="65"/>
  <c r="M165" i="65"/>
  <c r="N165" i="65"/>
  <c r="U165" i="65"/>
  <c r="AJ165" i="65"/>
  <c r="V165" i="65"/>
  <c r="AA165" i="65"/>
  <c r="AB165" i="65"/>
  <c r="AA107" i="65"/>
  <c r="T124" i="65"/>
  <c r="P149" i="65"/>
  <c r="G149" i="65"/>
  <c r="AC149" i="65"/>
  <c r="O149" i="65"/>
  <c r="L149" i="65"/>
  <c r="W149" i="65"/>
  <c r="AD149" i="65"/>
  <c r="AE149" i="65"/>
  <c r="T149" i="65"/>
  <c r="X149" i="65"/>
  <c r="S149" i="65"/>
  <c r="AI149" i="65"/>
  <c r="U149" i="65"/>
  <c r="K127" i="65"/>
  <c r="AH131" i="65"/>
  <c r="AH124" i="65"/>
  <c r="S112" i="65"/>
  <c r="AJ112" i="65"/>
  <c r="AI112" i="65"/>
  <c r="G112" i="65"/>
  <c r="O112" i="65"/>
  <c r="Q112" i="65"/>
  <c r="X112" i="65"/>
  <c r="M112" i="65"/>
  <c r="AA112" i="65"/>
  <c r="Y112" i="65"/>
  <c r="U112" i="65"/>
  <c r="T112" i="65"/>
  <c r="I112" i="65"/>
  <c r="AC112" i="65"/>
  <c r="AH112" i="65"/>
  <c r="AF112" i="65"/>
  <c r="M128" i="65"/>
  <c r="AG128" i="65"/>
  <c r="Z128" i="65"/>
  <c r="G128" i="65"/>
  <c r="AF128" i="65"/>
  <c r="Q128" i="65"/>
  <c r="L128" i="65"/>
  <c r="AB128" i="65"/>
  <c r="N128" i="65"/>
  <c r="I128" i="65"/>
  <c r="P128" i="65"/>
  <c r="AD128" i="65"/>
  <c r="T128" i="65"/>
  <c r="S144" i="65"/>
  <c r="M144" i="65"/>
  <c r="AD144" i="65"/>
  <c r="P144" i="65"/>
  <c r="U144" i="65"/>
  <c r="L144" i="65"/>
  <c r="V144" i="65"/>
  <c r="AC144" i="65"/>
  <c r="Z144" i="65"/>
  <c r="W144" i="65"/>
  <c r="J144" i="65"/>
  <c r="AG144" i="65"/>
  <c r="Q144" i="65"/>
  <c r="N144" i="65"/>
  <c r="AA144" i="65"/>
  <c r="AF144" i="65"/>
  <c r="M160" i="65"/>
  <c r="H160" i="65"/>
  <c r="G160" i="65"/>
  <c r="R160" i="65"/>
  <c r="AA160" i="65"/>
  <c r="AD160" i="65"/>
  <c r="AF160" i="65"/>
  <c r="T160" i="65"/>
  <c r="N160" i="65"/>
  <c r="J160" i="65"/>
  <c r="L160" i="65"/>
  <c r="O160" i="65"/>
  <c r="AE160" i="65"/>
  <c r="AJ160" i="65"/>
  <c r="I111" i="65"/>
  <c r="AJ111" i="65"/>
  <c r="AI123" i="65"/>
  <c r="U127" i="65"/>
  <c r="AD131" i="65"/>
  <c r="Y131" i="65"/>
  <c r="I135" i="65"/>
  <c r="AB135" i="65"/>
  <c r="S135" i="65"/>
  <c r="AB139" i="65"/>
  <c r="S139" i="65"/>
  <c r="AH143" i="65"/>
  <c r="G143" i="65"/>
  <c r="AE147" i="65"/>
  <c r="N147" i="65"/>
  <c r="AF151" i="65"/>
  <c r="H151" i="65"/>
  <c r="AA151" i="65"/>
  <c r="AJ155" i="65"/>
  <c r="AF155" i="65"/>
  <c r="L159" i="65"/>
  <c r="AD163" i="65"/>
  <c r="W163" i="65"/>
  <c r="AA163" i="65"/>
  <c r="K7" i="65"/>
  <c r="AC7" i="65"/>
  <c r="G7" i="65"/>
  <c r="H11" i="65"/>
  <c r="V11" i="65"/>
  <c r="K96" i="65"/>
  <c r="AD96" i="65"/>
  <c r="AF96" i="65"/>
  <c r="AD100" i="65"/>
  <c r="V100" i="65"/>
  <c r="M100" i="65"/>
  <c r="W108" i="65"/>
  <c r="G116" i="65"/>
  <c r="N116" i="65"/>
  <c r="H148" i="65"/>
  <c r="AE164" i="65"/>
  <c r="W142" i="65"/>
  <c r="S162" i="65"/>
  <c r="AD104" i="65"/>
  <c r="S128" i="65"/>
  <c r="X160" i="65"/>
  <c r="H133" i="65"/>
  <c r="J107" i="65"/>
  <c r="M156" i="65"/>
  <c r="Y156" i="65"/>
  <c r="AD156" i="65"/>
  <c r="AH156" i="65"/>
  <c r="I156" i="65"/>
  <c r="L156" i="65"/>
  <c r="O156" i="65"/>
  <c r="AJ156" i="65"/>
  <c r="Z156" i="65"/>
  <c r="Y129" i="65"/>
  <c r="Y102" i="65"/>
  <c r="O102" i="65"/>
  <c r="Z102" i="65"/>
  <c r="I102" i="65"/>
  <c r="S102" i="65"/>
  <c r="Q102" i="65"/>
  <c r="AF102" i="65"/>
  <c r="AA102" i="65"/>
  <c r="L102" i="65"/>
  <c r="AJ102" i="65"/>
  <c r="V102" i="65"/>
  <c r="Y134" i="65"/>
  <c r="I134" i="65"/>
  <c r="AC134" i="65"/>
  <c r="Q134" i="65"/>
  <c r="AE134" i="65"/>
  <c r="AA134" i="65"/>
  <c r="T134" i="65"/>
  <c r="AJ134" i="65"/>
  <c r="W134" i="65"/>
  <c r="N134" i="65"/>
  <c r="AF134" i="65"/>
  <c r="X134" i="65"/>
  <c r="AH134" i="65"/>
  <c r="AE150" i="65"/>
  <c r="G150" i="65"/>
  <c r="X150" i="65"/>
  <c r="AB150" i="65"/>
  <c r="AD150" i="65"/>
  <c r="Y150" i="65"/>
  <c r="AH150" i="65"/>
  <c r="AG150" i="65"/>
  <c r="K150" i="65"/>
  <c r="M150" i="65"/>
  <c r="AI150" i="65"/>
  <c r="V150" i="65"/>
  <c r="U150" i="65"/>
  <c r="H166" i="65"/>
  <c r="Y166" i="65"/>
  <c r="W166" i="65"/>
  <c r="AG166" i="65"/>
  <c r="AD166" i="65"/>
  <c r="O166" i="65"/>
  <c r="N166" i="65"/>
  <c r="Z166" i="65"/>
  <c r="T166" i="65"/>
  <c r="P166" i="65"/>
  <c r="X166" i="65"/>
  <c r="AB166" i="65"/>
  <c r="J166" i="65"/>
  <c r="J8" i="65"/>
  <c r="I8" i="65"/>
  <c r="AF8" i="65"/>
  <c r="Q8" i="65"/>
  <c r="W8" i="65"/>
  <c r="Y8" i="65"/>
  <c r="G8" i="65"/>
  <c r="AG8" i="65"/>
  <c r="X8" i="65"/>
  <c r="K8" i="65"/>
  <c r="L8" i="65"/>
  <c r="U8" i="65"/>
  <c r="AJ8" i="65"/>
  <c r="V133" i="65"/>
  <c r="W102" i="65"/>
  <c r="J6" i="65"/>
  <c r="G105" i="65"/>
  <c r="R105" i="65"/>
  <c r="AG105" i="65"/>
  <c r="AC105" i="65"/>
  <c r="X105" i="65"/>
  <c r="W105" i="65"/>
  <c r="I105" i="65"/>
  <c r="AI105" i="65"/>
  <c r="AE105" i="65"/>
  <c r="AD105" i="65"/>
  <c r="U105" i="65"/>
  <c r="J105" i="65"/>
  <c r="T105" i="65"/>
  <c r="K105" i="65"/>
  <c r="S105" i="65"/>
  <c r="L105" i="65"/>
  <c r="AJ105" i="65"/>
  <c r="G137" i="65"/>
  <c r="I137" i="65"/>
  <c r="N153" i="65"/>
  <c r="O153" i="65"/>
  <c r="T153" i="65"/>
  <c r="AB153" i="65"/>
  <c r="W153" i="65"/>
  <c r="K153" i="65"/>
  <c r="AH153" i="65"/>
  <c r="AE153" i="65"/>
  <c r="AF153" i="65"/>
  <c r="P153" i="65"/>
  <c r="AG153" i="65"/>
  <c r="H153" i="65"/>
  <c r="AJ153" i="65"/>
  <c r="I153" i="65"/>
  <c r="Z153" i="65"/>
  <c r="Q153" i="65"/>
  <c r="S153" i="65"/>
  <c r="L153" i="65"/>
  <c r="G106" i="65"/>
  <c r="I106" i="65"/>
  <c r="AC106" i="65"/>
  <c r="AJ106" i="65"/>
  <c r="Q106" i="65"/>
  <c r="J106" i="65"/>
  <c r="W106" i="65"/>
  <c r="Y106" i="65"/>
  <c r="U106" i="65"/>
  <c r="L106" i="65"/>
  <c r="AG106" i="65"/>
  <c r="K106" i="65"/>
  <c r="V106" i="65"/>
  <c r="Z106" i="65"/>
  <c r="AE106" i="65"/>
  <c r="X106" i="65"/>
  <c r="AI106" i="65"/>
  <c r="N106" i="65"/>
  <c r="AA106" i="65"/>
  <c r="I138" i="65"/>
  <c r="G138" i="65"/>
  <c r="I154" i="65"/>
  <c r="J154" i="65"/>
  <c r="AC154" i="65"/>
  <c r="S154" i="65"/>
  <c r="K154" i="65"/>
  <c r="Z154" i="65"/>
  <c r="V154" i="65"/>
  <c r="G154" i="65"/>
  <c r="Y154" i="65"/>
  <c r="AF154" i="65"/>
  <c r="AJ154" i="65"/>
  <c r="AG154" i="65"/>
  <c r="W154" i="65"/>
  <c r="P154" i="65"/>
  <c r="L154" i="65"/>
  <c r="AH154" i="65"/>
  <c r="AA154" i="65"/>
  <c r="M12" i="65"/>
  <c r="AE12" i="65"/>
  <c r="P12" i="65"/>
  <c r="AC12" i="65"/>
  <c r="N12" i="65"/>
  <c r="AH12" i="65"/>
  <c r="Z12" i="65"/>
  <c r="X12" i="65"/>
  <c r="R12" i="65"/>
  <c r="AI12" i="65"/>
  <c r="AJ12" i="65"/>
  <c r="I12" i="65"/>
  <c r="G12" i="65"/>
  <c r="U12" i="65"/>
  <c r="Q12" i="65"/>
  <c r="S12" i="65"/>
  <c r="W12" i="65"/>
  <c r="AB103" i="65"/>
  <c r="L111" i="65"/>
  <c r="Y111" i="65"/>
  <c r="AA123" i="65"/>
  <c r="AC127" i="65"/>
  <c r="H131" i="65"/>
  <c r="P131" i="65"/>
  <c r="T135" i="65"/>
  <c r="Q135" i="65"/>
  <c r="K135" i="65"/>
  <c r="I139" i="65"/>
  <c r="K139" i="65"/>
  <c r="Y143" i="65"/>
  <c r="Z143" i="65"/>
  <c r="AC147" i="65"/>
  <c r="AG147" i="65"/>
  <c r="AE151" i="65"/>
  <c r="R151" i="65"/>
  <c r="S151" i="65"/>
  <c r="Q155" i="65"/>
  <c r="V155" i="65"/>
  <c r="S159" i="65"/>
  <c r="U163" i="65"/>
  <c r="M163" i="65"/>
  <c r="M167" i="65"/>
  <c r="AJ7" i="65"/>
  <c r="S7" i="65"/>
  <c r="S11" i="65"/>
  <c r="AF11" i="65"/>
  <c r="L11" i="65"/>
  <c r="AI96" i="65"/>
  <c r="AC96" i="65"/>
  <c r="H100" i="65"/>
  <c r="AB100" i="65"/>
  <c r="K100" i="65"/>
  <c r="AE108" i="65"/>
  <c r="L108" i="65"/>
  <c r="Z116" i="65"/>
  <c r="X116" i="65"/>
  <c r="K144" i="65"/>
  <c r="L148" i="65"/>
  <c r="O164" i="65"/>
  <c r="AI101" i="65"/>
  <c r="G153" i="65"/>
  <c r="H154" i="65"/>
  <c r="V166" i="65"/>
  <c r="V112" i="65"/>
  <c r="X128" i="65"/>
  <c r="AH140" i="65"/>
  <c r="K12" i="65"/>
  <c r="AF105" i="65"/>
  <c r="R165" i="65"/>
  <c r="K134" i="65"/>
  <c r="W150" i="65"/>
  <c r="Q6" i="65"/>
  <c r="AG97" i="65"/>
  <c r="W97" i="65"/>
  <c r="O97" i="65"/>
  <c r="S97" i="65"/>
  <c r="O161" i="65"/>
  <c r="S161" i="65"/>
  <c r="AC161" i="65"/>
  <c r="R161" i="65"/>
  <c r="AA98" i="65"/>
  <c r="V98" i="65"/>
  <c r="U98" i="65"/>
  <c r="AE98" i="65"/>
  <c r="H98" i="65"/>
  <c r="W162" i="65"/>
  <c r="AD162" i="65"/>
  <c r="O162" i="65"/>
  <c r="G123" i="65"/>
  <c r="W133" i="65"/>
  <c r="AC133" i="65"/>
  <c r="Q133" i="65"/>
  <c r="M133" i="65"/>
  <c r="U133" i="65"/>
  <c r="X133" i="65"/>
  <c r="AD133" i="65"/>
  <c r="AH133" i="65"/>
  <c r="L133" i="65"/>
  <c r="AJ133" i="65"/>
  <c r="Z133" i="65"/>
  <c r="AH127" i="65"/>
  <c r="Y127" i="65"/>
  <c r="H139" i="65"/>
  <c r="V139" i="65"/>
  <c r="AF143" i="65"/>
  <c r="L143" i="65"/>
  <c r="P143" i="65"/>
  <c r="P147" i="65"/>
  <c r="J147" i="65"/>
  <c r="AE155" i="65"/>
  <c r="L155" i="65"/>
  <c r="AC163" i="65"/>
  <c r="AF163" i="65"/>
  <c r="N7" i="65"/>
  <c r="I7" i="65"/>
  <c r="J11" i="65"/>
  <c r="R11" i="65"/>
  <c r="AH11" i="65"/>
  <c r="AJ96" i="65"/>
  <c r="Q96" i="65"/>
  <c r="AJ100" i="65"/>
  <c r="O100" i="65"/>
  <c r="AE100" i="65"/>
  <c r="AA108" i="65"/>
  <c r="K108" i="65"/>
  <c r="Y116" i="65"/>
  <c r="AI144" i="65"/>
  <c r="AJ161" i="65"/>
  <c r="AI154" i="65"/>
  <c r="AI166" i="65"/>
  <c r="W112" i="65"/>
  <c r="O128" i="65"/>
  <c r="J12" i="65"/>
  <c r="M105" i="65"/>
  <c r="G133" i="65"/>
  <c r="Q165" i="65"/>
  <c r="AB134" i="65"/>
  <c r="T150" i="65"/>
  <c r="N13" i="65"/>
  <c r="H13" i="65"/>
  <c r="AD13" i="65"/>
  <c r="S130" i="65"/>
  <c r="V130" i="65"/>
  <c r="AH130" i="65"/>
  <c r="AI130" i="65"/>
  <c r="R130" i="65"/>
  <c r="W130" i="65"/>
  <c r="V123" i="65"/>
  <c r="G101" i="65"/>
  <c r="K101" i="65"/>
  <c r="AF101" i="65"/>
  <c r="T101" i="65"/>
  <c r="AJ101" i="65"/>
  <c r="AC101" i="65"/>
  <c r="I101" i="65"/>
  <c r="L101" i="65"/>
  <c r="U101" i="65"/>
  <c r="AH101" i="65"/>
  <c r="Z101" i="65"/>
  <c r="Y101" i="65"/>
  <c r="AA101" i="65"/>
  <c r="AA139" i="65"/>
  <c r="AC116" i="65"/>
  <c r="M116" i="65"/>
  <c r="U116" i="65"/>
  <c r="R116" i="65"/>
  <c r="AA116" i="65"/>
  <c r="AJ116" i="65"/>
  <c r="K116" i="65"/>
  <c r="AK132" i="65"/>
  <c r="F132" i="65" s="1"/>
  <c r="AC132" i="65"/>
  <c r="Y132" i="65"/>
  <c r="R132" i="65"/>
  <c r="N132" i="65"/>
  <c r="O132" i="65"/>
  <c r="AB132" i="65"/>
  <c r="W132" i="65"/>
  <c r="Z132" i="65"/>
  <c r="AD132" i="65"/>
  <c r="AF132" i="65"/>
  <c r="G132" i="65"/>
  <c r="I132" i="65"/>
  <c r="AG132" i="65"/>
  <c r="T132" i="65"/>
  <c r="J132" i="65"/>
  <c r="L132" i="65"/>
  <c r="H132" i="65"/>
  <c r="P132" i="65"/>
  <c r="AC148" i="65"/>
  <c r="W148" i="65"/>
  <c r="AD148" i="65"/>
  <c r="AG148" i="65"/>
  <c r="K148" i="65"/>
  <c r="M148" i="65"/>
  <c r="AH148" i="65"/>
  <c r="Q148" i="65"/>
  <c r="U148" i="65"/>
  <c r="Y148" i="65"/>
  <c r="S148" i="65"/>
  <c r="R148" i="65"/>
  <c r="O148" i="65"/>
  <c r="T148" i="65"/>
  <c r="AA148" i="65"/>
  <c r="AI148" i="65"/>
  <c r="G148" i="65"/>
  <c r="L164" i="65"/>
  <c r="M164" i="65"/>
  <c r="Y164" i="65"/>
  <c r="G164" i="65"/>
  <c r="U164" i="65"/>
  <c r="AI164" i="65"/>
  <c r="H164" i="65"/>
  <c r="AC164" i="65"/>
  <c r="Z164" i="65"/>
  <c r="T164" i="65"/>
  <c r="N164" i="65"/>
  <c r="P164" i="65"/>
  <c r="V164" i="65"/>
  <c r="W164" i="65"/>
  <c r="AD164" i="65"/>
  <c r="AA164" i="65"/>
  <c r="AF164" i="65"/>
  <c r="Q164" i="65"/>
  <c r="AB164" i="65"/>
  <c r="AK139" i="65"/>
  <c r="F139" i="65" s="1"/>
  <c r="J111" i="65"/>
  <c r="O111" i="65"/>
  <c r="L127" i="65"/>
  <c r="AA125" i="65"/>
  <c r="AG125" i="65"/>
  <c r="Q125" i="65"/>
  <c r="J141" i="65"/>
  <c r="AA141" i="65"/>
  <c r="AJ141" i="65"/>
  <c r="G9" i="65"/>
  <c r="I9" i="65"/>
  <c r="J9" i="65"/>
  <c r="V110" i="65"/>
  <c r="AA110" i="65"/>
  <c r="K110" i="65"/>
  <c r="AG158" i="65"/>
  <c r="W158" i="65"/>
  <c r="AE158" i="65"/>
  <c r="AK151" i="65"/>
  <c r="F151" i="65" s="1"/>
  <c r="I95" i="65"/>
  <c r="X107" i="65"/>
  <c r="AD111" i="65"/>
  <c r="AE111" i="65"/>
  <c r="AE127" i="65"/>
  <c r="O127" i="65"/>
  <c r="X131" i="65"/>
  <c r="Y135" i="65"/>
  <c r="N135" i="65"/>
  <c r="Z135" i="65"/>
  <c r="AJ139" i="65"/>
  <c r="L139" i="65"/>
  <c r="O143" i="65"/>
  <c r="X143" i="65"/>
  <c r="AE143" i="65"/>
  <c r="I147" i="65"/>
  <c r="AD147" i="65"/>
  <c r="AG151" i="65"/>
  <c r="Q151" i="65"/>
  <c r="Z155" i="65"/>
  <c r="P155" i="65"/>
  <c r="AB155" i="65"/>
  <c r="R163" i="65"/>
  <c r="J163" i="65"/>
  <c r="AH163" i="65"/>
  <c r="Y7" i="65"/>
  <c r="AI7" i="65"/>
  <c r="AF7" i="65"/>
  <c r="AJ11" i="65"/>
  <c r="AD11" i="65"/>
  <c r="Y11" i="65"/>
  <c r="AG96" i="65"/>
  <c r="AA96" i="65"/>
  <c r="Y100" i="65"/>
  <c r="P100" i="65"/>
  <c r="AF100" i="65"/>
  <c r="R108" i="65"/>
  <c r="AC108" i="65"/>
  <c r="O116" i="65"/>
  <c r="AF116" i="65"/>
  <c r="R144" i="65"/>
  <c r="AB156" i="65"/>
  <c r="M8" i="65"/>
  <c r="X109" i="65"/>
  <c r="Q94" i="65"/>
  <c r="O154" i="65"/>
  <c r="Q166" i="65"/>
  <c r="Z112" i="65"/>
  <c r="AA132" i="65"/>
  <c r="AF12" i="65"/>
  <c r="Q105" i="65"/>
  <c r="I149" i="65"/>
  <c r="W13" i="65"/>
  <c r="AA150" i="65"/>
  <c r="AH145" i="65"/>
  <c r="H145" i="65"/>
  <c r="Q145" i="65"/>
  <c r="AB145" i="65"/>
  <c r="AJ145" i="65"/>
  <c r="Q146" i="65"/>
  <c r="AD146" i="65"/>
  <c r="R146" i="65"/>
  <c r="AJ146" i="65"/>
  <c r="Z146" i="65"/>
  <c r="G146" i="65"/>
  <c r="AJ129" i="65"/>
  <c r="H92" i="65"/>
  <c r="N92" i="65"/>
  <c r="T92" i="65"/>
  <c r="V92" i="65"/>
  <c r="AC92" i="65"/>
  <c r="AJ92" i="65"/>
  <c r="G92" i="65"/>
  <c r="AD92" i="65"/>
  <c r="S92" i="65"/>
  <c r="M124" i="65"/>
  <c r="K124" i="65"/>
  <c r="X124" i="65"/>
  <c r="N124" i="65"/>
  <c r="AI124" i="65"/>
  <c r="O124" i="65"/>
  <c r="R124" i="65"/>
  <c r="T140" i="65"/>
  <c r="AJ140" i="65"/>
  <c r="Q140" i="65"/>
  <c r="U140" i="65"/>
  <c r="AF140" i="65"/>
  <c r="AC140" i="65"/>
  <c r="H140" i="65"/>
  <c r="K140" i="65"/>
  <c r="I140" i="65"/>
  <c r="N140" i="65"/>
  <c r="J140" i="65"/>
  <c r="Q111" i="65"/>
  <c r="L123" i="65"/>
  <c r="AD139" i="65"/>
  <c r="AH147" i="65"/>
  <c r="AG108" i="65"/>
  <c r="O6" i="65"/>
  <c r="L6" i="65"/>
  <c r="M6" i="65"/>
  <c r="T6" i="65"/>
  <c r="U6" i="65"/>
  <c r="P6" i="65"/>
  <c r="I6" i="65"/>
  <c r="R6" i="65"/>
  <c r="S6" i="65"/>
  <c r="AC131" i="65"/>
  <c r="V10" i="65"/>
  <c r="AF10" i="65"/>
  <c r="N10" i="65"/>
  <c r="V136" i="65"/>
  <c r="AE136" i="65"/>
  <c r="O136" i="65"/>
  <c r="AA152" i="65"/>
  <c r="K152" i="65"/>
  <c r="V168" i="65"/>
  <c r="AE168" i="65"/>
  <c r="Y168" i="65"/>
  <c r="AK155" i="65"/>
  <c r="F155" i="65" s="1"/>
  <c r="AG95" i="65"/>
  <c r="T111" i="65"/>
  <c r="S111" i="65"/>
  <c r="AD127" i="65"/>
  <c r="AJ127" i="65"/>
  <c r="AG131" i="65"/>
  <c r="W135" i="65"/>
  <c r="AH135" i="65"/>
  <c r="X135" i="65"/>
  <c r="Z139" i="65"/>
  <c r="AE139" i="65"/>
  <c r="AG143" i="65"/>
  <c r="I143" i="65"/>
  <c r="V143" i="65"/>
  <c r="R147" i="65"/>
  <c r="U147" i="65"/>
  <c r="L151" i="65"/>
  <c r="G151" i="65"/>
  <c r="U155" i="65"/>
  <c r="AH155" i="65"/>
  <c r="AI155" i="65"/>
  <c r="Q163" i="65"/>
  <c r="AB163" i="65"/>
  <c r="Y163" i="65"/>
  <c r="V7" i="65"/>
  <c r="T7" i="65"/>
  <c r="X7" i="65"/>
  <c r="AI11" i="65"/>
  <c r="Q11" i="65"/>
  <c r="P11" i="65"/>
  <c r="Z96" i="65"/>
  <c r="M96" i="65"/>
  <c r="R100" i="65"/>
  <c r="AA100" i="65"/>
  <c r="W100" i="65"/>
  <c r="H108" i="65"/>
  <c r="U108" i="65"/>
  <c r="S116" i="65"/>
  <c r="V116" i="65"/>
  <c r="H144" i="65"/>
  <c r="V156" i="65"/>
  <c r="T8" i="65"/>
  <c r="X94" i="65"/>
  <c r="M154" i="65"/>
  <c r="I166" i="65"/>
  <c r="J112" i="65"/>
  <c r="Q132" i="65"/>
  <c r="V160" i="65"/>
  <c r="T12" i="65"/>
  <c r="AB105" i="65"/>
  <c r="AB149" i="65"/>
  <c r="V13" i="65"/>
  <c r="P150" i="65"/>
  <c r="Z93" i="65"/>
  <c r="AD93" i="65"/>
  <c r="X93" i="65"/>
  <c r="Y93" i="65"/>
  <c r="H93" i="65"/>
  <c r="V93" i="65"/>
  <c r="AF93" i="65"/>
  <c r="Q93" i="65"/>
  <c r="P93" i="65"/>
  <c r="AA93" i="65"/>
  <c r="S93" i="65"/>
  <c r="AJ93" i="65"/>
  <c r="W93" i="65"/>
  <c r="AH93" i="65"/>
  <c r="K93" i="65"/>
  <c r="O93" i="65"/>
  <c r="AC93" i="65"/>
  <c r="AE93" i="65"/>
  <c r="AG93" i="65"/>
  <c r="G93" i="65"/>
  <c r="L93" i="65"/>
  <c r="N93" i="65"/>
  <c r="AA109" i="65"/>
  <c r="N109" i="65"/>
  <c r="AC109" i="65"/>
  <c r="G109" i="65"/>
  <c r="L109" i="65"/>
  <c r="AI109" i="65"/>
  <c r="S109" i="65"/>
  <c r="O109" i="65"/>
  <c r="H109" i="65"/>
  <c r="AE109" i="65"/>
  <c r="M109" i="65"/>
  <c r="K109" i="65"/>
  <c r="U109" i="65"/>
  <c r="AJ109" i="65"/>
  <c r="Y109" i="65"/>
  <c r="P109" i="65"/>
  <c r="V109" i="65"/>
  <c r="T109" i="65"/>
  <c r="W109" i="65"/>
  <c r="AG109" i="65"/>
  <c r="Z109" i="65"/>
  <c r="Q109" i="65"/>
  <c r="AK157" i="65"/>
  <c r="F157" i="65" s="1"/>
  <c r="W157" i="65"/>
  <c r="P157" i="65"/>
  <c r="X157" i="65"/>
  <c r="K157" i="65"/>
  <c r="AJ157" i="65"/>
  <c r="S157" i="65"/>
  <c r="AA157" i="65"/>
  <c r="T157" i="65"/>
  <c r="Q157" i="65"/>
  <c r="N157" i="65"/>
  <c r="R157" i="65"/>
  <c r="AE157" i="65"/>
  <c r="Z157" i="65"/>
  <c r="AB157" i="65"/>
  <c r="L157" i="65"/>
  <c r="M157" i="65"/>
  <c r="J157" i="65"/>
  <c r="V157" i="65"/>
  <c r="AG157" i="65"/>
  <c r="AF157" i="65"/>
  <c r="AH157" i="65"/>
  <c r="H157" i="65"/>
  <c r="AG167" i="65"/>
  <c r="I167" i="65"/>
  <c r="AF167" i="65"/>
  <c r="Q167" i="65"/>
  <c r="P167" i="65"/>
  <c r="S167" i="65"/>
  <c r="AB167" i="65"/>
  <c r="V167" i="65"/>
  <c r="H167" i="65"/>
  <c r="Z167" i="65"/>
  <c r="AI167" i="65"/>
  <c r="N167" i="65"/>
  <c r="G167" i="65"/>
  <c r="T167" i="65"/>
  <c r="AH167" i="65"/>
  <c r="K167" i="65"/>
  <c r="W167" i="65"/>
  <c r="J167" i="65"/>
  <c r="AA167" i="65"/>
  <c r="Y167" i="65"/>
  <c r="R167" i="65"/>
  <c r="AE167" i="65"/>
  <c r="K126" i="65"/>
  <c r="AJ126" i="65"/>
  <c r="J126" i="65"/>
  <c r="G126" i="65"/>
  <c r="AC126" i="65"/>
  <c r="N126" i="65"/>
  <c r="R126" i="65"/>
  <c r="W126" i="65"/>
  <c r="I126" i="65"/>
  <c r="X126" i="65"/>
  <c r="AF126" i="65"/>
  <c r="AB126" i="65"/>
  <c r="Q126" i="65"/>
  <c r="AI126" i="65"/>
  <c r="AD126" i="65"/>
  <c r="T126" i="65"/>
  <c r="AA126" i="65"/>
  <c r="M126" i="65"/>
  <c r="AE126" i="65"/>
  <c r="P126" i="65"/>
  <c r="V126" i="65"/>
  <c r="S126" i="65"/>
  <c r="U167" i="65"/>
  <c r="I109" i="65"/>
  <c r="AD157" i="65"/>
  <c r="M110" i="65"/>
  <c r="AG126" i="65"/>
  <c r="S158" i="65"/>
  <c r="AC10" i="65"/>
  <c r="G10" i="65"/>
  <c r="O10" i="65"/>
  <c r="W10" i="65"/>
  <c r="AE10" i="65"/>
  <c r="Y10" i="65"/>
  <c r="H10" i="65"/>
  <c r="Z10" i="65"/>
  <c r="AJ10" i="65"/>
  <c r="L10" i="65"/>
  <c r="AG10" i="65"/>
  <c r="AI10" i="65"/>
  <c r="I10" i="65"/>
  <c r="S10" i="65"/>
  <c r="AD10" i="65"/>
  <c r="X10" i="65"/>
  <c r="R10" i="65"/>
  <c r="J10" i="65"/>
  <c r="AA10" i="65"/>
  <c r="AH10" i="65"/>
  <c r="T10" i="65"/>
  <c r="K10" i="65"/>
  <c r="K99" i="65"/>
  <c r="I99" i="65"/>
  <c r="AF99" i="65"/>
  <c r="O99" i="65"/>
  <c r="AK99" i="65"/>
  <c r="F99" i="65" s="1"/>
  <c r="AA99" i="65"/>
  <c r="M99" i="65"/>
  <c r="H99" i="65"/>
  <c r="U99" i="65"/>
  <c r="AJ99" i="65"/>
  <c r="P99" i="65"/>
  <c r="AB99" i="65"/>
  <c r="S99" i="65"/>
  <c r="T99" i="65"/>
  <c r="X99" i="65"/>
  <c r="R99" i="65"/>
  <c r="AD99" i="65"/>
  <c r="W99" i="65"/>
  <c r="AI99" i="65"/>
  <c r="J99" i="65"/>
  <c r="AG99" i="65"/>
  <c r="G99" i="65"/>
  <c r="Z99" i="65"/>
  <c r="AE99" i="65"/>
  <c r="AA159" i="65"/>
  <c r="G159" i="65"/>
  <c r="N159" i="65"/>
  <c r="AH159" i="65"/>
  <c r="AC159" i="65"/>
  <c r="W159" i="65"/>
  <c r="Q159" i="65"/>
  <c r="AG159" i="65"/>
  <c r="Z159" i="65"/>
  <c r="AD159" i="65"/>
  <c r="U159" i="65"/>
  <c r="AJ159" i="65"/>
  <c r="V159" i="65"/>
  <c r="AI159" i="65"/>
  <c r="R159" i="65"/>
  <c r="AF159" i="65"/>
  <c r="O159" i="65"/>
  <c r="H159" i="65"/>
  <c r="J159" i="65"/>
  <c r="I159" i="65"/>
  <c r="Y159" i="65"/>
  <c r="T159" i="65"/>
  <c r="P104" i="65"/>
  <c r="AB104" i="65"/>
  <c r="AH104" i="65"/>
  <c r="AJ104" i="65"/>
  <c r="O104" i="65"/>
  <c r="S104" i="65"/>
  <c r="Q104" i="65"/>
  <c r="W104" i="65"/>
  <c r="AA104" i="65"/>
  <c r="AG104" i="65"/>
  <c r="Z104" i="65"/>
  <c r="I104" i="65"/>
  <c r="AI104" i="65"/>
  <c r="M104" i="65"/>
  <c r="X104" i="65"/>
  <c r="U104" i="65"/>
  <c r="G104" i="65"/>
  <c r="K104" i="65"/>
  <c r="AC104" i="65"/>
  <c r="J104" i="65"/>
  <c r="L104" i="65"/>
  <c r="Y104" i="65"/>
  <c r="G136" i="65"/>
  <c r="S136" i="65"/>
  <c r="X136" i="65"/>
  <c r="M136" i="65"/>
  <c r="AH136" i="65"/>
  <c r="AK136" i="65"/>
  <c r="F136" i="65" s="1"/>
  <c r="U136" i="65"/>
  <c r="H136" i="65"/>
  <c r="W136" i="65"/>
  <c r="R136" i="65"/>
  <c r="L136" i="65"/>
  <c r="AB136" i="65"/>
  <c r="AI136" i="65"/>
  <c r="Q136" i="65"/>
  <c r="P136" i="65"/>
  <c r="Y136" i="65"/>
  <c r="AA136" i="65"/>
  <c r="Z136" i="65"/>
  <c r="J136" i="65"/>
  <c r="AC136" i="65"/>
  <c r="T136" i="65"/>
  <c r="AG136" i="65"/>
  <c r="K136" i="65"/>
  <c r="AC152" i="65"/>
  <c r="I152" i="65"/>
  <c r="P152" i="65"/>
  <c r="L152" i="65"/>
  <c r="Q152" i="65"/>
  <c r="AF152" i="65"/>
  <c r="J152" i="65"/>
  <c r="AE152" i="65"/>
  <c r="N152" i="65"/>
  <c r="G152" i="65"/>
  <c r="V152" i="65"/>
  <c r="H152" i="65"/>
  <c r="S152" i="65"/>
  <c r="Y152" i="65"/>
  <c r="AH152" i="65"/>
  <c r="AD152" i="65"/>
  <c r="O152" i="65"/>
  <c r="Z152" i="65"/>
  <c r="AG152" i="65"/>
  <c r="AJ152" i="65"/>
  <c r="AI152" i="65"/>
  <c r="T152" i="65"/>
  <c r="H168" i="65"/>
  <c r="T168" i="65"/>
  <c r="Q168" i="65"/>
  <c r="M168" i="65"/>
  <c r="AB168" i="65"/>
  <c r="Z168" i="65"/>
  <c r="I168" i="65"/>
  <c r="AH168" i="65"/>
  <c r="AC168" i="65"/>
  <c r="O168" i="65"/>
  <c r="L168" i="65"/>
  <c r="AD168" i="65"/>
  <c r="AJ168" i="65"/>
  <c r="R168" i="65"/>
  <c r="K168" i="65"/>
  <c r="W168" i="65"/>
  <c r="G168" i="65"/>
  <c r="U168" i="65"/>
  <c r="N168" i="65"/>
  <c r="S168" i="65"/>
  <c r="AA168" i="65"/>
  <c r="AG168" i="65"/>
  <c r="AA95" i="65"/>
  <c r="Y99" i="65"/>
  <c r="O103" i="65"/>
  <c r="X159" i="65"/>
  <c r="AJ167" i="65"/>
  <c r="N136" i="65"/>
  <c r="R93" i="65"/>
  <c r="AF109" i="65"/>
  <c r="AH110" i="65"/>
  <c r="AD158" i="65"/>
  <c r="Z97" i="65"/>
  <c r="AJ97" i="65"/>
  <c r="L97" i="65"/>
  <c r="AB97" i="65"/>
  <c r="G97" i="65"/>
  <c r="U97" i="65"/>
  <c r="AC97" i="65"/>
  <c r="P97" i="65"/>
  <c r="AE97" i="65"/>
  <c r="Y97" i="65"/>
  <c r="K97" i="65"/>
  <c r="AI97" i="65"/>
  <c r="AD97" i="65"/>
  <c r="AH97" i="65"/>
  <c r="I97" i="65"/>
  <c r="H97" i="65"/>
  <c r="Q97" i="65"/>
  <c r="T97" i="65"/>
  <c r="AF97" i="65"/>
  <c r="AA97" i="65"/>
  <c r="M97" i="65"/>
  <c r="V97" i="65"/>
  <c r="G129" i="65"/>
  <c r="R129" i="65"/>
  <c r="K129" i="65"/>
  <c r="Q129" i="65"/>
  <c r="AE129" i="65"/>
  <c r="S129" i="65"/>
  <c r="M129" i="65"/>
  <c r="J129" i="65"/>
  <c r="AG129" i="65"/>
  <c r="O129" i="65"/>
  <c r="AB129" i="65"/>
  <c r="Z129" i="65"/>
  <c r="V129" i="65"/>
  <c r="W129" i="65"/>
  <c r="I129" i="65"/>
  <c r="N129" i="65"/>
  <c r="X129" i="65"/>
  <c r="AH129" i="65"/>
  <c r="L129" i="65"/>
  <c r="AC129" i="65"/>
  <c r="AA129" i="65"/>
  <c r="AI129" i="65"/>
  <c r="U129" i="65"/>
  <c r="P129" i="65"/>
  <c r="W161" i="65"/>
  <c r="J161" i="65"/>
  <c r="X161" i="65"/>
  <c r="H161" i="65"/>
  <c r="AF161" i="65"/>
  <c r="AH161" i="65"/>
  <c r="K161" i="65"/>
  <c r="N161" i="65"/>
  <c r="AG161" i="65"/>
  <c r="I161" i="65"/>
  <c r="Q161" i="65"/>
  <c r="AE161" i="65"/>
  <c r="T161" i="65"/>
  <c r="P161" i="65"/>
  <c r="AB161" i="65"/>
  <c r="L161" i="65"/>
  <c r="AA161" i="65"/>
  <c r="U161" i="65"/>
  <c r="M161" i="65"/>
  <c r="AD161" i="65"/>
  <c r="AI161" i="65"/>
  <c r="V161" i="65"/>
  <c r="N107" i="65"/>
  <c r="AE107" i="65"/>
  <c r="P107" i="65"/>
  <c r="H107" i="65"/>
  <c r="AF107" i="65"/>
  <c r="AB107" i="65"/>
  <c r="K107" i="65"/>
  <c r="T107" i="65"/>
  <c r="AH107" i="65"/>
  <c r="AJ107" i="65"/>
  <c r="W107" i="65"/>
  <c r="V107" i="65"/>
  <c r="Z107" i="65"/>
  <c r="O107" i="65"/>
  <c r="L107" i="65"/>
  <c r="I107" i="65"/>
  <c r="AG107" i="65"/>
  <c r="G107" i="65"/>
  <c r="Q107" i="65"/>
  <c r="S107" i="65"/>
  <c r="AD107" i="65"/>
  <c r="M107" i="65"/>
  <c r="AB162" i="65"/>
  <c r="M162" i="65"/>
  <c r="P162" i="65"/>
  <c r="I162" i="65"/>
  <c r="X162" i="65"/>
  <c r="AE162" i="65"/>
  <c r="N162" i="65"/>
  <c r="L162" i="65"/>
  <c r="AI162" i="65"/>
  <c r="V162" i="65"/>
  <c r="H162" i="65"/>
  <c r="K162" i="65"/>
  <c r="AH162" i="65"/>
  <c r="T162" i="65"/>
  <c r="U162" i="65"/>
  <c r="AA162" i="65"/>
  <c r="Q162" i="65"/>
  <c r="G162" i="65"/>
  <c r="Y162" i="65"/>
  <c r="Z162" i="65"/>
  <c r="AG162" i="65"/>
  <c r="AJ162" i="65"/>
  <c r="R95" i="65"/>
  <c r="AD103" i="65"/>
  <c r="AC107" i="65"/>
  <c r="AH123" i="65"/>
  <c r="AD167" i="65"/>
  <c r="AF136" i="65"/>
  <c r="AE130" i="65"/>
  <c r="P142" i="65"/>
  <c r="T146" i="65"/>
  <c r="R104" i="65"/>
  <c r="AB152" i="65"/>
  <c r="P168" i="65"/>
  <c r="AE125" i="65"/>
  <c r="R145" i="65"/>
  <c r="I157" i="65"/>
  <c r="Q98" i="65"/>
  <c r="AA158" i="65"/>
  <c r="Y95" i="65"/>
  <c r="N99" i="65"/>
  <c r="Y107" i="65"/>
  <c r="M159" i="65"/>
  <c r="AC167" i="65"/>
  <c r="AJ136" i="65"/>
  <c r="U93" i="65"/>
  <c r="AB109" i="65"/>
  <c r="H129" i="65"/>
  <c r="Z161" i="65"/>
  <c r="P9" i="65"/>
  <c r="AC162" i="65"/>
  <c r="Q10" i="65"/>
  <c r="AE104" i="65"/>
  <c r="R152" i="65"/>
  <c r="AI168" i="65"/>
  <c r="N97" i="65"/>
  <c r="W125" i="65"/>
  <c r="U157" i="65"/>
  <c r="H126" i="65"/>
  <c r="P158" i="65"/>
  <c r="G141" i="65"/>
  <c r="M141" i="65"/>
  <c r="S141" i="65"/>
  <c r="V141" i="65"/>
  <c r="W141" i="65"/>
  <c r="T141" i="65"/>
  <c r="N141" i="65"/>
  <c r="H141" i="65"/>
  <c r="I141" i="65"/>
  <c r="L141" i="65"/>
  <c r="AI141" i="65"/>
  <c r="K141" i="65"/>
  <c r="O141" i="65"/>
  <c r="X141" i="65"/>
  <c r="AG141" i="65"/>
  <c r="AB141" i="65"/>
  <c r="AH141" i="65"/>
  <c r="AC141" i="65"/>
  <c r="AE141" i="65"/>
  <c r="U141" i="65"/>
  <c r="Y141" i="65"/>
  <c r="AF141" i="65"/>
  <c r="R141" i="65"/>
  <c r="AD141" i="65"/>
  <c r="AG94" i="65"/>
  <c r="R94" i="65"/>
  <c r="N94" i="65"/>
  <c r="L94" i="65"/>
  <c r="U94" i="65"/>
  <c r="AD94" i="65"/>
  <c r="M94" i="65"/>
  <c r="T94" i="65"/>
  <c r="AE94" i="65"/>
  <c r="S94" i="65"/>
  <c r="P94" i="65"/>
  <c r="AF94" i="65"/>
  <c r="AJ94" i="65"/>
  <c r="H94" i="65"/>
  <c r="J94" i="65"/>
  <c r="G94" i="65"/>
  <c r="V94" i="65"/>
  <c r="W94" i="65"/>
  <c r="AB94" i="65"/>
  <c r="I94" i="65"/>
  <c r="AA94" i="65"/>
  <c r="AH94" i="65"/>
  <c r="O142" i="65"/>
  <c r="G142" i="65"/>
  <c r="L142" i="65"/>
  <c r="AD142" i="65"/>
  <c r="S142" i="65"/>
  <c r="U142" i="65"/>
  <c r="T142" i="65"/>
  <c r="Z142" i="65"/>
  <c r="AC142" i="65"/>
  <c r="AJ142" i="65"/>
  <c r="X142" i="65"/>
  <c r="AB142" i="65"/>
  <c r="AI142" i="65"/>
  <c r="AF142" i="65"/>
  <c r="AH142" i="65"/>
  <c r="R142" i="65"/>
  <c r="N142" i="65"/>
  <c r="I142" i="65"/>
  <c r="J142" i="65"/>
  <c r="Q142" i="65"/>
  <c r="H142" i="65"/>
  <c r="AE142" i="65"/>
  <c r="AG103" i="65"/>
  <c r="Q103" i="65"/>
  <c r="M103" i="65"/>
  <c r="W103" i="65"/>
  <c r="AF103" i="65"/>
  <c r="P103" i="65"/>
  <c r="L103" i="65"/>
  <c r="AI103" i="65"/>
  <c r="I103" i="65"/>
  <c r="N103" i="65"/>
  <c r="U103" i="65"/>
  <c r="AC103" i="65"/>
  <c r="K103" i="65"/>
  <c r="Y103" i="65"/>
  <c r="J103" i="65"/>
  <c r="S103" i="65"/>
  <c r="AJ103" i="65"/>
  <c r="H103" i="65"/>
  <c r="AA103" i="65"/>
  <c r="V103" i="65"/>
  <c r="Z103" i="65"/>
  <c r="R103" i="65"/>
  <c r="I93" i="65"/>
  <c r="AD9" i="65"/>
  <c r="O94" i="65"/>
  <c r="V142" i="65"/>
  <c r="Y125" i="65"/>
  <c r="V95" i="65"/>
  <c r="K94" i="65"/>
  <c r="AA142" i="65"/>
  <c r="U10" i="65"/>
  <c r="H104" i="65"/>
  <c r="W152" i="65"/>
  <c r="X168" i="65"/>
  <c r="N125" i="65"/>
  <c r="AC157" i="65"/>
  <c r="Y126" i="65"/>
  <c r="Z145" i="65"/>
  <c r="K145" i="65"/>
  <c r="AA145" i="65"/>
  <c r="G145" i="65"/>
  <c r="U145" i="65"/>
  <c r="O145" i="65"/>
  <c r="S145" i="65"/>
  <c r="V145" i="65"/>
  <c r="W145" i="65"/>
  <c r="AG145" i="65"/>
  <c r="J145" i="65"/>
  <c r="Y145" i="65"/>
  <c r="AI145" i="65"/>
  <c r="AF145" i="65"/>
  <c r="L145" i="65"/>
  <c r="I145" i="65"/>
  <c r="M145" i="65"/>
  <c r="N145" i="65"/>
  <c r="AC145" i="65"/>
  <c r="X145" i="65"/>
  <c r="AE145" i="65"/>
  <c r="P145" i="65"/>
  <c r="AK13" i="65"/>
  <c r="F13" i="65" s="1"/>
  <c r="AC13" i="65"/>
  <c r="R13" i="65"/>
  <c r="I13" i="65"/>
  <c r="K13" i="65"/>
  <c r="U13" i="65"/>
  <c r="S13" i="65"/>
  <c r="AH13" i="65"/>
  <c r="L13" i="65"/>
  <c r="M13" i="65"/>
  <c r="P13" i="65"/>
  <c r="X13" i="65"/>
  <c r="Q13" i="65"/>
  <c r="O13" i="65"/>
  <c r="AG13" i="65"/>
  <c r="AE13" i="65"/>
  <c r="Y13" i="65"/>
  <c r="AF13" i="65"/>
  <c r="AJ13" i="65"/>
  <c r="AA13" i="65"/>
  <c r="G13" i="65"/>
  <c r="AI13" i="65"/>
  <c r="AB13" i="65"/>
  <c r="AK98" i="65"/>
  <c r="F98" i="65" s="1"/>
  <c r="N98" i="65"/>
  <c r="AC98" i="65"/>
  <c r="M98" i="65"/>
  <c r="I98" i="65"/>
  <c r="AD98" i="65"/>
  <c r="P98" i="65"/>
  <c r="R98" i="65"/>
  <c r="AH98" i="65"/>
  <c r="T98" i="65"/>
  <c r="O98" i="65"/>
  <c r="X98" i="65"/>
  <c r="W98" i="65"/>
  <c r="G98" i="65"/>
  <c r="Y98" i="65"/>
  <c r="K98" i="65"/>
  <c r="AF98" i="65"/>
  <c r="AG98" i="65"/>
  <c r="L98" i="65"/>
  <c r="Z98" i="65"/>
  <c r="S98" i="65"/>
  <c r="J98" i="65"/>
  <c r="AI98" i="65"/>
  <c r="AB130" i="65"/>
  <c r="AF130" i="65"/>
  <c r="X130" i="65"/>
  <c r="T130" i="65"/>
  <c r="G130" i="65"/>
  <c r="AD130" i="65"/>
  <c r="Z130" i="65"/>
  <c r="K130" i="65"/>
  <c r="AJ130" i="65"/>
  <c r="AG130" i="65"/>
  <c r="O130" i="65"/>
  <c r="H130" i="65"/>
  <c r="L130" i="65"/>
  <c r="AA130" i="65"/>
  <c r="I130" i="65"/>
  <c r="N130" i="65"/>
  <c r="Q130" i="65"/>
  <c r="AC130" i="65"/>
  <c r="Y130" i="65"/>
  <c r="P130" i="65"/>
  <c r="U130" i="65"/>
  <c r="M130" i="65"/>
  <c r="AK146" i="65"/>
  <c r="F146" i="65" s="1"/>
  <c r="Y146" i="65"/>
  <c r="K146" i="65"/>
  <c r="S146" i="65"/>
  <c r="AB146" i="65"/>
  <c r="N146" i="65"/>
  <c r="AA146" i="65"/>
  <c r="M146" i="65"/>
  <c r="V146" i="65"/>
  <c r="P146" i="65"/>
  <c r="AF146" i="65"/>
  <c r="AI146" i="65"/>
  <c r="J146" i="65"/>
  <c r="O146" i="65"/>
  <c r="AG146" i="65"/>
  <c r="U146" i="65"/>
  <c r="X146" i="65"/>
  <c r="H146" i="65"/>
  <c r="AE146" i="65"/>
  <c r="W146" i="65"/>
  <c r="AC146" i="65"/>
  <c r="L146" i="65"/>
  <c r="AH146" i="65"/>
  <c r="I123" i="65"/>
  <c r="AF123" i="65"/>
  <c r="Z123" i="65"/>
  <c r="AJ123" i="65"/>
  <c r="AG123" i="65"/>
  <c r="J123" i="65"/>
  <c r="P123" i="65"/>
  <c r="X123" i="65"/>
  <c r="S123" i="65"/>
  <c r="H123" i="65"/>
  <c r="R123" i="65"/>
  <c r="W123" i="65"/>
  <c r="Q123" i="65"/>
  <c r="O123" i="65"/>
  <c r="AB123" i="65"/>
  <c r="N123" i="65"/>
  <c r="M123" i="65"/>
  <c r="K123" i="65"/>
  <c r="U123" i="65"/>
  <c r="T123" i="65"/>
  <c r="AE123" i="65"/>
  <c r="AC123" i="65"/>
  <c r="N95" i="65"/>
  <c r="AE159" i="65"/>
  <c r="J93" i="65"/>
  <c r="AD109" i="65"/>
  <c r="AF129" i="65"/>
  <c r="G161" i="65"/>
  <c r="AI94" i="65"/>
  <c r="J162" i="65"/>
  <c r="M10" i="65"/>
  <c r="X97" i="65"/>
  <c r="Q141" i="65"/>
  <c r="Z13" i="65"/>
  <c r="L126" i="65"/>
  <c r="AC99" i="65"/>
  <c r="AH103" i="65"/>
  <c r="R107" i="65"/>
  <c r="Y123" i="65"/>
  <c r="AB159" i="65"/>
  <c r="X167" i="65"/>
  <c r="AD136" i="65"/>
  <c r="AB93" i="65"/>
  <c r="J109" i="65"/>
  <c r="AD129" i="65"/>
  <c r="Y161" i="65"/>
  <c r="Y94" i="65"/>
  <c r="J130" i="65"/>
  <c r="Y142" i="65"/>
  <c r="I146" i="65"/>
  <c r="R162" i="65"/>
  <c r="P10" i="65"/>
  <c r="V104" i="65"/>
  <c r="U152" i="65"/>
  <c r="AF168" i="65"/>
  <c r="R97" i="65"/>
  <c r="Z141" i="65"/>
  <c r="AD145" i="65"/>
  <c r="AI157" i="65"/>
  <c r="T13" i="65"/>
  <c r="AJ98" i="65"/>
  <c r="U126" i="65"/>
  <c r="AK95" i="65"/>
  <c r="F95" i="65" s="1"/>
  <c r="AD95" i="65"/>
  <c r="T95" i="65"/>
  <c r="O95" i="65"/>
  <c r="G95" i="65"/>
  <c r="U95" i="65"/>
  <c r="Q95" i="65"/>
  <c r="AE95" i="65"/>
  <c r="P95" i="65"/>
  <c r="AI95" i="65"/>
  <c r="L95" i="65"/>
  <c r="AH95" i="65"/>
  <c r="AC95" i="65"/>
  <c r="H95" i="65"/>
  <c r="J95" i="65"/>
  <c r="S95" i="65"/>
  <c r="X95" i="65"/>
  <c r="Z95" i="65"/>
  <c r="K95" i="65"/>
  <c r="AF95" i="65"/>
  <c r="AK125" i="65"/>
  <c r="F125" i="65" s="1"/>
  <c r="M125" i="65"/>
  <c r="AI125" i="65"/>
  <c r="AD125" i="65"/>
  <c r="AB125" i="65"/>
  <c r="AF125" i="65"/>
  <c r="J125" i="65"/>
  <c r="Z125" i="65"/>
  <c r="K125" i="65"/>
  <c r="O125" i="65"/>
  <c r="AH125" i="65"/>
  <c r="AC125" i="65"/>
  <c r="V125" i="65"/>
  <c r="P125" i="65"/>
  <c r="R125" i="65"/>
  <c r="I125" i="65"/>
  <c r="AJ125" i="65"/>
  <c r="L125" i="65"/>
  <c r="H125" i="65"/>
  <c r="G125" i="65"/>
  <c r="X125" i="65"/>
  <c r="S125" i="65"/>
  <c r="T125" i="65"/>
  <c r="AK9" i="65"/>
  <c r="F9" i="65" s="1"/>
  <c r="K9" i="65"/>
  <c r="T9" i="65"/>
  <c r="M9" i="65"/>
  <c r="H9" i="65"/>
  <c r="N9" i="65"/>
  <c r="Q9" i="65"/>
  <c r="AI9" i="65"/>
  <c r="AH9" i="65"/>
  <c r="O9" i="65"/>
  <c r="AJ9" i="65"/>
  <c r="U9" i="65"/>
  <c r="X9" i="65"/>
  <c r="S9" i="65"/>
  <c r="AE9" i="65"/>
  <c r="AC9" i="65"/>
  <c r="AG9" i="65"/>
  <c r="AA9" i="65"/>
  <c r="R9" i="65"/>
  <c r="Y9" i="65"/>
  <c r="V9" i="65"/>
  <c r="L9" i="65"/>
  <c r="W9" i="65"/>
  <c r="Z9" i="65"/>
  <c r="AF9" i="65"/>
  <c r="AK110" i="65"/>
  <c r="F110" i="65" s="1"/>
  <c r="I110" i="65"/>
  <c r="W110" i="65"/>
  <c r="AC110" i="65"/>
  <c r="AB110" i="65"/>
  <c r="N110" i="65"/>
  <c r="J110" i="65"/>
  <c r="AG110" i="65"/>
  <c r="Z110" i="65"/>
  <c r="AD110" i="65"/>
  <c r="S110" i="65"/>
  <c r="P110" i="65"/>
  <c r="G110" i="65"/>
  <c r="Q110" i="65"/>
  <c r="AI110" i="65"/>
  <c r="R110" i="65"/>
  <c r="AF110" i="65"/>
  <c r="Y110" i="65"/>
  <c r="L110" i="65"/>
  <c r="O110" i="65"/>
  <c r="AJ110" i="65"/>
  <c r="AE110" i="65"/>
  <c r="T110" i="65"/>
  <c r="X110" i="65"/>
  <c r="H110" i="65"/>
  <c r="AK158" i="65"/>
  <c r="F158" i="65" s="1"/>
  <c r="K158" i="65"/>
  <c r="R158" i="65"/>
  <c r="V158" i="65"/>
  <c r="H158" i="65"/>
  <c r="O158" i="65"/>
  <c r="J158" i="65"/>
  <c r="N158" i="65"/>
  <c r="T158" i="65"/>
  <c r="G158" i="65"/>
  <c r="AF158" i="65"/>
  <c r="AH158" i="65"/>
  <c r="AC158" i="65"/>
  <c r="AB158" i="65"/>
  <c r="M158" i="65"/>
  <c r="I158" i="65"/>
  <c r="Z158" i="65"/>
  <c r="X158" i="65"/>
  <c r="AI158" i="65"/>
  <c r="Q158" i="65"/>
  <c r="AJ158" i="65"/>
  <c r="L158" i="65"/>
  <c r="U158" i="65"/>
  <c r="AB95" i="65"/>
  <c r="W95" i="65"/>
  <c r="X103" i="65"/>
  <c r="M95" i="65"/>
  <c r="AE103" i="65"/>
  <c r="P159" i="65"/>
  <c r="O167" i="65"/>
  <c r="I136" i="65"/>
  <c r="M93" i="65"/>
  <c r="AH109" i="65"/>
  <c r="AB9" i="65"/>
  <c r="AC94" i="65"/>
  <c r="M142" i="65"/>
  <c r="AB10" i="65"/>
  <c r="T104" i="65"/>
  <c r="M152" i="65"/>
  <c r="J168" i="65"/>
  <c r="J97" i="65"/>
  <c r="U125" i="65"/>
  <c r="P141" i="65"/>
  <c r="T145" i="65"/>
  <c r="Y157" i="65"/>
  <c r="J13" i="65"/>
  <c r="AB98" i="65"/>
  <c r="U110" i="65"/>
  <c r="AH126" i="65"/>
  <c r="Y158" i="65"/>
  <c r="AB131" i="65"/>
  <c r="V131" i="65"/>
  <c r="Q108" i="65"/>
  <c r="AF108" i="65"/>
  <c r="M108" i="65"/>
  <c r="S124" i="65"/>
  <c r="AG124" i="65"/>
  <c r="AI156" i="65"/>
  <c r="AI92" i="65"/>
  <c r="Q92" i="65"/>
  <c r="AE140" i="65"/>
  <c r="M140" i="65"/>
  <c r="M5" i="65"/>
  <c r="AC111" i="65"/>
  <c r="H111" i="65"/>
  <c r="AB111" i="65"/>
  <c r="V111" i="65"/>
  <c r="T127" i="65"/>
  <c r="G127" i="65"/>
  <c r="Z131" i="65"/>
  <c r="L131" i="65"/>
  <c r="AI131" i="65"/>
  <c r="J139" i="65"/>
  <c r="O147" i="65"/>
  <c r="S108" i="65"/>
  <c r="Q124" i="65"/>
  <c r="W124" i="65"/>
  <c r="AE156" i="65"/>
  <c r="G156" i="65"/>
  <c r="S8" i="65"/>
  <c r="S101" i="65"/>
  <c r="X101" i="65"/>
  <c r="AJ166" i="65"/>
  <c r="J92" i="65"/>
  <c r="AF92" i="65"/>
  <c r="AA140" i="65"/>
  <c r="J133" i="65"/>
  <c r="T133" i="65"/>
  <c r="AG149" i="65"/>
  <c r="M149" i="65"/>
  <c r="I165" i="65"/>
  <c r="AE165" i="65"/>
  <c r="G5" i="65"/>
  <c r="X111" i="65"/>
  <c r="G111" i="65"/>
  <c r="J127" i="65"/>
  <c r="H127" i="65"/>
  <c r="AJ131" i="65"/>
  <c r="AA131" i="65"/>
  <c r="T139" i="65"/>
  <c r="AF139" i="65"/>
  <c r="Y147" i="65"/>
  <c r="X151" i="65"/>
  <c r="I96" i="65"/>
  <c r="O96" i="65"/>
  <c r="AI108" i="65"/>
  <c r="J108" i="65"/>
  <c r="AJ124" i="65"/>
  <c r="L124" i="65"/>
  <c r="AJ144" i="65"/>
  <c r="G144" i="65"/>
  <c r="J156" i="65"/>
  <c r="AC156" i="65"/>
  <c r="M166" i="65"/>
  <c r="AA166" i="65"/>
  <c r="AG92" i="65"/>
  <c r="X92" i="65"/>
  <c r="P112" i="65"/>
  <c r="Y128" i="65"/>
  <c r="AC128" i="65"/>
  <c r="AI140" i="65"/>
  <c r="K160" i="65"/>
  <c r="S160" i="65"/>
  <c r="AF133" i="65"/>
  <c r="AI133" i="65"/>
  <c r="AF149" i="65"/>
  <c r="AH149" i="65"/>
  <c r="J165" i="65"/>
  <c r="P165" i="65"/>
  <c r="J102" i="65"/>
  <c r="H102" i="65"/>
  <c r="V134" i="65"/>
  <c r="Z134" i="65"/>
  <c r="J150" i="65"/>
  <c r="AF150" i="65"/>
  <c r="Z150" i="65"/>
  <c r="I150" i="65"/>
  <c r="N5" i="65"/>
  <c r="AK140" i="65"/>
  <c r="F140" i="65" s="1"/>
  <c r="W111" i="65"/>
  <c r="AG111" i="65"/>
  <c r="Z111" i="65"/>
  <c r="AI111" i="65"/>
  <c r="M127" i="65"/>
  <c r="W127" i="65"/>
  <c r="AB127" i="65"/>
  <c r="AI127" i="65"/>
  <c r="N131" i="65"/>
  <c r="Q131" i="65"/>
  <c r="U131" i="65"/>
  <c r="S131" i="65"/>
  <c r="U135" i="65"/>
  <c r="M135" i="65"/>
  <c r="P135" i="65"/>
  <c r="R139" i="65"/>
  <c r="P139" i="65"/>
  <c r="X139" i="65"/>
  <c r="W139" i="65"/>
  <c r="AJ143" i="65"/>
  <c r="J143" i="65"/>
  <c r="AB143" i="65"/>
  <c r="AI143" i="65"/>
  <c r="Z147" i="65"/>
  <c r="G147" i="65"/>
  <c r="AF147" i="65"/>
  <c r="S147" i="65"/>
  <c r="O151" i="65"/>
  <c r="U151" i="65"/>
  <c r="P151" i="65"/>
  <c r="O155" i="65"/>
  <c r="Y155" i="65"/>
  <c r="X155" i="65"/>
  <c r="R155" i="65"/>
  <c r="Z163" i="65"/>
  <c r="I163" i="65"/>
  <c r="V163" i="65"/>
  <c r="S163" i="65"/>
  <c r="AA7" i="65"/>
  <c r="AB7" i="65"/>
  <c r="AH7" i="65"/>
  <c r="P7" i="65"/>
  <c r="T11" i="65"/>
  <c r="X11" i="65"/>
  <c r="Z11" i="65"/>
  <c r="AE11" i="65"/>
  <c r="AE96" i="65"/>
  <c r="Y96" i="65"/>
  <c r="AH96" i="65"/>
  <c r="P96" i="65"/>
  <c r="Z100" i="65"/>
  <c r="I100" i="65"/>
  <c r="T100" i="65"/>
  <c r="O108" i="65"/>
  <c r="AB108" i="65"/>
  <c r="AH108" i="65"/>
  <c r="AD108" i="65"/>
  <c r="T116" i="65"/>
  <c r="AI116" i="65"/>
  <c r="W116" i="65"/>
  <c r="I116" i="65"/>
  <c r="AE124" i="65"/>
  <c r="AA124" i="65"/>
  <c r="AF124" i="65"/>
  <c r="U124" i="65"/>
  <c r="Y144" i="65"/>
  <c r="AH144" i="65"/>
  <c r="AE144" i="65"/>
  <c r="AB144" i="65"/>
  <c r="AF148" i="65"/>
  <c r="AB148" i="65"/>
  <c r="X148" i="65"/>
  <c r="I148" i="65"/>
  <c r="AF156" i="65"/>
  <c r="T156" i="65"/>
  <c r="AG156" i="65"/>
  <c r="U156" i="65"/>
  <c r="S164" i="65"/>
  <c r="K164" i="65"/>
  <c r="X164" i="65"/>
  <c r="V8" i="65"/>
  <c r="AC8" i="65"/>
  <c r="P8" i="65"/>
  <c r="R8" i="65"/>
  <c r="H101" i="65"/>
  <c r="AD101" i="65"/>
  <c r="AG101" i="65"/>
  <c r="O101" i="65"/>
  <c r="H137" i="65"/>
  <c r="Y153" i="65"/>
  <c r="AI153" i="65"/>
  <c r="U153" i="65"/>
  <c r="X153" i="65"/>
  <c r="M106" i="65"/>
  <c r="AH106" i="65"/>
  <c r="AD106" i="65"/>
  <c r="P106" i="65"/>
  <c r="X154" i="65"/>
  <c r="AB154" i="65"/>
  <c r="AE154" i="65"/>
  <c r="Q154" i="65"/>
  <c r="L166" i="65"/>
  <c r="AF166" i="65"/>
  <c r="AC166" i="65"/>
  <c r="R166" i="65"/>
  <c r="M92" i="65"/>
  <c r="Y92" i="65"/>
  <c r="AB92" i="65"/>
  <c r="P92" i="65"/>
  <c r="L112" i="65"/>
  <c r="AG112" i="65"/>
  <c r="AD112" i="65"/>
  <c r="AB112" i="65"/>
  <c r="AI128" i="65"/>
  <c r="J128" i="65"/>
  <c r="H128" i="65"/>
  <c r="U128" i="65"/>
  <c r="AJ132" i="65"/>
  <c r="S132" i="65"/>
  <c r="V132" i="65"/>
  <c r="G140" i="65"/>
  <c r="S140" i="65"/>
  <c r="O140" i="65"/>
  <c r="AD140" i="65"/>
  <c r="Z160" i="65"/>
  <c r="Q160" i="65"/>
  <c r="I160" i="65"/>
  <c r="U160" i="65"/>
  <c r="AB12" i="65"/>
  <c r="O12" i="65"/>
  <c r="H12" i="65"/>
  <c r="V12" i="65"/>
  <c r="AH105" i="65"/>
  <c r="N105" i="65"/>
  <c r="H105" i="65"/>
  <c r="O105" i="65"/>
  <c r="S133" i="65"/>
  <c r="I133" i="65"/>
  <c r="Y133" i="65"/>
  <c r="AE133" i="65"/>
  <c r="R149" i="65"/>
  <c r="H149" i="65"/>
  <c r="Q149" i="65"/>
  <c r="Y149" i="65"/>
  <c r="H165" i="65"/>
  <c r="S165" i="65"/>
  <c r="AI165" i="65"/>
  <c r="O165" i="65"/>
  <c r="P102" i="65"/>
  <c r="T102" i="65"/>
  <c r="N102" i="65"/>
  <c r="AG102" i="65"/>
  <c r="U134" i="65"/>
  <c r="AD134" i="65"/>
  <c r="O134" i="65"/>
  <c r="AG134" i="65"/>
  <c r="AC150" i="65"/>
  <c r="N150" i="65"/>
  <c r="O150" i="65"/>
  <c r="K6" i="65"/>
  <c r="H6" i="65"/>
  <c r="N6" i="65"/>
  <c r="R5" i="65"/>
  <c r="S5" i="65"/>
  <c r="R131" i="65"/>
  <c r="G131" i="65"/>
  <c r="Z108" i="65"/>
  <c r="AB124" i="65"/>
  <c r="P124" i="65"/>
  <c r="H156" i="65"/>
  <c r="R156" i="65"/>
  <c r="P156" i="65"/>
  <c r="Z92" i="65"/>
  <c r="K92" i="65"/>
  <c r="AB140" i="65"/>
  <c r="AG140" i="65"/>
  <c r="Q5" i="65"/>
  <c r="L5" i="65"/>
  <c r="AF127" i="65"/>
  <c r="Q127" i="65"/>
  <c r="T131" i="65"/>
  <c r="G139" i="65"/>
  <c r="AH139" i="65"/>
  <c r="H147" i="65"/>
  <c r="W147" i="65"/>
  <c r="AI147" i="65"/>
  <c r="AJ108" i="65"/>
  <c r="V108" i="65"/>
  <c r="J124" i="65"/>
  <c r="G124" i="65"/>
  <c r="AA156" i="65"/>
  <c r="X156" i="65"/>
  <c r="AI8" i="65"/>
  <c r="AH8" i="65"/>
  <c r="Q101" i="65"/>
  <c r="AE101" i="65"/>
  <c r="AH166" i="65"/>
  <c r="U166" i="65"/>
  <c r="W92" i="65"/>
  <c r="AA92" i="65"/>
  <c r="P140" i="65"/>
  <c r="W140" i="65"/>
  <c r="AG133" i="65"/>
  <c r="P133" i="65"/>
  <c r="K149" i="65"/>
  <c r="AF165" i="65"/>
  <c r="Z165" i="65"/>
  <c r="G102" i="65"/>
  <c r="AE102" i="65"/>
  <c r="AI102" i="65"/>
  <c r="R102" i="65"/>
  <c r="G134" i="65"/>
  <c r="J134" i="65"/>
  <c r="P134" i="65"/>
  <c r="R134" i="65"/>
  <c r="L150" i="65"/>
  <c r="S150" i="65"/>
  <c r="AJ150" i="65"/>
  <c r="Q150" i="65"/>
  <c r="P5" i="65"/>
  <c r="U5" i="65"/>
  <c r="AH111" i="65"/>
  <c r="M111" i="65"/>
  <c r="N127" i="65"/>
  <c r="R127" i="65"/>
  <c r="O131" i="65"/>
  <c r="AE131" i="65"/>
  <c r="M139" i="65"/>
  <c r="AB147" i="65"/>
  <c r="M147" i="65"/>
  <c r="AA147" i="65"/>
  <c r="AH151" i="65"/>
  <c r="Z151" i="65"/>
  <c r="K151" i="65"/>
  <c r="V96" i="65"/>
  <c r="X96" i="65"/>
  <c r="X108" i="65"/>
  <c r="AD124" i="65"/>
  <c r="AC124" i="65"/>
  <c r="T144" i="65"/>
  <c r="Q156" i="65"/>
  <c r="N156" i="65"/>
  <c r="H8" i="65"/>
  <c r="AD8" i="65"/>
  <c r="Z8" i="65"/>
  <c r="J101" i="65"/>
  <c r="R101" i="65"/>
  <c r="M101" i="65"/>
  <c r="W101" i="65"/>
  <c r="S166" i="65"/>
  <c r="U92" i="65"/>
  <c r="O92" i="65"/>
  <c r="N112" i="65"/>
  <c r="R112" i="65"/>
  <c r="AJ128" i="65"/>
  <c r="R128" i="65"/>
  <c r="Z140" i="65"/>
  <c r="L140" i="65"/>
  <c r="AI160" i="65"/>
  <c r="AC160" i="65"/>
  <c r="AA133" i="65"/>
  <c r="K133" i="65"/>
  <c r="AA149" i="65"/>
  <c r="AH165" i="65"/>
  <c r="W165" i="65"/>
  <c r="AC102" i="65"/>
  <c r="X102" i="65"/>
  <c r="M134" i="65"/>
  <c r="H134" i="65"/>
  <c r="H5" i="65"/>
  <c r="AK12" i="65"/>
  <c r="F12" i="65" s="1"/>
  <c r="U111" i="65"/>
  <c r="R111" i="65"/>
  <c r="P111" i="65"/>
  <c r="AA111" i="65"/>
  <c r="AG127" i="65"/>
  <c r="V127" i="65"/>
  <c r="P127" i="65"/>
  <c r="AA127" i="65"/>
  <c r="I131" i="65"/>
  <c r="M131" i="65"/>
  <c r="J131" i="65"/>
  <c r="AJ135" i="65"/>
  <c r="AC135" i="65"/>
  <c r="AG135" i="65"/>
  <c r="Q139" i="65"/>
  <c r="AC139" i="65"/>
  <c r="AG139" i="65"/>
  <c r="N143" i="65"/>
  <c r="AD143" i="65"/>
  <c r="Q143" i="65"/>
  <c r="AA143" i="65"/>
  <c r="Q147" i="65"/>
  <c r="T147" i="65"/>
  <c r="V147" i="65"/>
  <c r="K147" i="65"/>
  <c r="N151" i="65"/>
  <c r="AD151" i="65"/>
  <c r="H155" i="65"/>
  <c r="T155" i="65"/>
  <c r="AG155" i="65"/>
  <c r="T163" i="65"/>
  <c r="X163" i="65"/>
  <c r="L163" i="65"/>
  <c r="Z7" i="65"/>
  <c r="Q7" i="65"/>
  <c r="U7" i="65"/>
  <c r="K11" i="65"/>
  <c r="U11" i="65"/>
  <c r="M11" i="65"/>
  <c r="T96" i="65"/>
  <c r="U96" i="65"/>
  <c r="W96" i="65"/>
  <c r="S100" i="65"/>
  <c r="AH100" i="65"/>
  <c r="I108" i="65"/>
  <c r="P108" i="65"/>
  <c r="N108" i="65"/>
  <c r="J116" i="65"/>
  <c r="Q116" i="65"/>
  <c r="L116" i="65"/>
  <c r="Z124" i="65"/>
  <c r="I124" i="65"/>
  <c r="V124" i="65"/>
  <c r="X144" i="65"/>
  <c r="O144" i="65"/>
  <c r="I144" i="65"/>
  <c r="AE148" i="65"/>
  <c r="J148" i="65"/>
  <c r="N148" i="65"/>
  <c r="K156" i="65"/>
  <c r="S156" i="65"/>
  <c r="W156" i="65"/>
  <c r="I164" i="65"/>
  <c r="AJ164" i="65"/>
  <c r="N8" i="65"/>
  <c r="AA8" i="65"/>
  <c r="AB8" i="65"/>
  <c r="AB101" i="65"/>
  <c r="P101" i="65"/>
  <c r="V101" i="65"/>
  <c r="V153" i="65"/>
  <c r="M153" i="65"/>
  <c r="AD153" i="65"/>
  <c r="AB106" i="65"/>
  <c r="O106" i="65"/>
  <c r="T106" i="65"/>
  <c r="R154" i="65"/>
  <c r="N154" i="65"/>
  <c r="T154" i="65"/>
  <c r="K166" i="65"/>
  <c r="AE166" i="65"/>
  <c r="G166" i="65"/>
  <c r="AH92" i="65"/>
  <c r="I92" i="65"/>
  <c r="R92" i="65"/>
  <c r="K112" i="65"/>
  <c r="AE112" i="65"/>
  <c r="H112" i="65"/>
  <c r="AH128" i="65"/>
  <c r="K128" i="65"/>
  <c r="AA128" i="65"/>
  <c r="AE132" i="65"/>
  <c r="AI132" i="65"/>
  <c r="K132" i="65"/>
  <c r="V140" i="65"/>
  <c r="R140" i="65"/>
  <c r="Y140" i="65"/>
  <c r="W160" i="65"/>
  <c r="AH160" i="65"/>
  <c r="AB160" i="65"/>
  <c r="AA12" i="65"/>
  <c r="L12" i="65"/>
  <c r="AD12" i="65"/>
  <c r="Y105" i="65"/>
  <c r="Z105" i="65"/>
  <c r="AA105" i="65"/>
  <c r="R133" i="65"/>
  <c r="AB133" i="65"/>
  <c r="N133" i="65"/>
  <c r="J149" i="65"/>
  <c r="V149" i="65"/>
  <c r="AJ149" i="65"/>
  <c r="X165" i="65"/>
  <c r="AG165" i="65"/>
  <c r="Y165" i="65"/>
  <c r="K102" i="65"/>
  <c r="U102" i="65"/>
  <c r="AH102" i="65"/>
  <c r="S134" i="65"/>
  <c r="L134" i="65"/>
  <c r="AI134" i="65"/>
  <c r="H150" i="65"/>
  <c r="R150" i="65"/>
  <c r="O5" i="65"/>
  <c r="K5" i="65"/>
  <c r="AK166" i="65"/>
  <c r="F166" i="65" s="1"/>
  <c r="AK96" i="65"/>
  <c r="F96" i="65" s="1"/>
  <c r="AK112" i="65"/>
  <c r="F112" i="65" s="1"/>
  <c r="AK160" i="65"/>
  <c r="F160" i="65" s="1"/>
  <c r="AK102" i="65"/>
  <c r="F102" i="65" s="1"/>
  <c r="AK153" i="65"/>
  <c r="F153" i="65" s="1"/>
  <c r="AK154" i="65"/>
  <c r="F154" i="65" s="1"/>
  <c r="AK101" i="65"/>
  <c r="F101" i="65" s="1"/>
  <c r="AK133" i="65"/>
  <c r="F133" i="65" s="1"/>
  <c r="AK149" i="65"/>
  <c r="F149" i="65" s="1"/>
  <c r="AK165" i="65"/>
  <c r="F165" i="65" s="1"/>
  <c r="AK150" i="65"/>
  <c r="F150" i="65" s="1"/>
  <c r="AK8" i="65"/>
  <c r="F8" i="65" s="1"/>
  <c r="AK100" i="65"/>
  <c r="F100" i="65" s="1"/>
  <c r="AK148" i="65"/>
  <c r="F148" i="65" s="1"/>
  <c r="AK164" i="65"/>
  <c r="F164" i="65" s="1"/>
  <c r="AK144" i="65"/>
  <c r="F144" i="65" s="1"/>
  <c r="AK134" i="65"/>
  <c r="F134" i="65" s="1"/>
  <c r="AK131" i="65"/>
  <c r="F131" i="65" s="1"/>
  <c r="AK108" i="65"/>
  <c r="F108" i="65" s="1"/>
  <c r="AK142" i="65"/>
  <c r="F142" i="65" s="1"/>
  <c r="AK94" i="65"/>
  <c r="F94" i="65" s="1"/>
  <c r="AK10" i="65"/>
  <c r="F10" i="65" s="1"/>
  <c r="AK152" i="65"/>
  <c r="F152" i="65" s="1"/>
  <c r="AK103" i="65"/>
  <c r="F103" i="65" s="1"/>
  <c r="AK93" i="65"/>
  <c r="F93" i="65" s="1"/>
  <c r="AK141" i="65"/>
  <c r="F141" i="65" s="1"/>
  <c r="AK97" i="65"/>
  <c r="F97" i="65" s="1"/>
  <c r="AK129" i="65"/>
  <c r="F129" i="65" s="1"/>
  <c r="AK161" i="65"/>
  <c r="F161" i="65" s="1"/>
  <c r="AK107" i="65"/>
  <c r="F107" i="65" s="1"/>
  <c r="AK104" i="65"/>
  <c r="F104" i="65" s="1"/>
  <c r="AK145" i="65"/>
  <c r="F145" i="65" s="1"/>
  <c r="AK109" i="65"/>
  <c r="F109" i="65" s="1"/>
  <c r="AK159" i="65"/>
  <c r="F159" i="65" s="1"/>
  <c r="AK123" i="65"/>
  <c r="F123" i="65" s="1"/>
  <c r="AK162" i="65"/>
  <c r="F162" i="65" s="1"/>
  <c r="AK167" i="65"/>
  <c r="F167" i="65" s="1"/>
  <c r="AK128" i="65"/>
  <c r="F128" i="65" s="1"/>
  <c r="AK168" i="65"/>
  <c r="F168" i="65" s="1"/>
  <c r="AK126" i="65"/>
  <c r="F126" i="65" s="1"/>
  <c r="AK11" i="65"/>
  <c r="F11" i="65" s="1"/>
  <c r="AK7" i="65"/>
  <c r="F7" i="65" s="1"/>
  <c r="AK130" i="65"/>
  <c r="F130" i="65" s="1"/>
  <c r="AK92" i="65"/>
  <c r="F92" i="65" s="1"/>
  <c r="AK124" i="65"/>
  <c r="F124" i="65" s="1"/>
  <c r="AK156" i="65"/>
  <c r="F156" i="65" s="1"/>
  <c r="AA2" i="37"/>
  <c r="Z1" i="37"/>
  <c r="AA1" i="37" l="1"/>
  <c r="AB2" i="37"/>
  <c r="AB1" i="37" l="1"/>
  <c r="AC2" i="37"/>
  <c r="AD2" i="37" l="1"/>
  <c r="AC1" i="37"/>
  <c r="AE2" i="37" l="1"/>
  <c r="AD1" i="37"/>
  <c r="A1" i="61"/>
  <c r="I4" i="65" l="1"/>
  <c r="AA4" i="65"/>
  <c r="AI4" i="65"/>
  <c r="Z4" i="65"/>
  <c r="AK4" i="65"/>
  <c r="F4" i="65" s="1"/>
  <c r="AC4" i="65"/>
  <c r="J4" i="65"/>
  <c r="Y4" i="65"/>
  <c r="U4" i="65"/>
  <c r="AJ4" i="65"/>
  <c r="AH4" i="65"/>
  <c r="H4" i="65"/>
  <c r="G4" i="65"/>
  <c r="R4" i="65"/>
  <c r="L4" i="65"/>
  <c r="X4" i="65"/>
  <c r="P4" i="65"/>
  <c r="O4" i="65"/>
  <c r="AD4" i="65"/>
  <c r="T4" i="65"/>
  <c r="N4" i="65"/>
  <c r="W4" i="65"/>
  <c r="AB4" i="65"/>
  <c r="S4" i="65"/>
  <c r="K4" i="65"/>
  <c r="AG4" i="65"/>
  <c r="Q4" i="65"/>
  <c r="M4" i="65"/>
  <c r="AF4" i="65"/>
  <c r="AE4" i="65"/>
  <c r="V4" i="65"/>
  <c r="AE118" i="65"/>
  <c r="AB5" i="65"/>
  <c r="AG117" i="65"/>
  <c r="S118" i="65"/>
  <c r="AB118" i="65"/>
  <c r="Q122" i="65"/>
  <c r="AA122" i="65"/>
  <c r="AD138" i="65"/>
  <c r="AE138" i="65"/>
  <c r="G119" i="65"/>
  <c r="H113" i="65"/>
  <c r="W122" i="65"/>
  <c r="O117" i="65"/>
  <c r="AJ6" i="65"/>
  <c r="W6" i="65"/>
  <c r="R114" i="65"/>
  <c r="AG114" i="65"/>
  <c r="AE114" i="65"/>
  <c r="AJ119" i="65"/>
  <c r="U119" i="65"/>
  <c r="R119" i="65"/>
  <c r="I113" i="65"/>
  <c r="V113" i="65"/>
  <c r="AG118" i="65"/>
  <c r="J115" i="65"/>
  <c r="S115" i="65"/>
  <c r="Y117" i="65"/>
  <c r="AF118" i="65"/>
  <c r="H118" i="65"/>
  <c r="U118" i="65"/>
  <c r="Z6" i="65"/>
  <c r="Z113" i="65"/>
  <c r="X6" i="65"/>
  <c r="AG5" i="65"/>
  <c r="R115" i="65"/>
  <c r="U115" i="65"/>
  <c r="AI138" i="65"/>
  <c r="AH5" i="65"/>
  <c r="P117" i="65"/>
  <c r="Q117" i="65"/>
  <c r="AK117" i="65"/>
  <c r="F117" i="65" s="1"/>
  <c r="AJ118" i="65"/>
  <c r="T122" i="65"/>
  <c r="L122" i="65"/>
  <c r="AA138" i="65"/>
  <c r="AH138" i="65"/>
  <c r="AA113" i="65"/>
  <c r="P115" i="65"/>
  <c r="N138" i="65"/>
  <c r="AC6" i="65"/>
  <c r="N114" i="65"/>
  <c r="T114" i="65"/>
  <c r="H114" i="65"/>
  <c r="AC122" i="65"/>
  <c r="S122" i="65"/>
  <c r="AB138" i="65"/>
  <c r="AJ5" i="65"/>
  <c r="W117" i="65"/>
  <c r="M117" i="65"/>
  <c r="T118" i="65"/>
  <c r="AB122" i="65"/>
  <c r="R122" i="65"/>
  <c r="K138" i="65"/>
  <c r="L113" i="65"/>
  <c r="I115" i="65"/>
  <c r="AA6" i="65"/>
  <c r="AH6" i="65"/>
  <c r="K118" i="65"/>
  <c r="AA114" i="65"/>
  <c r="L114" i="65"/>
  <c r="AI114" i="65"/>
  <c r="AA119" i="65"/>
  <c r="V119" i="65"/>
  <c r="J113" i="65"/>
  <c r="AE113" i="65"/>
  <c r="AH113" i="65"/>
  <c r="Q113" i="65"/>
  <c r="AI118" i="65"/>
  <c r="O138" i="65"/>
  <c r="Z117" i="65"/>
  <c r="AA115" i="65"/>
  <c r="K117" i="65"/>
  <c r="V138" i="65"/>
  <c r="X5" i="65"/>
  <c r="AK6" i="65"/>
  <c r="F6" i="65" s="1"/>
  <c r="AK115" i="65"/>
  <c r="F115" i="65" s="1"/>
  <c r="AJ138" i="65"/>
  <c r="S117" i="65"/>
  <c r="V115" i="65"/>
  <c r="W119" i="65"/>
  <c r="H115" i="65"/>
  <c r="Y6" i="65"/>
  <c r="T117" i="65"/>
  <c r="R117" i="65"/>
  <c r="P118" i="65"/>
  <c r="Y122" i="65"/>
  <c r="G122" i="65"/>
  <c r="M138" i="65"/>
  <c r="L138" i="65"/>
  <c r="T119" i="65"/>
  <c r="AC5" i="65"/>
  <c r="AE6" i="65"/>
  <c r="K114" i="65"/>
  <c r="X114" i="65"/>
  <c r="AC119" i="65"/>
  <c r="L119" i="65"/>
  <c r="S119" i="65"/>
  <c r="AJ113" i="65"/>
  <c r="K113" i="65"/>
  <c r="W113" i="65"/>
  <c r="S114" i="65"/>
  <c r="AF5" i="65"/>
  <c r="L118" i="65"/>
  <c r="Q118" i="65"/>
  <c r="AI122" i="65"/>
  <c r="X138" i="65"/>
  <c r="L117" i="65"/>
  <c r="AI117" i="65"/>
  <c r="J138" i="65"/>
  <c r="H119" i="65"/>
  <c r="AG119" i="65"/>
  <c r="J118" i="65"/>
  <c r="I117" i="65"/>
  <c r="AC113" i="65"/>
  <c r="AI115" i="65"/>
  <c r="K115" i="65"/>
  <c r="W5" i="65"/>
  <c r="AE117" i="65"/>
  <c r="X117" i="65"/>
  <c r="T113" i="65"/>
  <c r="G115" i="65"/>
  <c r="AI6" i="65"/>
  <c r="AC118" i="65"/>
  <c r="AD122" i="65"/>
  <c r="AE122" i="65"/>
  <c r="U122" i="65"/>
  <c r="Y138" i="65"/>
  <c r="R138" i="65"/>
  <c r="P114" i="65"/>
  <c r="O114" i="65"/>
  <c r="V6" i="65"/>
  <c r="X122" i="65"/>
  <c r="AJ114" i="65"/>
  <c r="AD114" i="65"/>
  <c r="AB119" i="65"/>
  <c r="AI119" i="65"/>
  <c r="M119" i="65"/>
  <c r="R113" i="65"/>
  <c r="AI113" i="65"/>
  <c r="X113" i="65"/>
  <c r="P113" i="65"/>
  <c r="AI5" i="65"/>
  <c r="O118" i="65"/>
  <c r="V122" i="65"/>
  <c r="T138" i="65"/>
  <c r="R118" i="65"/>
  <c r="AJ115" i="65"/>
  <c r="AH122" i="65"/>
  <c r="AK138" i="65"/>
  <c r="F138" i="65" s="1"/>
  <c r="AK119" i="65"/>
  <c r="F119" i="65" s="1"/>
  <c r="AF122" i="65"/>
  <c r="AK118" i="65"/>
  <c r="F118" i="65" s="1"/>
  <c r="Z138" i="65"/>
  <c r="AG115" i="65"/>
  <c r="AK5" i="65"/>
  <c r="F5" i="65" s="1"/>
  <c r="U117" i="65"/>
  <c r="AA117" i="65"/>
  <c r="M115" i="65"/>
  <c r="G117" i="65"/>
  <c r="I114" i="65"/>
  <c r="AA118" i="65"/>
  <c r="I122" i="65"/>
  <c r="O122" i="65"/>
  <c r="AJ122" i="65"/>
  <c r="U138" i="65"/>
  <c r="P138" i="65"/>
  <c r="P122" i="65"/>
  <c r="N122" i="65"/>
  <c r="AC115" i="65"/>
  <c r="AC138" i="65"/>
  <c r="Y114" i="65"/>
  <c r="AF114" i="65"/>
  <c r="AH114" i="65"/>
  <c r="N119" i="65"/>
  <c r="AD119" i="65"/>
  <c r="P119" i="65"/>
  <c r="AG113" i="65"/>
  <c r="AD113" i="65"/>
  <c r="S113" i="65"/>
  <c r="Y118" i="65"/>
  <c r="X115" i="65"/>
  <c r="J117" i="65"/>
  <c r="H122" i="65"/>
  <c r="Q138" i="65"/>
  <c r="AE5" i="65"/>
  <c r="Z118" i="65"/>
  <c r="AC117" i="65"/>
  <c r="V5" i="65"/>
  <c r="N115" i="65"/>
  <c r="Y113" i="65"/>
  <c r="AH115" i="65"/>
  <c r="Q115" i="65"/>
  <c r="O115" i="65"/>
  <c r="V117" i="65"/>
  <c r="AE119" i="65"/>
  <c r="Q114" i="65"/>
  <c r="I118" i="65"/>
  <c r="G118" i="65"/>
  <c r="J122" i="65"/>
  <c r="AG122" i="65"/>
  <c r="M122" i="65"/>
  <c r="W138" i="65"/>
  <c r="AF138" i="65"/>
  <c r="Y115" i="65"/>
  <c r="Q119" i="65"/>
  <c r="AD115" i="65"/>
  <c r="J114" i="65"/>
  <c r="V114" i="65"/>
  <c r="W114" i="65"/>
  <c r="AC114" i="65"/>
  <c r="K119" i="65"/>
  <c r="O119" i="65"/>
  <c r="AH119" i="65"/>
  <c r="O113" i="65"/>
  <c r="AF113" i="65"/>
  <c r="N113" i="65"/>
  <c r="G114" i="65"/>
  <c r="U113" i="65"/>
  <c r="AB115" i="65"/>
  <c r="AB117" i="65"/>
  <c r="AJ117" i="65"/>
  <c r="T115" i="65"/>
  <c r="AG6" i="65"/>
  <c r="AK122" i="65"/>
  <c r="F122" i="65" s="1"/>
  <c r="AK113" i="65"/>
  <c r="F113" i="65" s="1"/>
  <c r="AK114" i="65"/>
  <c r="F114" i="65" s="1"/>
  <c r="M113" i="65"/>
  <c r="X118" i="65"/>
  <c r="W115" i="65"/>
  <c r="V118" i="65"/>
  <c r="L115" i="65"/>
  <c r="AF6" i="65"/>
  <c r="H117" i="65"/>
  <c r="AD5" i="65"/>
  <c r="AF117" i="65"/>
  <c r="Z114" i="65"/>
  <c r="N118" i="65"/>
  <c r="M118" i="65"/>
  <c r="Z122" i="65"/>
  <c r="K122" i="65"/>
  <c r="AG138" i="65"/>
  <c r="S138" i="65"/>
  <c r="AF115" i="65"/>
  <c r="AH118" i="65"/>
  <c r="AD6" i="65"/>
  <c r="J119" i="65"/>
  <c r="Z5" i="65"/>
  <c r="AB114" i="65"/>
  <c r="U114" i="65"/>
  <c r="M114" i="65"/>
  <c r="X119" i="65"/>
  <c r="I119" i="65"/>
  <c r="Z119" i="65"/>
  <c r="AB113" i="65"/>
  <c r="G113" i="65"/>
  <c r="AF119" i="65"/>
  <c r="W118" i="65"/>
  <c r="Z115" i="65"/>
  <c r="AA5" i="65"/>
  <c r="AE115" i="65"/>
  <c r="N117" i="65"/>
  <c r="Y5" i="65"/>
  <c r="AH117" i="65"/>
  <c r="AD118" i="65"/>
  <c r="AB6" i="65"/>
  <c r="Y119" i="65"/>
  <c r="AD117" i="65"/>
  <c r="AF2" i="37"/>
  <c r="AE1" i="37"/>
  <c r="L3" i="29" l="1"/>
  <c r="K3" i="29"/>
  <c r="L169" i="29"/>
  <c r="L163" i="29"/>
  <c r="L155" i="29"/>
  <c r="K149" i="29"/>
  <c r="A149" i="37" s="1"/>
  <c r="L142" i="29"/>
  <c r="L134" i="29"/>
  <c r="L126" i="29"/>
  <c r="L118" i="29"/>
  <c r="L111" i="29"/>
  <c r="L103" i="29"/>
  <c r="L95" i="29"/>
  <c r="L87" i="29"/>
  <c r="L79" i="29"/>
  <c r="L72" i="29"/>
  <c r="L64" i="29"/>
  <c r="L56" i="29"/>
  <c r="L48" i="29"/>
  <c r="L41" i="29"/>
  <c r="L33" i="29"/>
  <c r="L25" i="29"/>
  <c r="L18" i="29"/>
  <c r="K170" i="29"/>
  <c r="A170" i="37" s="1"/>
  <c r="L164" i="29"/>
  <c r="L156" i="29"/>
  <c r="L149" i="29"/>
  <c r="L143" i="29"/>
  <c r="L135" i="29"/>
  <c r="L127" i="29"/>
  <c r="L119" i="29"/>
  <c r="K112" i="29"/>
  <c r="L104" i="29"/>
  <c r="L96" i="29"/>
  <c r="L88" i="29"/>
  <c r="L80" i="29"/>
  <c r="L73" i="29"/>
  <c r="L65" i="29"/>
  <c r="L57" i="29"/>
  <c r="L49" i="29"/>
  <c r="L42" i="29"/>
  <c r="L34" i="29"/>
  <c r="L19" i="29"/>
  <c r="L170" i="29"/>
  <c r="L165" i="29"/>
  <c r="L157" i="29"/>
  <c r="L150" i="29"/>
  <c r="L144" i="29"/>
  <c r="L136" i="29"/>
  <c r="L128" i="29"/>
  <c r="L120" i="29"/>
  <c r="L112" i="29"/>
  <c r="L105" i="29"/>
  <c r="L97" i="29"/>
  <c r="L89" i="29"/>
  <c r="L81" i="29"/>
  <c r="L74" i="29"/>
  <c r="L66" i="29"/>
  <c r="L58" i="29"/>
  <c r="L50" i="29"/>
  <c r="L43" i="29"/>
  <c r="L35" i="29"/>
  <c r="L27" i="29"/>
  <c r="L20" i="29"/>
  <c r="L12" i="29"/>
  <c r="K4" i="29"/>
  <c r="L37" i="29"/>
  <c r="L22" i="29"/>
  <c r="L11" i="29"/>
  <c r="K171" i="29"/>
  <c r="A171" i="37" s="1"/>
  <c r="L166" i="29"/>
  <c r="L158" i="29"/>
  <c r="K151" i="29"/>
  <c r="A151" i="37" s="1"/>
  <c r="K145" i="29"/>
  <c r="A145" i="37" s="1"/>
  <c r="L137" i="29"/>
  <c r="L129" i="29"/>
  <c r="L121" i="29"/>
  <c r="L113" i="29"/>
  <c r="L106" i="29"/>
  <c r="L98" i="29"/>
  <c r="L90" i="29"/>
  <c r="L82" i="29"/>
  <c r="L75" i="29"/>
  <c r="L67" i="29"/>
  <c r="L59" i="29"/>
  <c r="L51" i="29"/>
  <c r="L44" i="29"/>
  <c r="L36" i="29"/>
  <c r="L28" i="29"/>
  <c r="L21" i="29"/>
  <c r="L13" i="29"/>
  <c r="L4" i="29"/>
  <c r="L14" i="29"/>
  <c r="L26" i="29"/>
  <c r="L171" i="29"/>
  <c r="L167" i="29"/>
  <c r="L159" i="29"/>
  <c r="L151" i="29"/>
  <c r="L145" i="29"/>
  <c r="L138" i="29"/>
  <c r="L130" i="29"/>
  <c r="L122" i="29"/>
  <c r="L114" i="29"/>
  <c r="L107" i="29"/>
  <c r="L99" i="29"/>
  <c r="L91" i="29"/>
  <c r="L83" i="29"/>
  <c r="K76" i="29"/>
  <c r="L68" i="29"/>
  <c r="L60" i="29"/>
  <c r="L52" i="29"/>
  <c r="L45" i="29"/>
  <c r="L29" i="29"/>
  <c r="L5" i="29"/>
  <c r="K172" i="29"/>
  <c r="A172" i="37" s="1"/>
  <c r="K168" i="29"/>
  <c r="A168" i="37" s="1"/>
  <c r="L160" i="29"/>
  <c r="L152" i="29"/>
  <c r="L146" i="29"/>
  <c r="L139" i="29"/>
  <c r="L131" i="29"/>
  <c r="L123" i="29"/>
  <c r="L115" i="29"/>
  <c r="L108" i="29"/>
  <c r="L100" i="29"/>
  <c r="L92" i="29"/>
  <c r="L84" i="29"/>
  <c r="L76" i="29"/>
  <c r="L69" i="29"/>
  <c r="L61" i="29"/>
  <c r="L53" i="29"/>
  <c r="L46" i="29"/>
  <c r="L38" i="29"/>
  <c r="L30" i="29"/>
  <c r="L23" i="29"/>
  <c r="L15" i="29"/>
  <c r="L6" i="29"/>
  <c r="L16" i="29"/>
  <c r="L172" i="29"/>
  <c r="L168" i="29"/>
  <c r="L161" i="29"/>
  <c r="L153" i="29"/>
  <c r="L147" i="29"/>
  <c r="L140" i="29"/>
  <c r="L132" i="29"/>
  <c r="L124" i="29"/>
  <c r="L116" i="29"/>
  <c r="L109" i="29"/>
  <c r="L101" i="29"/>
  <c r="L93" i="29"/>
  <c r="L85" i="29"/>
  <c r="L77" i="29"/>
  <c r="L70" i="29"/>
  <c r="L62" i="29"/>
  <c r="L54" i="29"/>
  <c r="L47" i="29"/>
  <c r="L39" i="29"/>
  <c r="L31" i="29"/>
  <c r="L24" i="29"/>
  <c r="L8" i="29"/>
  <c r="K169" i="29"/>
  <c r="A169" i="37" s="1"/>
  <c r="L162" i="29"/>
  <c r="L154" i="29"/>
  <c r="L148" i="29"/>
  <c r="L141" i="29"/>
  <c r="L133" i="29"/>
  <c r="L125" i="29"/>
  <c r="L117" i="29"/>
  <c r="L110" i="29"/>
  <c r="L102" i="29"/>
  <c r="L94" i="29"/>
  <c r="L86" i="29"/>
  <c r="L78" i="29"/>
  <c r="L71" i="29"/>
  <c r="L63" i="29"/>
  <c r="L55" i="29"/>
  <c r="K48" i="29"/>
  <c r="L40" i="29"/>
  <c r="L32" i="29"/>
  <c r="K25" i="29"/>
  <c r="L17" i="29"/>
  <c r="L9" i="29"/>
  <c r="L10" i="29"/>
  <c r="L7" i="29"/>
  <c r="K147" i="29"/>
  <c r="A147" i="37" s="1"/>
  <c r="K90" i="29"/>
  <c r="K66" i="29"/>
  <c r="K97" i="29"/>
  <c r="A97" i="37" s="1"/>
  <c r="K91" i="29"/>
  <c r="A91" i="37" s="1"/>
  <c r="K47" i="29"/>
  <c r="K128" i="29"/>
  <c r="A128" i="37" s="1"/>
  <c r="K38" i="29"/>
  <c r="K127" i="29"/>
  <c r="A127" i="37" s="1"/>
  <c r="K21" i="29"/>
  <c r="K110" i="29"/>
  <c r="A110" i="37" s="1"/>
  <c r="K12" i="29"/>
  <c r="K85" i="29"/>
  <c r="K165" i="29"/>
  <c r="A165" i="37" s="1"/>
  <c r="K67" i="29"/>
  <c r="K132" i="29"/>
  <c r="A132" i="37" s="1"/>
  <c r="K36" i="29"/>
  <c r="K41" i="29"/>
  <c r="K122" i="29"/>
  <c r="A122" i="37" s="1"/>
  <c r="K139" i="29"/>
  <c r="A139" i="37" s="1"/>
  <c r="K82" i="29"/>
  <c r="K10" i="29"/>
  <c r="K89" i="29"/>
  <c r="K58" i="29"/>
  <c r="K39" i="29"/>
  <c r="K104" i="29"/>
  <c r="A104" i="37" s="1"/>
  <c r="K30" i="29"/>
  <c r="K111" i="29"/>
  <c r="A111" i="37" s="1"/>
  <c r="K13" i="29"/>
  <c r="K102" i="29"/>
  <c r="A102" i="37" s="1"/>
  <c r="K166" i="29"/>
  <c r="A166" i="37" s="1"/>
  <c r="K77" i="29"/>
  <c r="K157" i="29"/>
  <c r="A157" i="37" s="1"/>
  <c r="K59" i="29"/>
  <c r="K124" i="29"/>
  <c r="A124" i="37" s="1"/>
  <c r="K45" i="29"/>
  <c r="K130" i="29"/>
  <c r="A130" i="37" s="1"/>
  <c r="K53" i="29"/>
  <c r="K131" i="29"/>
  <c r="A131" i="37" s="1"/>
  <c r="K65" i="29"/>
  <c r="K162" i="29"/>
  <c r="A162" i="37" s="1"/>
  <c r="K81" i="29"/>
  <c r="K161" i="29"/>
  <c r="A161" i="37" s="1"/>
  <c r="K23" i="29"/>
  <c r="K96" i="29"/>
  <c r="A96" i="37" s="1"/>
  <c r="K22" i="29"/>
  <c r="K103" i="29"/>
  <c r="A103" i="37" s="1"/>
  <c r="K8" i="29"/>
  <c r="K94" i="29"/>
  <c r="A94" i="37" s="1"/>
  <c r="K158" i="29"/>
  <c r="A158" i="37" s="1"/>
  <c r="K68" i="29"/>
  <c r="K141" i="29"/>
  <c r="A141" i="37" s="1"/>
  <c r="K51" i="29"/>
  <c r="K116" i="29"/>
  <c r="A116" i="37" s="1"/>
  <c r="K56" i="29"/>
  <c r="K49" i="29"/>
  <c r="K31" i="29"/>
  <c r="K123" i="29"/>
  <c r="A123" i="37" s="1"/>
  <c r="K57" i="29"/>
  <c r="K154" i="29"/>
  <c r="A154" i="37" s="1"/>
  <c r="K72" i="29"/>
  <c r="K153" i="29"/>
  <c r="A153" i="37" s="1"/>
  <c r="K15" i="29"/>
  <c r="K88" i="29"/>
  <c r="K14" i="29"/>
  <c r="K95" i="29"/>
  <c r="A95" i="37" s="1"/>
  <c r="K42" i="29"/>
  <c r="K86" i="29"/>
  <c r="K150" i="29"/>
  <c r="A150" i="37" s="1"/>
  <c r="K60" i="29"/>
  <c r="K133" i="29"/>
  <c r="A133" i="37" s="1"/>
  <c r="K43" i="29"/>
  <c r="K108" i="29"/>
  <c r="A108" i="37" s="1"/>
  <c r="K136" i="29"/>
  <c r="A136" i="37" s="1"/>
  <c r="K113" i="29"/>
  <c r="A113" i="37" s="1"/>
  <c r="K83" i="29"/>
  <c r="K115" i="29"/>
  <c r="A115" i="37" s="1"/>
  <c r="K74" i="29"/>
  <c r="K146" i="29"/>
  <c r="A146" i="37" s="1"/>
  <c r="K64" i="29"/>
  <c r="K137" i="29"/>
  <c r="A137" i="37" s="1"/>
  <c r="K7" i="29"/>
  <c r="K80" i="29"/>
  <c r="K6" i="29"/>
  <c r="K79" i="29"/>
  <c r="K167" i="29"/>
  <c r="A167" i="37" s="1"/>
  <c r="K69" i="29"/>
  <c r="K142" i="29"/>
  <c r="A142" i="37" s="1"/>
  <c r="K52" i="29"/>
  <c r="K117" i="29"/>
  <c r="A117" i="37" s="1"/>
  <c r="K35" i="29"/>
  <c r="K100" i="29"/>
  <c r="A100" i="37" s="1"/>
  <c r="K87" i="29"/>
  <c r="K5" i="29"/>
  <c r="K119" i="29"/>
  <c r="A119" i="37" s="1"/>
  <c r="K32" i="29"/>
  <c r="K107" i="29"/>
  <c r="A107" i="37" s="1"/>
  <c r="K50" i="29"/>
  <c r="K138" i="29"/>
  <c r="A138" i="37" s="1"/>
  <c r="K40" i="29"/>
  <c r="K129" i="29"/>
  <c r="A129" i="37" s="1"/>
  <c r="K33" i="29"/>
  <c r="K71" i="29"/>
  <c r="K160" i="29"/>
  <c r="A160" i="37" s="1"/>
  <c r="K70" i="29"/>
  <c r="K159" i="29"/>
  <c r="A159" i="37" s="1"/>
  <c r="K61" i="29"/>
  <c r="K134" i="29"/>
  <c r="A134" i="37" s="1"/>
  <c r="K44" i="29"/>
  <c r="K109" i="29"/>
  <c r="A109" i="37" s="1"/>
  <c r="K27" i="29"/>
  <c r="K92" i="29"/>
  <c r="A92" i="37" s="1"/>
  <c r="K164" i="29"/>
  <c r="A164" i="37" s="1"/>
  <c r="K26" i="29"/>
  <c r="K73" i="29"/>
  <c r="K120" i="29"/>
  <c r="A120" i="37" s="1"/>
  <c r="K99" i="29"/>
  <c r="A99" i="37" s="1"/>
  <c r="K163" i="29"/>
  <c r="A163" i="37" s="1"/>
  <c r="K114" i="29"/>
  <c r="A114" i="37" s="1"/>
  <c r="K24" i="29"/>
  <c r="K121" i="29"/>
  <c r="A121" i="37" s="1"/>
  <c r="K17" i="29"/>
  <c r="K63" i="29"/>
  <c r="K152" i="29"/>
  <c r="A152" i="37" s="1"/>
  <c r="K62" i="29"/>
  <c r="K143" i="29"/>
  <c r="A143" i="37" s="1"/>
  <c r="K37" i="29"/>
  <c r="K126" i="29"/>
  <c r="A126" i="37" s="1"/>
  <c r="K28" i="29"/>
  <c r="K101" i="29"/>
  <c r="A101" i="37" s="1"/>
  <c r="K19" i="29"/>
  <c r="K84" i="29"/>
  <c r="K156" i="29"/>
  <c r="A156" i="37" s="1"/>
  <c r="K78" i="29"/>
  <c r="K140" i="29"/>
  <c r="A140" i="37" s="1"/>
  <c r="K54" i="29"/>
  <c r="K18" i="29"/>
  <c r="K155" i="29"/>
  <c r="A155" i="37" s="1"/>
  <c r="K106" i="29"/>
  <c r="A106" i="37" s="1"/>
  <c r="K16" i="29"/>
  <c r="K105" i="29"/>
  <c r="A105" i="37" s="1"/>
  <c r="K9" i="29"/>
  <c r="K55" i="29"/>
  <c r="K144" i="29"/>
  <c r="A144" i="37" s="1"/>
  <c r="K46" i="29"/>
  <c r="K135" i="29"/>
  <c r="A135" i="37" s="1"/>
  <c r="K29" i="29"/>
  <c r="K118" i="29"/>
  <c r="A118" i="37" s="1"/>
  <c r="K20" i="29"/>
  <c r="K93" i="29"/>
  <c r="A93" i="37" s="1"/>
  <c r="K11" i="29"/>
  <c r="K75" i="29"/>
  <c r="K148" i="29"/>
  <c r="A148" i="37" s="1"/>
  <c r="K125" i="29"/>
  <c r="A125" i="37" s="1"/>
  <c r="K98" i="29"/>
  <c r="A98" i="37" s="1"/>
  <c r="K34" i="29"/>
  <c r="AG2" i="37"/>
  <c r="AF1" i="37"/>
  <c r="P99" i="29" l="1"/>
  <c r="P123" i="29"/>
  <c r="R123" i="29" s="1"/>
  <c r="P128" i="29"/>
  <c r="P96" i="29"/>
  <c r="P156" i="29"/>
  <c r="P118" i="29"/>
  <c r="R118" i="29" s="1"/>
  <c r="P91" i="29"/>
  <c r="R91" i="29" s="1"/>
  <c r="P154" i="29"/>
  <c r="R154" i="29" s="1"/>
  <c r="P115" i="29"/>
  <c r="P137" i="29"/>
  <c r="P148" i="29"/>
  <c r="P109" i="29"/>
  <c r="P168" i="29"/>
  <c r="R168" i="29" s="1"/>
  <c r="P108" i="29"/>
  <c r="P138" i="29"/>
  <c r="P129" i="29"/>
  <c r="P170" i="29"/>
  <c r="P103" i="29"/>
  <c r="P163" i="29"/>
  <c r="P164" i="29"/>
  <c r="P3" i="29"/>
  <c r="P162" i="29"/>
  <c r="R162" i="29" s="1"/>
  <c r="P120" i="29"/>
  <c r="R120" i="29" s="1"/>
  <c r="P111" i="29"/>
  <c r="R111" i="29" s="1"/>
  <c r="H120" i="61" s="1"/>
  <c r="P169" i="29"/>
  <c r="P141" i="29"/>
  <c r="P101" i="29"/>
  <c r="P161" i="29"/>
  <c r="R161" i="29" s="1"/>
  <c r="P100" i="29"/>
  <c r="P160" i="29"/>
  <c r="P130" i="29"/>
  <c r="P105" i="29"/>
  <c r="P165" i="29"/>
  <c r="P135" i="29"/>
  <c r="P95" i="29"/>
  <c r="R95" i="29" s="1"/>
  <c r="P155" i="29"/>
  <c r="P132" i="29"/>
  <c r="P159" i="29"/>
  <c r="P104" i="29"/>
  <c r="P102" i="29"/>
  <c r="P172" i="29"/>
  <c r="P133" i="29"/>
  <c r="R133" i="29" s="1"/>
  <c r="P93" i="29"/>
  <c r="P153" i="29"/>
  <c r="P92" i="29"/>
  <c r="P152" i="29"/>
  <c r="P122" i="29"/>
  <c r="R122" i="29" s="1"/>
  <c r="P113" i="29"/>
  <c r="P97" i="29"/>
  <c r="R97" i="29" s="1"/>
  <c r="H106" i="61" s="1"/>
  <c r="P157" i="29"/>
  <c r="R157" i="29" s="1"/>
  <c r="H166" i="61" s="1"/>
  <c r="P127" i="29"/>
  <c r="P110" i="29"/>
  <c r="R110" i="29" s="1"/>
  <c r="P131" i="29"/>
  <c r="P136" i="29"/>
  <c r="R136" i="29" s="1"/>
  <c r="P126" i="29"/>
  <c r="P124" i="29"/>
  <c r="R124" i="29" s="1"/>
  <c r="P116" i="29"/>
  <c r="R116" i="29" s="1"/>
  <c r="H125" i="61" s="1"/>
  <c r="P125" i="29"/>
  <c r="P147" i="29"/>
  <c r="P146" i="29"/>
  <c r="P114" i="29"/>
  <c r="P171" i="29"/>
  <c r="P106" i="29"/>
  <c r="R106" i="29" s="1"/>
  <c r="P166" i="29"/>
  <c r="P150" i="29"/>
  <c r="P119" i="29"/>
  <c r="R119" i="29" s="1"/>
  <c r="P142" i="29"/>
  <c r="P94" i="29"/>
  <c r="P117" i="29"/>
  <c r="P140" i="29"/>
  <c r="P139" i="29"/>
  <c r="P107" i="29"/>
  <c r="P167" i="29"/>
  <c r="P98" i="29"/>
  <c r="P158" i="29"/>
  <c r="P144" i="29"/>
  <c r="P134" i="29"/>
  <c r="R134" i="29" s="1"/>
  <c r="H143" i="61" s="1"/>
  <c r="P121" i="29"/>
  <c r="P143" i="29"/>
  <c r="P151" i="29"/>
  <c r="P145" i="29"/>
  <c r="P149" i="29"/>
  <c r="P112" i="29"/>
  <c r="A112" i="37"/>
  <c r="AH2" i="37"/>
  <c r="AG1" i="37"/>
  <c r="R104" i="29"/>
  <c r="R129" i="29"/>
  <c r="R165" i="29" l="1"/>
  <c r="H174" i="61" s="1"/>
  <c r="J174" i="61" s="1"/>
  <c r="R167" i="29"/>
  <c r="R172" i="29"/>
  <c r="R126" i="29"/>
  <c r="H135" i="61" s="1"/>
  <c r="J135" i="61" s="1"/>
  <c r="R137" i="29"/>
  <c r="H146" i="61" s="1"/>
  <c r="J146" i="61" s="1"/>
  <c r="H170" i="61"/>
  <c r="J170" i="61" s="1"/>
  <c r="H119" i="61"/>
  <c r="J119" i="61" s="1"/>
  <c r="H132" i="61"/>
  <c r="J132" i="61" s="1"/>
  <c r="H113" i="61"/>
  <c r="J113" i="61" s="1"/>
  <c r="H138" i="61"/>
  <c r="J138" i="61" s="1"/>
  <c r="H163" i="61"/>
  <c r="J163" i="61" s="1"/>
  <c r="H127" i="61"/>
  <c r="J127" i="61" s="1"/>
  <c r="R132" i="29"/>
  <c r="H141" i="61" s="1"/>
  <c r="J141" i="61" s="1"/>
  <c r="H104" i="61"/>
  <c r="J104" i="61" s="1"/>
  <c r="H171" i="61"/>
  <c r="J171" i="61" s="1"/>
  <c r="H133" i="61"/>
  <c r="J133" i="61" s="1"/>
  <c r="H100" i="61"/>
  <c r="J100" i="61" s="1"/>
  <c r="R138" i="29"/>
  <c r="H115" i="61"/>
  <c r="J115" i="61" s="1"/>
  <c r="H176" i="61"/>
  <c r="J176" i="61" s="1"/>
  <c r="H142" i="61"/>
  <c r="J142" i="61" s="1"/>
  <c r="R130" i="29"/>
  <c r="R108" i="29"/>
  <c r="R114" i="29"/>
  <c r="R109" i="29"/>
  <c r="R153" i="29"/>
  <c r="R101" i="29"/>
  <c r="H110" i="61" s="1"/>
  <c r="J110" i="61" s="1"/>
  <c r="R164" i="29"/>
  <c r="H173" i="61" s="1"/>
  <c r="J173" i="61" s="1"/>
  <c r="R94" i="29"/>
  <c r="R128" i="29"/>
  <c r="R96" i="29"/>
  <c r="R148" i="29"/>
  <c r="R127" i="29"/>
  <c r="R93" i="29"/>
  <c r="R163" i="29"/>
  <c r="H172" i="61" s="1"/>
  <c r="J172" i="61" s="1"/>
  <c r="R142" i="29"/>
  <c r="R169" i="29"/>
  <c r="R160" i="29"/>
  <c r="R159" i="29"/>
  <c r="R147" i="29"/>
  <c r="R103" i="29"/>
  <c r="R92" i="29"/>
  <c r="H101" i="61" s="1"/>
  <c r="J101" i="61" s="1"/>
  <c r="R141" i="29"/>
  <c r="R98" i="29"/>
  <c r="R146" i="29"/>
  <c r="H155" i="61" s="1"/>
  <c r="J155" i="61" s="1"/>
  <c r="R144" i="29"/>
  <c r="H153" i="61" s="1"/>
  <c r="J153" i="61" s="1"/>
  <c r="R155" i="29"/>
  <c r="H164" i="61" s="1"/>
  <c r="J164" i="61" s="1"/>
  <c r="R105" i="29"/>
  <c r="R117" i="29"/>
  <c r="H126" i="61" s="1"/>
  <c r="J126" i="61" s="1"/>
  <c r="R156" i="29"/>
  <c r="R166" i="29"/>
  <c r="J166" i="61"/>
  <c r="R158" i="29"/>
  <c r="R125" i="29"/>
  <c r="R171" i="29"/>
  <c r="R140" i="29"/>
  <c r="J125" i="61"/>
  <c r="R100" i="29"/>
  <c r="R135" i="29"/>
  <c r="J143" i="61"/>
  <c r="R113" i="29"/>
  <c r="J106" i="61"/>
  <c r="J120" i="61"/>
  <c r="R150" i="29"/>
  <c r="R131" i="29"/>
  <c r="R99" i="29"/>
  <c r="R102" i="29"/>
  <c r="R107" i="29"/>
  <c r="R170" i="29"/>
  <c r="R115" i="29"/>
  <c r="R152" i="29"/>
  <c r="R139" i="29"/>
  <c r="R121" i="29"/>
  <c r="R143" i="29"/>
  <c r="R149" i="29"/>
  <c r="R151" i="29"/>
  <c r="R145" i="29"/>
  <c r="R112" i="29"/>
  <c r="AI2" i="37"/>
  <c r="AH1" i="37"/>
  <c r="H150" i="61" l="1"/>
  <c r="J150" i="61" s="1"/>
  <c r="H156" i="61"/>
  <c r="J156" i="61" s="1"/>
  <c r="H137" i="61"/>
  <c r="J137" i="61" s="1"/>
  <c r="H118" i="61"/>
  <c r="J118" i="61" s="1"/>
  <c r="H124" i="61"/>
  <c r="J124" i="61" s="1"/>
  <c r="H159" i="61"/>
  <c r="J159" i="61" s="1"/>
  <c r="H167" i="61"/>
  <c r="J167" i="61" s="1"/>
  <c r="H114" i="61"/>
  <c r="J114" i="61" s="1"/>
  <c r="H105" i="61"/>
  <c r="J105" i="61" s="1"/>
  <c r="H169" i="61"/>
  <c r="J169" i="61" s="1"/>
  <c r="H168" i="61"/>
  <c r="J168" i="61" s="1"/>
  <c r="H148" i="61"/>
  <c r="J148" i="61" s="1"/>
  <c r="H162" i="61"/>
  <c r="J162" i="61" s="1"/>
  <c r="H161" i="61"/>
  <c r="J161" i="61" s="1"/>
  <c r="H108" i="61"/>
  <c r="J108" i="61" s="1"/>
  <c r="H109" i="61"/>
  <c r="J109" i="61" s="1"/>
  <c r="H165" i="61"/>
  <c r="J165" i="61" s="1"/>
  <c r="H136" i="61"/>
  <c r="J136" i="61" s="1"/>
  <c r="H117" i="61"/>
  <c r="J117" i="61" s="1"/>
  <c r="H130" i="61"/>
  <c r="J130" i="61" s="1"/>
  <c r="H111" i="61"/>
  <c r="J111" i="61" s="1"/>
  <c r="H144" i="61"/>
  <c r="J144" i="61" s="1"/>
  <c r="H175" i="61"/>
  <c r="J175" i="61" s="1"/>
  <c r="H112" i="61"/>
  <c r="J112" i="61" s="1"/>
  <c r="H152" i="61"/>
  <c r="J152" i="61" s="1"/>
  <c r="H116" i="61"/>
  <c r="J116" i="61" s="1"/>
  <c r="H103" i="61"/>
  <c r="J103" i="61" s="1"/>
  <c r="H123" i="61"/>
  <c r="J123" i="61" s="1"/>
  <c r="H157" i="61"/>
  <c r="J157" i="61" s="1"/>
  <c r="H140" i="61"/>
  <c r="J140" i="61" s="1"/>
  <c r="H151" i="61"/>
  <c r="J151" i="61" s="1"/>
  <c r="H102" i="61"/>
  <c r="J102" i="61" s="1"/>
  <c r="H147" i="61"/>
  <c r="J147" i="61" s="1"/>
  <c r="AI1" i="37"/>
  <c r="AJ2" i="37"/>
  <c r="AJ1" i="37" l="1"/>
  <c r="AK2" i="37"/>
  <c r="AL2" i="37" l="1"/>
  <c r="AK1" i="37"/>
  <c r="O80" i="29"/>
  <c r="E81" i="65" l="1"/>
  <c r="AM2" i="37"/>
  <c r="AL1" i="37"/>
  <c r="O90" i="29"/>
  <c r="N90" i="29"/>
  <c r="D91" i="65" s="1"/>
  <c r="O89" i="29"/>
  <c r="N89" i="29"/>
  <c r="D90" i="65" s="1"/>
  <c r="O88" i="29"/>
  <c r="N88" i="29"/>
  <c r="D89" i="65" s="1"/>
  <c r="O87" i="29"/>
  <c r="N87" i="29"/>
  <c r="D88" i="65" s="1"/>
  <c r="O86" i="29"/>
  <c r="N86" i="29"/>
  <c r="D87" i="65" s="1"/>
  <c r="O85" i="29"/>
  <c r="N85" i="29"/>
  <c r="D86" i="65" s="1"/>
  <c r="O84" i="29"/>
  <c r="N84" i="29"/>
  <c r="D85" i="65" s="1"/>
  <c r="O83" i="29"/>
  <c r="N83" i="29"/>
  <c r="D84" i="65" s="1"/>
  <c r="O82" i="29"/>
  <c r="N82" i="29"/>
  <c r="D83" i="65" s="1"/>
  <c r="O81" i="29"/>
  <c r="N81" i="29"/>
  <c r="D82" i="65" s="1"/>
  <c r="N80" i="29"/>
  <c r="D81" i="65" s="1"/>
  <c r="O79" i="29"/>
  <c r="N79" i="29"/>
  <c r="D80" i="65" s="1"/>
  <c r="O78" i="29"/>
  <c r="N78" i="29"/>
  <c r="D79" i="65" s="1"/>
  <c r="O77" i="29"/>
  <c r="N77" i="29"/>
  <c r="D78" i="65" s="1"/>
  <c r="O76" i="29"/>
  <c r="Q76" i="29" s="1"/>
  <c r="N76" i="29"/>
  <c r="D77" i="65" s="1"/>
  <c r="O75" i="29"/>
  <c r="N75" i="29"/>
  <c r="D76" i="65" s="1"/>
  <c r="O74" i="29"/>
  <c r="N74" i="29"/>
  <c r="D75" i="65" s="1"/>
  <c r="O73" i="29"/>
  <c r="N73" i="29"/>
  <c r="D74" i="65" s="1"/>
  <c r="O72" i="29"/>
  <c r="N72" i="29"/>
  <c r="D73" i="65" s="1"/>
  <c r="O71" i="29"/>
  <c r="N71" i="29"/>
  <c r="D72" i="65" s="1"/>
  <c r="O70" i="29"/>
  <c r="N70" i="29"/>
  <c r="D71" i="65" s="1"/>
  <c r="O69" i="29"/>
  <c r="N69" i="29"/>
  <c r="D70" i="65" s="1"/>
  <c r="O68" i="29"/>
  <c r="N68" i="29"/>
  <c r="D69" i="65" s="1"/>
  <c r="O67" i="29"/>
  <c r="N67" i="29"/>
  <c r="D68" i="65" s="1"/>
  <c r="O66" i="29"/>
  <c r="N66" i="29"/>
  <c r="D67" i="65" s="1"/>
  <c r="O65" i="29"/>
  <c r="N65" i="29"/>
  <c r="D66" i="65" s="1"/>
  <c r="O64" i="29"/>
  <c r="N64" i="29"/>
  <c r="D65" i="65" s="1"/>
  <c r="O63" i="29"/>
  <c r="N63" i="29"/>
  <c r="D64" i="65" s="1"/>
  <c r="O62" i="29"/>
  <c r="N62" i="29"/>
  <c r="D63" i="65" s="1"/>
  <c r="O61" i="29"/>
  <c r="N61" i="29"/>
  <c r="D62" i="65" s="1"/>
  <c r="O60" i="29"/>
  <c r="N60" i="29"/>
  <c r="D61" i="65" s="1"/>
  <c r="O59" i="29"/>
  <c r="N59" i="29"/>
  <c r="D60" i="65" s="1"/>
  <c r="O58" i="29"/>
  <c r="N58" i="29"/>
  <c r="D59" i="65" s="1"/>
  <c r="O57" i="29"/>
  <c r="N57" i="29"/>
  <c r="D58" i="65" s="1"/>
  <c r="O56" i="29"/>
  <c r="N56" i="29"/>
  <c r="D57" i="65" s="1"/>
  <c r="O55" i="29"/>
  <c r="N55" i="29"/>
  <c r="D56" i="65" s="1"/>
  <c r="O54" i="29"/>
  <c r="N54" i="29"/>
  <c r="D55" i="65" s="1"/>
  <c r="O53" i="29"/>
  <c r="N53" i="29"/>
  <c r="D54" i="65" s="1"/>
  <c r="O52" i="29"/>
  <c r="N52" i="29"/>
  <c r="D53" i="65" s="1"/>
  <c r="O51" i="29"/>
  <c r="N51" i="29"/>
  <c r="D52" i="65" s="1"/>
  <c r="O50" i="29"/>
  <c r="N50" i="29"/>
  <c r="D51" i="65" s="1"/>
  <c r="O49" i="29"/>
  <c r="N49" i="29"/>
  <c r="D50" i="65" s="1"/>
  <c r="O48" i="29"/>
  <c r="N48" i="29"/>
  <c r="D49" i="65" s="1"/>
  <c r="O47" i="29"/>
  <c r="N47" i="29"/>
  <c r="D48" i="65" s="1"/>
  <c r="O46" i="29"/>
  <c r="N46" i="29"/>
  <c r="D47" i="65" s="1"/>
  <c r="O45" i="29"/>
  <c r="N45" i="29"/>
  <c r="D46" i="65" s="1"/>
  <c r="O44" i="29"/>
  <c r="N44" i="29"/>
  <c r="D45" i="65" s="1"/>
  <c r="O43" i="29"/>
  <c r="N43" i="29"/>
  <c r="D44" i="65" s="1"/>
  <c r="O42" i="29"/>
  <c r="N42" i="29"/>
  <c r="D43" i="65" s="1"/>
  <c r="O41" i="29"/>
  <c r="N41" i="29"/>
  <c r="D42" i="65" s="1"/>
  <c r="O40" i="29"/>
  <c r="N40" i="29"/>
  <c r="D41" i="65" s="1"/>
  <c r="O39" i="29"/>
  <c r="N39" i="29"/>
  <c r="D40" i="65" s="1"/>
  <c r="O38" i="29"/>
  <c r="N38" i="29"/>
  <c r="D39" i="65" s="1"/>
  <c r="O37" i="29"/>
  <c r="N37" i="29"/>
  <c r="D38" i="65" s="1"/>
  <c r="O36" i="29"/>
  <c r="N36" i="29"/>
  <c r="D37" i="65" s="1"/>
  <c r="O35" i="29"/>
  <c r="N35" i="29"/>
  <c r="D36" i="65" s="1"/>
  <c r="O34" i="29"/>
  <c r="N34" i="29"/>
  <c r="D35" i="65" s="1"/>
  <c r="O33" i="29"/>
  <c r="N33" i="29"/>
  <c r="D34" i="65" s="1"/>
  <c r="O32" i="29"/>
  <c r="N32" i="29"/>
  <c r="D33" i="65" s="1"/>
  <c r="O31" i="29"/>
  <c r="N31" i="29"/>
  <c r="D32" i="65" s="1"/>
  <c r="O30" i="29"/>
  <c r="N30" i="29"/>
  <c r="D31" i="65" s="1"/>
  <c r="O29" i="29"/>
  <c r="N29" i="29"/>
  <c r="D30" i="65" s="1"/>
  <c r="O28" i="29"/>
  <c r="N28" i="29"/>
  <c r="D29" i="65" s="1"/>
  <c r="O27" i="29"/>
  <c r="N27" i="29"/>
  <c r="D28" i="65" s="1"/>
  <c r="O26" i="29"/>
  <c r="N26" i="29"/>
  <c r="D27" i="65" s="1"/>
  <c r="O25" i="29"/>
  <c r="N25" i="29"/>
  <c r="D26" i="65" s="1"/>
  <c r="O24" i="29"/>
  <c r="N24" i="29"/>
  <c r="D25" i="65" s="1"/>
  <c r="O23" i="29"/>
  <c r="N23" i="29"/>
  <c r="D24" i="65" s="1"/>
  <c r="O22" i="29"/>
  <c r="N22" i="29"/>
  <c r="D23" i="65" s="1"/>
  <c r="O21" i="29"/>
  <c r="N21" i="29"/>
  <c r="D22" i="65" s="1"/>
  <c r="O20" i="29"/>
  <c r="N20" i="29"/>
  <c r="D21" i="65" s="1"/>
  <c r="O19" i="29"/>
  <c r="N19" i="29"/>
  <c r="D20" i="65" s="1"/>
  <c r="O18" i="29"/>
  <c r="N18" i="29"/>
  <c r="D19" i="65" s="1"/>
  <c r="O17" i="29"/>
  <c r="N17" i="29"/>
  <c r="D18" i="65" s="1"/>
  <c r="O16" i="29"/>
  <c r="N16" i="29"/>
  <c r="D17" i="65" s="1"/>
  <c r="O15" i="29"/>
  <c r="N15" i="29"/>
  <c r="D16" i="65" s="1"/>
  <c r="O14" i="29"/>
  <c r="N14" i="29"/>
  <c r="D15" i="65" s="1"/>
  <c r="O13" i="29"/>
  <c r="N13" i="29"/>
  <c r="D14" i="65" s="1"/>
  <c r="M4" i="29"/>
  <c r="Q48" i="29" l="1"/>
  <c r="Q25" i="29"/>
  <c r="AK81" i="65"/>
  <c r="F81" i="65" s="1"/>
  <c r="J81" i="65"/>
  <c r="R81" i="65"/>
  <c r="Z81" i="65"/>
  <c r="AH81" i="65"/>
  <c r="L81" i="65"/>
  <c r="U81" i="65"/>
  <c r="AD81" i="65"/>
  <c r="N81" i="65"/>
  <c r="X81" i="65"/>
  <c r="AI81" i="65"/>
  <c r="K81" i="65"/>
  <c r="W81" i="65"/>
  <c r="AJ81" i="65"/>
  <c r="M81" i="65"/>
  <c r="Y81" i="65"/>
  <c r="AA81" i="65"/>
  <c r="O81" i="65"/>
  <c r="I81" i="65"/>
  <c r="AE81" i="65"/>
  <c r="AG81" i="65"/>
  <c r="P81" i="65"/>
  <c r="AF81" i="65"/>
  <c r="Q81" i="65"/>
  <c r="G81" i="65"/>
  <c r="S81" i="65"/>
  <c r="AC81" i="65"/>
  <c r="H81" i="65"/>
  <c r="T81" i="65"/>
  <c r="V81" i="65"/>
  <c r="AB81" i="65"/>
  <c r="AD75" i="65"/>
  <c r="M16" i="65"/>
  <c r="Z48" i="65"/>
  <c r="L64" i="65"/>
  <c r="AD64" i="65"/>
  <c r="E30" i="65"/>
  <c r="Q29" i="29"/>
  <c r="E54" i="65"/>
  <c r="Z54" i="65" s="1"/>
  <c r="Q53" i="29"/>
  <c r="E83" i="65"/>
  <c r="Q82" i="29"/>
  <c r="E15" i="65"/>
  <c r="Q14" i="29"/>
  <c r="E19" i="65"/>
  <c r="AJ19" i="65" s="1"/>
  <c r="Q18" i="29"/>
  <c r="E23" i="65"/>
  <c r="Q22" i="29"/>
  <c r="E27" i="65"/>
  <c r="L27" i="65" s="1"/>
  <c r="Q26" i="29"/>
  <c r="E31" i="65"/>
  <c r="Q30" i="29"/>
  <c r="E35" i="65"/>
  <c r="O35" i="65" s="1"/>
  <c r="Q34" i="29"/>
  <c r="E39" i="65"/>
  <c r="Q38" i="29"/>
  <c r="E43" i="65"/>
  <c r="Q42" i="29"/>
  <c r="E47" i="65"/>
  <c r="Q46" i="29"/>
  <c r="E51" i="65"/>
  <c r="AD51" i="65" s="1"/>
  <c r="Q50" i="29"/>
  <c r="E55" i="65"/>
  <c r="Q54" i="29"/>
  <c r="E59" i="65"/>
  <c r="Q58" i="29"/>
  <c r="E63" i="65"/>
  <c r="Q62" i="29"/>
  <c r="E67" i="65"/>
  <c r="O67" i="65" s="1"/>
  <c r="Q66" i="29"/>
  <c r="E71" i="65"/>
  <c r="U71" i="65" s="1"/>
  <c r="Q70" i="29"/>
  <c r="E75" i="65"/>
  <c r="Q74" i="29"/>
  <c r="E79" i="65"/>
  <c r="Q78" i="29"/>
  <c r="E50" i="65"/>
  <c r="AA50" i="65" s="1"/>
  <c r="Q49" i="29"/>
  <c r="E74" i="65"/>
  <c r="Q73" i="29"/>
  <c r="E91" i="65"/>
  <c r="Q90" i="29"/>
  <c r="E84" i="65"/>
  <c r="Q83" i="29"/>
  <c r="E88" i="65"/>
  <c r="AF88" i="65" s="1"/>
  <c r="Q87" i="29"/>
  <c r="E22" i="65"/>
  <c r="W22" i="65" s="1"/>
  <c r="Q21" i="29"/>
  <c r="E46" i="65"/>
  <c r="AF46" i="65" s="1"/>
  <c r="Q45" i="29"/>
  <c r="E70" i="65"/>
  <c r="Q69" i="29"/>
  <c r="E87" i="65"/>
  <c r="N87" i="65" s="1"/>
  <c r="Q86" i="29"/>
  <c r="E16" i="65"/>
  <c r="Q16" i="65" s="1"/>
  <c r="Q15" i="29"/>
  <c r="E20" i="65"/>
  <c r="Q19" i="29"/>
  <c r="AH20" i="65" s="1"/>
  <c r="E24" i="65"/>
  <c r="P24" i="65" s="1"/>
  <c r="Q23" i="29"/>
  <c r="E28" i="65"/>
  <c r="T28" i="65" s="1"/>
  <c r="Q27" i="29"/>
  <c r="E32" i="65"/>
  <c r="V32" i="65" s="1"/>
  <c r="Q31" i="29"/>
  <c r="E36" i="65"/>
  <c r="L36" i="65" s="1"/>
  <c r="Q35" i="29"/>
  <c r="E40" i="65"/>
  <c r="R40" i="65" s="1"/>
  <c r="Q39" i="29"/>
  <c r="E44" i="65"/>
  <c r="U44" i="65" s="1"/>
  <c r="Q43" i="29"/>
  <c r="E48" i="65"/>
  <c r="P48" i="65" s="1"/>
  <c r="Q47" i="29"/>
  <c r="E52" i="65"/>
  <c r="AK52" i="65" s="1"/>
  <c r="F52" i="65" s="1"/>
  <c r="Q51" i="29"/>
  <c r="E56" i="65"/>
  <c r="Q55" i="29"/>
  <c r="E60" i="65"/>
  <c r="AK60" i="65" s="1"/>
  <c r="F60" i="65" s="1"/>
  <c r="Q59" i="29"/>
  <c r="E64" i="65"/>
  <c r="P64" i="65" s="1"/>
  <c r="Q63" i="29"/>
  <c r="E68" i="65"/>
  <c r="AF68" i="65" s="1"/>
  <c r="Q67" i="29"/>
  <c r="E72" i="65"/>
  <c r="Q71" i="29"/>
  <c r="E76" i="65"/>
  <c r="G76" i="65" s="1"/>
  <c r="Q75" i="29"/>
  <c r="E80" i="65"/>
  <c r="AD80" i="65" s="1"/>
  <c r="Q79" i="29"/>
  <c r="E34" i="65"/>
  <c r="Q33" i="29"/>
  <c r="E58" i="65"/>
  <c r="Q57" i="29"/>
  <c r="E78" i="65"/>
  <c r="AE78" i="65" s="1"/>
  <c r="Q77" i="29"/>
  <c r="E85" i="65"/>
  <c r="Q84" i="29"/>
  <c r="E89" i="65"/>
  <c r="Q88" i="29"/>
  <c r="E14" i="65"/>
  <c r="Q13" i="29"/>
  <c r="E38" i="65"/>
  <c r="J38" i="65" s="1"/>
  <c r="Q37" i="29"/>
  <c r="E62" i="65"/>
  <c r="Q61" i="29"/>
  <c r="E17" i="65"/>
  <c r="Q16" i="29"/>
  <c r="E21" i="65"/>
  <c r="Q20" i="29"/>
  <c r="E25" i="65"/>
  <c r="I25" i="65" s="1"/>
  <c r="Q24" i="29"/>
  <c r="E29" i="65"/>
  <c r="T29" i="65" s="1"/>
  <c r="Q28" i="29"/>
  <c r="E33" i="65"/>
  <c r="Q32" i="29"/>
  <c r="E37" i="65"/>
  <c r="Q36" i="29"/>
  <c r="E41" i="65"/>
  <c r="AD41" i="65" s="1"/>
  <c r="Q40" i="29"/>
  <c r="E45" i="65"/>
  <c r="L45" i="65" s="1"/>
  <c r="Q44" i="29"/>
  <c r="E53" i="65"/>
  <c r="Q52" i="29"/>
  <c r="E57" i="65"/>
  <c r="Q56" i="29"/>
  <c r="E61" i="65"/>
  <c r="G61" i="65" s="1"/>
  <c r="Q60" i="29"/>
  <c r="E65" i="65"/>
  <c r="Q64" i="29"/>
  <c r="E69" i="65"/>
  <c r="Q68" i="29"/>
  <c r="E73" i="65"/>
  <c r="Q72" i="29"/>
  <c r="Q80" i="29"/>
  <c r="E18" i="65"/>
  <c r="Q17" i="29"/>
  <c r="E42" i="65"/>
  <c r="AH42" i="65" s="1"/>
  <c r="Q41" i="29"/>
  <c r="E66" i="65"/>
  <c r="Q65" i="29"/>
  <c r="E82" i="65"/>
  <c r="AB82" i="65" s="1"/>
  <c r="Q81" i="29"/>
  <c r="E86" i="65"/>
  <c r="AF86" i="65" s="1"/>
  <c r="Q85" i="29"/>
  <c r="E90" i="65"/>
  <c r="Q89" i="29"/>
  <c r="E26" i="65"/>
  <c r="E49" i="65"/>
  <c r="AB49" i="65" s="1"/>
  <c r="E77" i="65"/>
  <c r="J4" i="29"/>
  <c r="AN2" i="37"/>
  <c r="AM1" i="37"/>
  <c r="R4" i="29"/>
  <c r="M6" i="29"/>
  <c r="J6" i="29" s="1"/>
  <c r="A6" i="37" s="1"/>
  <c r="M72" i="29"/>
  <c r="J72" i="29" s="1"/>
  <c r="A72" i="37" s="1"/>
  <c r="M24" i="29"/>
  <c r="J24" i="29" s="1"/>
  <c r="A24" i="37" s="1"/>
  <c r="M25" i="29"/>
  <c r="J25" i="29" s="1"/>
  <c r="M47" i="29"/>
  <c r="J47" i="29" s="1"/>
  <c r="A47" i="37" s="1"/>
  <c r="M67" i="29"/>
  <c r="J67" i="29" s="1"/>
  <c r="A67" i="37" s="1"/>
  <c r="M71" i="29"/>
  <c r="J71" i="29" s="1"/>
  <c r="A71" i="37" s="1"/>
  <c r="M83" i="29"/>
  <c r="J83" i="29" s="1"/>
  <c r="A83" i="37" s="1"/>
  <c r="M28" i="29"/>
  <c r="J28" i="29" s="1"/>
  <c r="A28" i="37" s="1"/>
  <c r="M36" i="29"/>
  <c r="J36" i="29" s="1"/>
  <c r="A36" i="37" s="1"/>
  <c r="M64" i="29"/>
  <c r="J64" i="29" s="1"/>
  <c r="A64" i="37" s="1"/>
  <c r="M80" i="29"/>
  <c r="J80" i="29" s="1"/>
  <c r="A80" i="37" s="1"/>
  <c r="M48" i="29"/>
  <c r="J48" i="29" s="1"/>
  <c r="M88" i="29"/>
  <c r="J88" i="29" s="1"/>
  <c r="A88" i="37" s="1"/>
  <c r="M10" i="29"/>
  <c r="J10" i="29" s="1"/>
  <c r="A10" i="37" s="1"/>
  <c r="M56" i="29"/>
  <c r="J56" i="29" s="1"/>
  <c r="A56" i="37" s="1"/>
  <c r="M13" i="29"/>
  <c r="J13" i="29" s="1"/>
  <c r="A13" i="37" s="1"/>
  <c r="M11" i="29"/>
  <c r="J11" i="29" s="1"/>
  <c r="A11" i="37" s="1"/>
  <c r="M50" i="29"/>
  <c r="J50" i="29" s="1"/>
  <c r="A50" i="37" s="1"/>
  <c r="M58" i="29"/>
  <c r="J58" i="29" s="1"/>
  <c r="A58" i="37" s="1"/>
  <c r="M66" i="29"/>
  <c r="J66" i="29" s="1"/>
  <c r="A66" i="37" s="1"/>
  <c r="M70" i="29"/>
  <c r="J70" i="29" s="1"/>
  <c r="A70" i="37" s="1"/>
  <c r="M86" i="29"/>
  <c r="J86" i="29" s="1"/>
  <c r="A86" i="37" s="1"/>
  <c r="M69" i="29"/>
  <c r="J69" i="29" s="1"/>
  <c r="A69" i="37" s="1"/>
  <c r="M62" i="29"/>
  <c r="J62" i="29" s="1"/>
  <c r="A62" i="37" s="1"/>
  <c r="M33" i="29"/>
  <c r="J33" i="29" s="1"/>
  <c r="A33" i="37" s="1"/>
  <c r="M52" i="29"/>
  <c r="J52" i="29" s="1"/>
  <c r="A52" i="37" s="1"/>
  <c r="M61" i="29"/>
  <c r="J61" i="29" s="1"/>
  <c r="A61" i="37" s="1"/>
  <c r="M5" i="29"/>
  <c r="J5" i="29" s="1"/>
  <c r="A5" i="37" s="1"/>
  <c r="M9" i="29"/>
  <c r="J9" i="29" s="1"/>
  <c r="A9" i="37" s="1"/>
  <c r="M14" i="29"/>
  <c r="J14" i="29" s="1"/>
  <c r="A14" i="37" s="1"/>
  <c r="M32" i="29"/>
  <c r="J32" i="29" s="1"/>
  <c r="A32" i="37" s="1"/>
  <c r="M59" i="29"/>
  <c r="J59" i="29" s="1"/>
  <c r="A59" i="37" s="1"/>
  <c r="M60" i="29"/>
  <c r="J60" i="29" s="1"/>
  <c r="A60" i="37" s="1"/>
  <c r="M63" i="29"/>
  <c r="J63" i="29" s="1"/>
  <c r="A63" i="37" s="1"/>
  <c r="M76" i="29"/>
  <c r="J76" i="29" s="1"/>
  <c r="M79" i="29"/>
  <c r="J79" i="29" s="1"/>
  <c r="A79" i="37" s="1"/>
  <c r="M85" i="29"/>
  <c r="J85" i="29" s="1"/>
  <c r="A85" i="37" s="1"/>
  <c r="M43" i="29"/>
  <c r="J43" i="29" s="1"/>
  <c r="A43" i="37" s="1"/>
  <c r="M68" i="29"/>
  <c r="J68" i="29" s="1"/>
  <c r="A68" i="37" s="1"/>
  <c r="M15" i="29"/>
  <c r="J15" i="29" s="1"/>
  <c r="A15" i="37" s="1"/>
  <c r="M20" i="29"/>
  <c r="J20" i="29" s="1"/>
  <c r="A20" i="37" s="1"/>
  <c r="M42" i="29"/>
  <c r="J42" i="29" s="1"/>
  <c r="A42" i="37" s="1"/>
  <c r="M46" i="29"/>
  <c r="J46" i="29" s="1"/>
  <c r="A46" i="37" s="1"/>
  <c r="M77" i="29"/>
  <c r="J77" i="29" s="1"/>
  <c r="A77" i="37" s="1"/>
  <c r="M55" i="29"/>
  <c r="J55" i="29" s="1"/>
  <c r="A55" i="37" s="1"/>
  <c r="M75" i="29"/>
  <c r="J75" i="29" s="1"/>
  <c r="A75" i="37" s="1"/>
  <c r="M54" i="29"/>
  <c r="J54" i="29" s="1"/>
  <c r="A54" i="37" s="1"/>
  <c r="M84" i="29"/>
  <c r="J84" i="29" s="1"/>
  <c r="A84" i="37" s="1"/>
  <c r="M90" i="29"/>
  <c r="J90" i="29" s="1"/>
  <c r="A90" i="37" s="1"/>
  <c r="M7" i="29"/>
  <c r="J7" i="29" s="1"/>
  <c r="A7" i="37" s="1"/>
  <c r="M17" i="29"/>
  <c r="J17" i="29" s="1"/>
  <c r="A17" i="37" s="1"/>
  <c r="M40" i="29"/>
  <c r="J40" i="29" s="1"/>
  <c r="A40" i="37" s="1"/>
  <c r="M44" i="29"/>
  <c r="J44" i="29" s="1"/>
  <c r="A44" i="37" s="1"/>
  <c r="M51" i="29"/>
  <c r="J51" i="29" s="1"/>
  <c r="A51" i="37" s="1"/>
  <c r="M82" i="29"/>
  <c r="J82" i="29" s="1"/>
  <c r="A82" i="37" s="1"/>
  <c r="M8" i="29"/>
  <c r="J8" i="29" s="1"/>
  <c r="A8" i="37" s="1"/>
  <c r="M16" i="29"/>
  <c r="J16" i="29" s="1"/>
  <c r="A16" i="37" s="1"/>
  <c r="M49" i="29"/>
  <c r="J49" i="29" s="1"/>
  <c r="A49" i="37" s="1"/>
  <c r="M19" i="29"/>
  <c r="J19" i="29" s="1"/>
  <c r="A19" i="37" s="1"/>
  <c r="M21" i="29"/>
  <c r="J21" i="29" s="1"/>
  <c r="A21" i="37" s="1"/>
  <c r="M27" i="29"/>
  <c r="J27" i="29" s="1"/>
  <c r="A27" i="37" s="1"/>
  <c r="M29" i="29"/>
  <c r="J29" i="29" s="1"/>
  <c r="A29" i="37" s="1"/>
  <c r="M35" i="29"/>
  <c r="J35" i="29" s="1"/>
  <c r="A35" i="37" s="1"/>
  <c r="M37" i="29"/>
  <c r="J37" i="29" s="1"/>
  <c r="A37" i="37" s="1"/>
  <c r="M12" i="29"/>
  <c r="J12" i="29" s="1"/>
  <c r="A12" i="37" s="1"/>
  <c r="M53" i="29"/>
  <c r="J53" i="29" s="1"/>
  <c r="A53" i="37" s="1"/>
  <c r="M74" i="29"/>
  <c r="J74" i="29" s="1"/>
  <c r="A74" i="37" s="1"/>
  <c r="M81" i="29"/>
  <c r="J81" i="29" s="1"/>
  <c r="A81" i="37" s="1"/>
  <c r="M87" i="29"/>
  <c r="J87" i="29" s="1"/>
  <c r="A87" i="37" s="1"/>
  <c r="M22" i="29"/>
  <c r="J22" i="29" s="1"/>
  <c r="A22" i="37" s="1"/>
  <c r="M23" i="29"/>
  <c r="J23" i="29" s="1"/>
  <c r="A23" i="37" s="1"/>
  <c r="M30" i="29"/>
  <c r="J30" i="29" s="1"/>
  <c r="A30" i="37" s="1"/>
  <c r="M31" i="29"/>
  <c r="J31" i="29" s="1"/>
  <c r="A31" i="37" s="1"/>
  <c r="M38" i="29"/>
  <c r="J38" i="29" s="1"/>
  <c r="A38" i="37" s="1"/>
  <c r="M39" i="29"/>
  <c r="J39" i="29" s="1"/>
  <c r="A39" i="37" s="1"/>
  <c r="M57" i="29"/>
  <c r="J57" i="29" s="1"/>
  <c r="A57" i="37" s="1"/>
  <c r="M65" i="29"/>
  <c r="J65" i="29" s="1"/>
  <c r="A65" i="37" s="1"/>
  <c r="M78" i="29"/>
  <c r="J78" i="29" s="1"/>
  <c r="A78" i="37" s="1"/>
  <c r="M18" i="29"/>
  <c r="J18" i="29" s="1"/>
  <c r="A18" i="37" s="1"/>
  <c r="M26" i="29"/>
  <c r="J26" i="29" s="1"/>
  <c r="A26" i="37" s="1"/>
  <c r="M34" i="29"/>
  <c r="J34" i="29" s="1"/>
  <c r="A34" i="37" s="1"/>
  <c r="M41" i="29"/>
  <c r="J41" i="29" s="1"/>
  <c r="A41" i="37" s="1"/>
  <c r="M45" i="29"/>
  <c r="J45" i="29" s="1"/>
  <c r="A45" i="37" s="1"/>
  <c r="M73" i="29"/>
  <c r="J73" i="29" s="1"/>
  <c r="A73" i="37" s="1"/>
  <c r="M89" i="29"/>
  <c r="J89" i="29" s="1"/>
  <c r="A89" i="37" s="1"/>
  <c r="AG20" i="65" l="1"/>
  <c r="AI44" i="65"/>
  <c r="N45" i="65"/>
  <c r="W44" i="65"/>
  <c r="AK49" i="65"/>
  <c r="F49" i="65" s="1"/>
  <c r="S60" i="65"/>
  <c r="AC36" i="65"/>
  <c r="H16" i="65"/>
  <c r="AC35" i="65"/>
  <c r="V60" i="65"/>
  <c r="AG32" i="65"/>
  <c r="I71" i="65"/>
  <c r="AH78" i="65"/>
  <c r="N121" i="65"/>
  <c r="K121" i="65"/>
  <c r="W121" i="65"/>
  <c r="J121" i="65"/>
  <c r="H121" i="65"/>
  <c r="AJ121" i="65"/>
  <c r="AI121" i="65"/>
  <c r="G121" i="65"/>
  <c r="M121" i="65"/>
  <c r="AH121" i="65"/>
  <c r="Q121" i="65"/>
  <c r="AC121" i="65"/>
  <c r="X121" i="65"/>
  <c r="V121" i="65"/>
  <c r="S121" i="65"/>
  <c r="Z121" i="65"/>
  <c r="AD121" i="65"/>
  <c r="AB121" i="65"/>
  <c r="AE121" i="65"/>
  <c r="AA121" i="65"/>
  <c r="AK121" i="65"/>
  <c r="F121" i="65" s="1"/>
  <c r="O121" i="65"/>
  <c r="Y121" i="65"/>
  <c r="U121" i="65"/>
  <c r="T121" i="65"/>
  <c r="AG121" i="65"/>
  <c r="I121" i="65"/>
  <c r="L121" i="65"/>
  <c r="P121" i="65"/>
  <c r="R121" i="65"/>
  <c r="AF121" i="65"/>
  <c r="J137" i="65"/>
  <c r="Q137" i="65"/>
  <c r="O137" i="65"/>
  <c r="K137" i="65"/>
  <c r="V137" i="65"/>
  <c r="AC137" i="65"/>
  <c r="AI137" i="65"/>
  <c r="X137" i="65"/>
  <c r="AK137" i="65"/>
  <c r="F137" i="65" s="1"/>
  <c r="AD137" i="65"/>
  <c r="T137" i="65"/>
  <c r="S137" i="65"/>
  <c r="Z137" i="65"/>
  <c r="L137" i="65"/>
  <c r="AB137" i="65"/>
  <c r="AJ137" i="65"/>
  <c r="AE137" i="65"/>
  <c r="P137" i="65"/>
  <c r="W137" i="65"/>
  <c r="N137" i="65"/>
  <c r="AG137" i="65"/>
  <c r="U137" i="65"/>
  <c r="R137" i="65"/>
  <c r="AA137" i="65"/>
  <c r="AF137" i="65"/>
  <c r="AH137" i="65"/>
  <c r="Y137" i="65"/>
  <c r="M137" i="65"/>
  <c r="Z76" i="65"/>
  <c r="AF60" i="65"/>
  <c r="T32" i="65"/>
  <c r="AB71" i="65"/>
  <c r="Q86" i="65"/>
  <c r="W61" i="65"/>
  <c r="K76" i="65"/>
  <c r="G52" i="65"/>
  <c r="I28" i="65"/>
  <c r="R51" i="65"/>
  <c r="I41" i="65"/>
  <c r="AH120" i="65"/>
  <c r="R120" i="65"/>
  <c r="H120" i="65"/>
  <c r="X120" i="65"/>
  <c r="W120" i="65"/>
  <c r="AA120" i="65"/>
  <c r="N120" i="65"/>
  <c r="AB120" i="65"/>
  <c r="AI120" i="65"/>
  <c r="J120" i="65"/>
  <c r="AF120" i="65"/>
  <c r="AJ120" i="65"/>
  <c r="AE120" i="65"/>
  <c r="G120" i="65"/>
  <c r="I120" i="65"/>
  <c r="T120" i="65"/>
  <c r="P120" i="65"/>
  <c r="O120" i="65"/>
  <c r="V120" i="65"/>
  <c r="Q120" i="65"/>
  <c r="L120" i="65"/>
  <c r="Y120" i="65"/>
  <c r="AG120" i="65"/>
  <c r="M120" i="65"/>
  <c r="S120" i="65"/>
  <c r="Z120" i="65"/>
  <c r="U120" i="65"/>
  <c r="AC120" i="65"/>
  <c r="K120" i="65"/>
  <c r="AD120" i="65"/>
  <c r="AK120" i="65"/>
  <c r="F120" i="65" s="1"/>
  <c r="AH76" i="65"/>
  <c r="AH28" i="65"/>
  <c r="P80" i="65"/>
  <c r="K68" i="65"/>
  <c r="H48" i="65"/>
  <c r="AG28" i="65"/>
  <c r="AK69" i="65"/>
  <c r="F69" i="65" s="1"/>
  <c r="S69" i="65"/>
  <c r="AC69" i="65"/>
  <c r="I69" i="65"/>
  <c r="AD69" i="65"/>
  <c r="U69" i="65"/>
  <c r="V69" i="65"/>
  <c r="R69" i="65"/>
  <c r="AK53" i="65"/>
  <c r="F53" i="65" s="1"/>
  <c r="Z53" i="65"/>
  <c r="AH53" i="65"/>
  <c r="H53" i="65"/>
  <c r="S53" i="65"/>
  <c r="O53" i="65"/>
  <c r="W53" i="65"/>
  <c r="AI53" i="65"/>
  <c r="P33" i="65"/>
  <c r="O33" i="65"/>
  <c r="V33" i="65"/>
  <c r="H33" i="65"/>
  <c r="Q33" i="65"/>
  <c r="AA33" i="65"/>
  <c r="L33" i="65"/>
  <c r="R17" i="65"/>
  <c r="AG17" i="65"/>
  <c r="W17" i="65"/>
  <c r="G17" i="65"/>
  <c r="AI17" i="65"/>
  <c r="I17" i="65"/>
  <c r="X17" i="65"/>
  <c r="O17" i="65"/>
  <c r="AH89" i="65"/>
  <c r="T89" i="65"/>
  <c r="Q89" i="65"/>
  <c r="AD89" i="65"/>
  <c r="R89" i="65"/>
  <c r="Z89" i="65"/>
  <c r="AI89" i="65"/>
  <c r="Y89" i="65"/>
  <c r="AH34" i="65"/>
  <c r="AC34" i="65"/>
  <c r="AF34" i="65"/>
  <c r="U34" i="65"/>
  <c r="AB34" i="65"/>
  <c r="K34" i="65"/>
  <c r="R34" i="65"/>
  <c r="S34" i="65"/>
  <c r="M46" i="65"/>
  <c r="G46" i="65"/>
  <c r="K46" i="65"/>
  <c r="AE46" i="65"/>
  <c r="AC46" i="65"/>
  <c r="W46" i="65"/>
  <c r="AA46" i="65"/>
  <c r="AF91" i="65"/>
  <c r="T91" i="65"/>
  <c r="S91" i="65"/>
  <c r="AE91" i="65"/>
  <c r="H91" i="65"/>
  <c r="M91" i="65"/>
  <c r="W91" i="65"/>
  <c r="K91" i="65"/>
  <c r="I75" i="65"/>
  <c r="X75" i="65"/>
  <c r="W75" i="65"/>
  <c r="U75" i="65"/>
  <c r="AE75" i="65"/>
  <c r="AF75" i="65"/>
  <c r="V75" i="65"/>
  <c r="L75" i="65"/>
  <c r="AF59" i="65"/>
  <c r="W59" i="65"/>
  <c r="L59" i="65"/>
  <c r="AA59" i="65"/>
  <c r="X59" i="65"/>
  <c r="H59" i="65"/>
  <c r="AI59" i="65"/>
  <c r="M59" i="65"/>
  <c r="I43" i="65"/>
  <c r="V43" i="65"/>
  <c r="AE43" i="65"/>
  <c r="K43" i="65"/>
  <c r="Y43" i="65"/>
  <c r="O43" i="65"/>
  <c r="AH43" i="65"/>
  <c r="AK27" i="65"/>
  <c r="F27" i="65" s="1"/>
  <c r="R27" i="65"/>
  <c r="M27" i="65"/>
  <c r="AC27" i="65"/>
  <c r="AI27" i="65"/>
  <c r="AF27" i="65"/>
  <c r="V83" i="65"/>
  <c r="Q83" i="65"/>
  <c r="AA83" i="65"/>
  <c r="Z83" i="65"/>
  <c r="M83" i="65"/>
  <c r="H83" i="65"/>
  <c r="S83" i="65"/>
  <c r="N83" i="65"/>
  <c r="AK34" i="65"/>
  <c r="F34" i="65" s="1"/>
  <c r="I80" i="65"/>
  <c r="AJ76" i="65"/>
  <c r="AA76" i="65"/>
  <c r="AB76" i="65"/>
  <c r="Z68" i="65"/>
  <c r="Q64" i="65"/>
  <c r="V64" i="65"/>
  <c r="Y60" i="65"/>
  <c r="AH60" i="65"/>
  <c r="K60" i="65"/>
  <c r="R52" i="65"/>
  <c r="T48" i="65"/>
  <c r="W48" i="65"/>
  <c r="R44" i="65"/>
  <c r="AG44" i="65"/>
  <c r="V44" i="65"/>
  <c r="V36" i="65"/>
  <c r="AH32" i="65"/>
  <c r="W28" i="65"/>
  <c r="M28" i="65"/>
  <c r="J28" i="65"/>
  <c r="M20" i="65"/>
  <c r="N16" i="65"/>
  <c r="S16" i="65"/>
  <c r="AH71" i="65"/>
  <c r="K71" i="65"/>
  <c r="H51" i="65"/>
  <c r="I27" i="65"/>
  <c r="W35" i="65"/>
  <c r="T61" i="65"/>
  <c r="R22" i="65"/>
  <c r="AB22" i="65"/>
  <c r="P22" i="65"/>
  <c r="J22" i="65"/>
  <c r="AC22" i="65"/>
  <c r="U22" i="65"/>
  <c r="I22" i="65"/>
  <c r="AD22" i="65"/>
  <c r="AE22" i="65"/>
  <c r="M22" i="65"/>
  <c r="AF22" i="65"/>
  <c r="O22" i="65"/>
  <c r="V22" i="65"/>
  <c r="U74" i="65"/>
  <c r="T74" i="65"/>
  <c r="AG74" i="65"/>
  <c r="AB74" i="65"/>
  <c r="V74" i="65"/>
  <c r="AJ74" i="65"/>
  <c r="M74" i="65"/>
  <c r="K74" i="65"/>
  <c r="AC74" i="65"/>
  <c r="AI74" i="65"/>
  <c r="X74" i="65"/>
  <c r="G74" i="65"/>
  <c r="Q74" i="65"/>
  <c r="AE74" i="65"/>
  <c r="Z74" i="65"/>
  <c r="O55" i="65"/>
  <c r="N55" i="65"/>
  <c r="Y55" i="65"/>
  <c r="V55" i="65"/>
  <c r="L55" i="65"/>
  <c r="AD55" i="65"/>
  <c r="Z55" i="65"/>
  <c r="T55" i="65"/>
  <c r="AH55" i="65"/>
  <c r="AE55" i="65"/>
  <c r="AI55" i="65"/>
  <c r="K55" i="65"/>
  <c r="Q55" i="65"/>
  <c r="I55" i="65"/>
  <c r="AJ39" i="65"/>
  <c r="AI39" i="65"/>
  <c r="AD39" i="65"/>
  <c r="P39" i="65"/>
  <c r="AE39" i="65"/>
  <c r="H39" i="65"/>
  <c r="L39" i="65"/>
  <c r="U39" i="65"/>
  <c r="AB39" i="65"/>
  <c r="Q39" i="65"/>
  <c r="Y39" i="65"/>
  <c r="AC39" i="65"/>
  <c r="T23" i="65"/>
  <c r="X23" i="65"/>
  <c r="H23" i="65"/>
  <c r="K23" i="65"/>
  <c r="AE23" i="65"/>
  <c r="Z23" i="65"/>
  <c r="M23" i="65"/>
  <c r="L23" i="65"/>
  <c r="AC23" i="65"/>
  <c r="R23" i="65"/>
  <c r="S23" i="65"/>
  <c r="N23" i="65"/>
  <c r="G23" i="65"/>
  <c r="T54" i="65"/>
  <c r="I54" i="65"/>
  <c r="O54" i="65"/>
  <c r="AE54" i="65"/>
  <c r="AF54" i="65"/>
  <c r="K54" i="65"/>
  <c r="X54" i="65"/>
  <c r="L54" i="65"/>
  <c r="M54" i="65"/>
  <c r="Q54" i="65"/>
  <c r="R54" i="65"/>
  <c r="AI54" i="65"/>
  <c r="AG54" i="65"/>
  <c r="AI80" i="65"/>
  <c r="S80" i="65"/>
  <c r="W76" i="65"/>
  <c r="AG76" i="65"/>
  <c r="Y76" i="65"/>
  <c r="AH68" i="65"/>
  <c r="AA64" i="65"/>
  <c r="AB64" i="65"/>
  <c r="O60" i="65"/>
  <c r="J60" i="65"/>
  <c r="X60" i="65"/>
  <c r="X52" i="65"/>
  <c r="J48" i="65"/>
  <c r="AC44" i="65"/>
  <c r="Q44" i="65"/>
  <c r="L44" i="65"/>
  <c r="AB36" i="65"/>
  <c r="O32" i="65"/>
  <c r="AJ32" i="65"/>
  <c r="Z28" i="65"/>
  <c r="Q28" i="65"/>
  <c r="X28" i="65"/>
  <c r="P20" i="65"/>
  <c r="AB16" i="65"/>
  <c r="AD16" i="65"/>
  <c r="AC71" i="65"/>
  <c r="S71" i="65"/>
  <c r="P51" i="65"/>
  <c r="U19" i="65"/>
  <c r="L38" i="65"/>
  <c r="AE67" i="65"/>
  <c r="M78" i="65"/>
  <c r="P82" i="65"/>
  <c r="M77" i="65"/>
  <c r="Z77" i="65"/>
  <c r="AI77" i="65"/>
  <c r="AH77" i="65"/>
  <c r="T77" i="65"/>
  <c r="S77" i="65"/>
  <c r="W77" i="65"/>
  <c r="AC77" i="65"/>
  <c r="AB77" i="65"/>
  <c r="L77" i="65"/>
  <c r="AD77" i="65"/>
  <c r="X77" i="65"/>
  <c r="I77" i="65"/>
  <c r="R77" i="65"/>
  <c r="Q77" i="65"/>
  <c r="J65" i="65"/>
  <c r="G65" i="65"/>
  <c r="AJ65" i="65"/>
  <c r="P65" i="65"/>
  <c r="T65" i="65"/>
  <c r="Y65" i="65"/>
  <c r="AD65" i="65"/>
  <c r="AI65" i="65"/>
  <c r="H65" i="65"/>
  <c r="AA65" i="65"/>
  <c r="U65" i="65"/>
  <c r="O65" i="65"/>
  <c r="X65" i="65"/>
  <c r="Q65" i="65"/>
  <c r="AF45" i="65"/>
  <c r="AG45" i="65"/>
  <c r="AB45" i="65"/>
  <c r="AE45" i="65"/>
  <c r="H45" i="65"/>
  <c r="U45" i="65"/>
  <c r="P45" i="65"/>
  <c r="W45" i="65"/>
  <c r="X45" i="65"/>
  <c r="J45" i="65"/>
  <c r="AI45" i="65"/>
  <c r="AJ45" i="65"/>
  <c r="V45" i="65"/>
  <c r="R45" i="65"/>
  <c r="L29" i="65"/>
  <c r="V29" i="65"/>
  <c r="Q29" i="65"/>
  <c r="AG29" i="65"/>
  <c r="AI29" i="65"/>
  <c r="M29" i="65"/>
  <c r="AJ29" i="65"/>
  <c r="W29" i="65"/>
  <c r="R29" i="65"/>
  <c r="H29" i="65"/>
  <c r="AB29" i="65"/>
  <c r="P29" i="65"/>
  <c r="S29" i="65"/>
  <c r="AF29" i="65"/>
  <c r="Y29" i="65"/>
  <c r="AJ62" i="65"/>
  <c r="H62" i="65"/>
  <c r="Y62" i="65"/>
  <c r="AH62" i="65"/>
  <c r="L62" i="65"/>
  <c r="AI62" i="65"/>
  <c r="T62" i="65"/>
  <c r="K62" i="65"/>
  <c r="AB62" i="65"/>
  <c r="W62" i="65"/>
  <c r="I62" i="65"/>
  <c r="AC62" i="65"/>
  <c r="AD62" i="65"/>
  <c r="Z62" i="65"/>
  <c r="J85" i="65"/>
  <c r="K85" i="65"/>
  <c r="G85" i="65"/>
  <c r="T85" i="65"/>
  <c r="AB85" i="65"/>
  <c r="AC85" i="65"/>
  <c r="AE85" i="65"/>
  <c r="H85" i="65"/>
  <c r="O85" i="65"/>
  <c r="AI85" i="65"/>
  <c r="V85" i="65"/>
  <c r="M85" i="65"/>
  <c r="AF85" i="65"/>
  <c r="AJ85" i="65"/>
  <c r="T86" i="65"/>
  <c r="AI86" i="65"/>
  <c r="O86" i="65"/>
  <c r="J86" i="65"/>
  <c r="K86" i="65"/>
  <c r="AC86" i="65"/>
  <c r="W86" i="65"/>
  <c r="R86" i="65"/>
  <c r="Y86" i="65"/>
  <c r="L86" i="65"/>
  <c r="AD86" i="65"/>
  <c r="AA86" i="65"/>
  <c r="H86" i="65"/>
  <c r="S86" i="65"/>
  <c r="AG86" i="65"/>
  <c r="Z86" i="65"/>
  <c r="V86" i="65"/>
  <c r="K18" i="65"/>
  <c r="AD18" i="65"/>
  <c r="AG18" i="65"/>
  <c r="H18" i="65"/>
  <c r="W18" i="65"/>
  <c r="AC18" i="65"/>
  <c r="S18" i="65"/>
  <c r="O18" i="65"/>
  <c r="G18" i="65"/>
  <c r="AE18" i="65"/>
  <c r="Q18" i="65"/>
  <c r="P18" i="65"/>
  <c r="AB18" i="65"/>
  <c r="T18" i="65"/>
  <c r="Y18" i="65"/>
  <c r="X18" i="65"/>
  <c r="R18" i="65"/>
  <c r="I18" i="65"/>
  <c r="U80" i="65"/>
  <c r="V80" i="65"/>
  <c r="V76" i="65"/>
  <c r="AE76" i="65"/>
  <c r="O76" i="65"/>
  <c r="G68" i="65"/>
  <c r="AC64" i="65"/>
  <c r="S64" i="65"/>
  <c r="AE60" i="65"/>
  <c r="AG60" i="65"/>
  <c r="P60" i="65"/>
  <c r="P52" i="65"/>
  <c r="Y48" i="65"/>
  <c r="AA44" i="65"/>
  <c r="AH44" i="65"/>
  <c r="K44" i="65"/>
  <c r="Q36" i="65"/>
  <c r="R32" i="65"/>
  <c r="Z32" i="65"/>
  <c r="AA28" i="65"/>
  <c r="AB28" i="65"/>
  <c r="O28" i="65"/>
  <c r="R20" i="65"/>
  <c r="AA16" i="65"/>
  <c r="U16" i="65"/>
  <c r="H71" i="65"/>
  <c r="J71" i="65"/>
  <c r="AG38" i="65"/>
  <c r="AH33" i="65"/>
  <c r="U23" i="65"/>
  <c r="Z34" i="65"/>
  <c r="G82" i="65"/>
  <c r="V53" i="65"/>
  <c r="X29" i="65"/>
  <c r="AA61" i="65"/>
  <c r="J61" i="65"/>
  <c r="AC61" i="65"/>
  <c r="AE61" i="65"/>
  <c r="R61" i="65"/>
  <c r="N61" i="65"/>
  <c r="I61" i="65"/>
  <c r="Z61" i="65"/>
  <c r="Y61" i="65"/>
  <c r="M61" i="65"/>
  <c r="AH61" i="65"/>
  <c r="O61" i="65"/>
  <c r="AF61" i="65"/>
  <c r="H61" i="65"/>
  <c r="P61" i="65"/>
  <c r="AG61" i="65"/>
  <c r="Q61" i="65"/>
  <c r="U61" i="65"/>
  <c r="AI61" i="65"/>
  <c r="S61" i="65"/>
  <c r="V61" i="65"/>
  <c r="X61" i="65"/>
  <c r="H41" i="65"/>
  <c r="AA41" i="65"/>
  <c r="AG41" i="65"/>
  <c r="W41" i="65"/>
  <c r="AJ41" i="65"/>
  <c r="M41" i="65"/>
  <c r="Y41" i="65"/>
  <c r="G41" i="65"/>
  <c r="AH41" i="65"/>
  <c r="S41" i="65"/>
  <c r="T41" i="65"/>
  <c r="X41" i="65"/>
  <c r="AC41" i="65"/>
  <c r="AI41" i="65"/>
  <c r="AF41" i="65"/>
  <c r="N41" i="65"/>
  <c r="J41" i="65"/>
  <c r="R41" i="65"/>
  <c r="O41" i="65"/>
  <c r="V41" i="65"/>
  <c r="I78" i="65"/>
  <c r="T78" i="65"/>
  <c r="AD78" i="65"/>
  <c r="Z78" i="65"/>
  <c r="AB78" i="65"/>
  <c r="G78" i="65"/>
  <c r="AA78" i="65"/>
  <c r="AJ78" i="65"/>
  <c r="R78" i="65"/>
  <c r="AI78" i="65"/>
  <c r="J78" i="65"/>
  <c r="AF78" i="65"/>
  <c r="N78" i="65"/>
  <c r="S78" i="65"/>
  <c r="V78" i="65"/>
  <c r="O78" i="65"/>
  <c r="AC78" i="65"/>
  <c r="Y78" i="65"/>
  <c r="X78" i="65"/>
  <c r="Q78" i="65"/>
  <c r="K78" i="65"/>
  <c r="O87" i="65"/>
  <c r="AD87" i="65"/>
  <c r="AJ87" i="65"/>
  <c r="AH87" i="65"/>
  <c r="AG87" i="65"/>
  <c r="Z87" i="65"/>
  <c r="Q87" i="65"/>
  <c r="K87" i="65"/>
  <c r="M87" i="65"/>
  <c r="R87" i="65"/>
  <c r="U87" i="65"/>
  <c r="T87" i="65"/>
  <c r="I87" i="65"/>
  <c r="AF87" i="65"/>
  <c r="AB87" i="65"/>
  <c r="J87" i="65"/>
  <c r="H87" i="65"/>
  <c r="V87" i="65"/>
  <c r="Y87" i="65"/>
  <c r="S87" i="65"/>
  <c r="AK88" i="65"/>
  <c r="F88" i="65" s="1"/>
  <c r="U88" i="65"/>
  <c r="G88" i="65"/>
  <c r="T88" i="65"/>
  <c r="AD88" i="65"/>
  <c r="AE88" i="65"/>
  <c r="Y88" i="65"/>
  <c r="M88" i="65"/>
  <c r="AJ88" i="65"/>
  <c r="AA88" i="65"/>
  <c r="W88" i="65"/>
  <c r="N88" i="65"/>
  <c r="AB88" i="65"/>
  <c r="AI88" i="65"/>
  <c r="H88" i="65"/>
  <c r="R88" i="65"/>
  <c r="O88" i="65"/>
  <c r="L88" i="65"/>
  <c r="S88" i="65"/>
  <c r="V88" i="65"/>
  <c r="N50" i="65"/>
  <c r="O50" i="65"/>
  <c r="Z50" i="65"/>
  <c r="T50" i="65"/>
  <c r="Y50" i="65"/>
  <c r="AD50" i="65"/>
  <c r="AB50" i="65"/>
  <c r="AI50" i="65"/>
  <c r="AC50" i="65"/>
  <c r="AJ50" i="65"/>
  <c r="S50" i="65"/>
  <c r="W50" i="65"/>
  <c r="I50" i="65"/>
  <c r="AF50" i="65"/>
  <c r="AE50" i="65"/>
  <c r="R50" i="65"/>
  <c r="AG50" i="65"/>
  <c r="P50" i="65"/>
  <c r="AH50" i="65"/>
  <c r="V50" i="65"/>
  <c r="K50" i="65"/>
  <c r="AK67" i="65"/>
  <c r="F67" i="65" s="1"/>
  <c r="K67" i="65"/>
  <c r="AB67" i="65"/>
  <c r="U67" i="65"/>
  <c r="T67" i="65"/>
  <c r="Q67" i="65"/>
  <c r="W67" i="65"/>
  <c r="AC67" i="65"/>
  <c r="J67" i="65"/>
  <c r="AI67" i="65"/>
  <c r="P67" i="65"/>
  <c r="AF67" i="65"/>
  <c r="I67" i="65"/>
  <c r="Z67" i="65"/>
  <c r="AG67" i="65"/>
  <c r="S67" i="65"/>
  <c r="AJ67" i="65"/>
  <c r="R67" i="65"/>
  <c r="N67" i="65"/>
  <c r="AA67" i="65"/>
  <c r="H67" i="65"/>
  <c r="Y51" i="65"/>
  <c r="Z51" i="65"/>
  <c r="AG51" i="65"/>
  <c r="AJ51" i="65"/>
  <c r="M51" i="65"/>
  <c r="N51" i="65"/>
  <c r="Q51" i="65"/>
  <c r="U51" i="65"/>
  <c r="V51" i="65"/>
  <c r="AA51" i="65"/>
  <c r="AB51" i="65"/>
  <c r="G51" i="65"/>
  <c r="AF51" i="65"/>
  <c r="O51" i="65"/>
  <c r="T51" i="65"/>
  <c r="AC51" i="65"/>
  <c r="X35" i="65"/>
  <c r="S35" i="65"/>
  <c r="Y35" i="65"/>
  <c r="AH35" i="65"/>
  <c r="AD35" i="65"/>
  <c r="H35" i="65"/>
  <c r="L35" i="65"/>
  <c r="J35" i="65"/>
  <c r="Z35" i="65"/>
  <c r="T35" i="65"/>
  <c r="U35" i="65"/>
  <c r="M35" i="65"/>
  <c r="AB35" i="65"/>
  <c r="AE35" i="65"/>
  <c r="Q35" i="65"/>
  <c r="AJ35" i="65"/>
  <c r="P35" i="65"/>
  <c r="R35" i="65"/>
  <c r="I35" i="65"/>
  <c r="G35" i="65"/>
  <c r="V35" i="65"/>
  <c r="L19" i="65"/>
  <c r="M19" i="65"/>
  <c r="Z19" i="65"/>
  <c r="J19" i="65"/>
  <c r="V19" i="65"/>
  <c r="Q19" i="65"/>
  <c r="AA19" i="65"/>
  <c r="AF19" i="65"/>
  <c r="AD19" i="65"/>
  <c r="AB19" i="65"/>
  <c r="AH19" i="65"/>
  <c r="R19" i="65"/>
  <c r="AG19" i="65"/>
  <c r="K19" i="65"/>
  <c r="S19" i="65"/>
  <c r="O19" i="65"/>
  <c r="Y19" i="65"/>
  <c r="T19" i="65"/>
  <c r="AE19" i="65"/>
  <c r="N19" i="65"/>
  <c r="AI19" i="65"/>
  <c r="AH30" i="65"/>
  <c r="J30" i="65"/>
  <c r="N30" i="65"/>
  <c r="AE30" i="65"/>
  <c r="R30" i="65"/>
  <c r="K30" i="65"/>
  <c r="P30" i="65"/>
  <c r="Z30" i="65"/>
  <c r="Y30" i="65"/>
  <c r="T30" i="65"/>
  <c r="S30" i="65"/>
  <c r="L30" i="65"/>
  <c r="Q30" i="65"/>
  <c r="AB30" i="65"/>
  <c r="AA30" i="65"/>
  <c r="AF30" i="65"/>
  <c r="M30" i="65"/>
  <c r="G30" i="65"/>
  <c r="V30" i="65"/>
  <c r="AG30" i="65"/>
  <c r="O30" i="65"/>
  <c r="Q80" i="65"/>
  <c r="L80" i="65"/>
  <c r="Q76" i="65"/>
  <c r="T76" i="65"/>
  <c r="AF76" i="65"/>
  <c r="AB68" i="65"/>
  <c r="K64" i="65"/>
  <c r="H64" i="65"/>
  <c r="N60" i="65"/>
  <c r="U60" i="65"/>
  <c r="I52" i="65"/>
  <c r="AJ48" i="65"/>
  <c r="I48" i="65"/>
  <c r="Z44" i="65"/>
  <c r="P44" i="65"/>
  <c r="AB44" i="65"/>
  <c r="AH36" i="65"/>
  <c r="L32" i="65"/>
  <c r="P32" i="65"/>
  <c r="S28" i="65"/>
  <c r="P28" i="65"/>
  <c r="AD28" i="65"/>
  <c r="AI20" i="65"/>
  <c r="X16" i="65"/>
  <c r="I16" i="65"/>
  <c r="P71" i="65"/>
  <c r="AI51" i="65"/>
  <c r="M39" i="65"/>
  <c r="W19" i="65"/>
  <c r="AJ17" i="65"/>
  <c r="S59" i="65"/>
  <c r="AA23" i="65"/>
  <c r="W74" i="65"/>
  <c r="Z18" i="65"/>
  <c r="AA77" i="65"/>
  <c r="N25" i="65"/>
  <c r="AJ90" i="65"/>
  <c r="AB90" i="65"/>
  <c r="X90" i="65"/>
  <c r="O90" i="65"/>
  <c r="I90" i="65"/>
  <c r="Z90" i="65"/>
  <c r="Q90" i="65"/>
  <c r="S90" i="65"/>
  <c r="J90" i="65"/>
  <c r="T90" i="65"/>
  <c r="V90" i="65"/>
  <c r="Z49" i="65"/>
  <c r="W49" i="65"/>
  <c r="K49" i="65"/>
  <c r="AG49" i="65"/>
  <c r="AE49" i="65"/>
  <c r="J49" i="65"/>
  <c r="AI49" i="65"/>
  <c r="P49" i="65"/>
  <c r="R49" i="65"/>
  <c r="G49" i="65"/>
  <c r="O49" i="65"/>
  <c r="L49" i="65"/>
  <c r="T49" i="65"/>
  <c r="AF49" i="65"/>
  <c r="U49" i="65"/>
  <c r="AJ49" i="65"/>
  <c r="Q49" i="65"/>
  <c r="M49" i="65"/>
  <c r="V49" i="65"/>
  <c r="AC49" i="65"/>
  <c r="O82" i="65"/>
  <c r="I82" i="65"/>
  <c r="AE82" i="65"/>
  <c r="N82" i="65"/>
  <c r="R82" i="65"/>
  <c r="U82" i="65"/>
  <c r="AC82" i="65"/>
  <c r="AA82" i="65"/>
  <c r="V82" i="65"/>
  <c r="AG82" i="65"/>
  <c r="AI82" i="65"/>
  <c r="W82" i="65"/>
  <c r="AH82" i="65"/>
  <c r="Q82" i="65"/>
  <c r="X82" i="65"/>
  <c r="T82" i="65"/>
  <c r="AD82" i="65"/>
  <c r="K82" i="65"/>
  <c r="AJ82" i="65"/>
  <c r="S82" i="65"/>
  <c r="M82" i="65"/>
  <c r="AK24" i="65"/>
  <c r="F24" i="65" s="1"/>
  <c r="K80" i="65"/>
  <c r="AG80" i="65"/>
  <c r="AC76" i="65"/>
  <c r="I76" i="65"/>
  <c r="X76" i="65"/>
  <c r="X68" i="65"/>
  <c r="AH64" i="65"/>
  <c r="R60" i="65"/>
  <c r="AD60" i="65"/>
  <c r="I60" i="65"/>
  <c r="Z52" i="65"/>
  <c r="O48" i="65"/>
  <c r="U48" i="65"/>
  <c r="T44" i="65"/>
  <c r="AJ44" i="65"/>
  <c r="S44" i="65"/>
  <c r="W36" i="65"/>
  <c r="J32" i="65"/>
  <c r="AF32" i="65"/>
  <c r="AJ28" i="65"/>
  <c r="AF28" i="65"/>
  <c r="V28" i="65"/>
  <c r="Y20" i="65"/>
  <c r="J16" i="65"/>
  <c r="T71" i="65"/>
  <c r="Z71" i="65"/>
  <c r="X51" i="65"/>
  <c r="AH39" i="65"/>
  <c r="N62" i="65"/>
  <c r="AC30" i="65"/>
  <c r="K89" i="65"/>
  <c r="R55" i="65"/>
  <c r="AH91" i="65"/>
  <c r="R74" i="65"/>
  <c r="AH18" i="65"/>
  <c r="J77" i="65"/>
  <c r="H49" i="65"/>
  <c r="X42" i="65"/>
  <c r="I42" i="65"/>
  <c r="G42" i="65"/>
  <c r="T42" i="65"/>
  <c r="AD42" i="65"/>
  <c r="V42" i="65"/>
  <c r="W42" i="65"/>
  <c r="Z42" i="65"/>
  <c r="K42" i="65"/>
  <c r="O42" i="65"/>
  <c r="AI42" i="65"/>
  <c r="X25" i="65"/>
  <c r="M25" i="65"/>
  <c r="AI25" i="65"/>
  <c r="AH25" i="65"/>
  <c r="V25" i="65"/>
  <c r="J25" i="65"/>
  <c r="O25" i="65"/>
  <c r="AE25" i="65"/>
  <c r="W25" i="65"/>
  <c r="Y25" i="65"/>
  <c r="Q25" i="65"/>
  <c r="AJ25" i="65"/>
  <c r="Z25" i="65"/>
  <c r="AA25" i="65"/>
  <c r="L25" i="65"/>
  <c r="G25" i="65"/>
  <c r="AD25" i="65"/>
  <c r="P25" i="65"/>
  <c r="U25" i="65"/>
  <c r="AG25" i="65"/>
  <c r="O57" i="65"/>
  <c r="H57" i="65"/>
  <c r="AK16" i="65"/>
  <c r="F16" i="65" s="1"/>
  <c r="J80" i="65"/>
  <c r="W80" i="65"/>
  <c r="L76" i="65"/>
  <c r="AD76" i="65"/>
  <c r="P76" i="65"/>
  <c r="P68" i="65"/>
  <c r="U64" i="65"/>
  <c r="G60" i="65"/>
  <c r="M60" i="65"/>
  <c r="AC60" i="65"/>
  <c r="J52" i="65"/>
  <c r="G48" i="65"/>
  <c r="K48" i="65"/>
  <c r="AE44" i="65"/>
  <c r="X44" i="65"/>
  <c r="J44" i="65"/>
  <c r="K36" i="65"/>
  <c r="U32" i="65"/>
  <c r="N32" i="65"/>
  <c r="R28" i="65"/>
  <c r="U28" i="65"/>
  <c r="Q20" i="65"/>
  <c r="AF16" i="65"/>
  <c r="L71" i="65"/>
  <c r="O71" i="65"/>
  <c r="K51" i="65"/>
  <c r="O39" i="65"/>
  <c r="S62" i="65"/>
  <c r="W30" i="65"/>
  <c r="J88" i="65"/>
  <c r="U55" i="65"/>
  <c r="P87" i="65"/>
  <c r="Q50" i="65"/>
  <c r="AA90" i="65"/>
  <c r="J69" i="65"/>
  <c r="AD49" i="65"/>
  <c r="H25" i="65"/>
  <c r="AF42" i="65"/>
  <c r="P38" i="65"/>
  <c r="Z38" i="65"/>
  <c r="X38" i="65"/>
  <c r="S38" i="65"/>
  <c r="AH38" i="65"/>
  <c r="U38" i="65"/>
  <c r="Q38" i="65"/>
  <c r="G38" i="65"/>
  <c r="I38" i="65"/>
  <c r="AB38" i="65"/>
  <c r="AI38" i="65"/>
  <c r="V38" i="65"/>
  <c r="AF38" i="65"/>
  <c r="M38" i="65"/>
  <c r="K38" i="65"/>
  <c r="T38" i="65"/>
  <c r="W38" i="65"/>
  <c r="AC38" i="65"/>
  <c r="R38" i="65"/>
  <c r="N38" i="65"/>
  <c r="AE38" i="65"/>
  <c r="W66" i="65"/>
  <c r="N66" i="65"/>
  <c r="AE66" i="65"/>
  <c r="G66" i="65"/>
  <c r="R66" i="65"/>
  <c r="AK35" i="65"/>
  <c r="F35" i="65" s="1"/>
  <c r="AE80" i="65"/>
  <c r="H80" i="65"/>
  <c r="AI76" i="65"/>
  <c r="S76" i="65"/>
  <c r="AC68" i="65"/>
  <c r="R64" i="65"/>
  <c r="I64" i="65"/>
  <c r="AB60" i="65"/>
  <c r="L60" i="65"/>
  <c r="T60" i="65"/>
  <c r="AG52" i="65"/>
  <c r="AI48" i="65"/>
  <c r="AG48" i="65"/>
  <c r="G44" i="65"/>
  <c r="H44" i="65"/>
  <c r="AD44" i="65"/>
  <c r="AD36" i="65"/>
  <c r="I32" i="65"/>
  <c r="Y28" i="65"/>
  <c r="AI28" i="65"/>
  <c r="K28" i="65"/>
  <c r="U20" i="65"/>
  <c r="AJ16" i="65"/>
  <c r="T16" i="65"/>
  <c r="AI71" i="65"/>
  <c r="AJ71" i="65"/>
  <c r="J51" i="65"/>
  <c r="T39" i="65"/>
  <c r="V54" i="65"/>
  <c r="K22" i="65"/>
  <c r="AC88" i="65"/>
  <c r="AG43" i="65"/>
  <c r="W87" i="65"/>
  <c r="H50" i="65"/>
  <c r="L90" i="65"/>
  <c r="AB65" i="65"/>
  <c r="Z41" i="65"/>
  <c r="X85" i="65"/>
  <c r="R26" i="65"/>
  <c r="AB26" i="65"/>
  <c r="O26" i="65"/>
  <c r="L26" i="65"/>
  <c r="AH26" i="65"/>
  <c r="P26" i="65"/>
  <c r="K26" i="65"/>
  <c r="AD26" i="65"/>
  <c r="I26" i="65"/>
  <c r="X26" i="65"/>
  <c r="AC26" i="65"/>
  <c r="Y26" i="65"/>
  <c r="G26" i="65"/>
  <c r="Q26" i="65"/>
  <c r="AI26" i="65"/>
  <c r="Z26" i="65"/>
  <c r="H26" i="65"/>
  <c r="AJ26" i="65"/>
  <c r="M26" i="65"/>
  <c r="S26" i="65"/>
  <c r="N26" i="65"/>
  <c r="W26" i="65"/>
  <c r="T26" i="65"/>
  <c r="AF26" i="65"/>
  <c r="U26" i="65"/>
  <c r="AE26" i="65"/>
  <c r="AA26" i="65"/>
  <c r="AG26" i="65"/>
  <c r="V26" i="65"/>
  <c r="J26" i="65"/>
  <c r="M73" i="65"/>
  <c r="AB73" i="65"/>
  <c r="S73" i="65"/>
  <c r="R73" i="65"/>
  <c r="H73" i="65"/>
  <c r="AE73" i="65"/>
  <c r="Z73" i="65"/>
  <c r="G73" i="65"/>
  <c r="AH73" i="65"/>
  <c r="Y73" i="65"/>
  <c r="N73" i="65"/>
  <c r="K73" i="65"/>
  <c r="AG73" i="65"/>
  <c r="J73" i="65"/>
  <c r="X73" i="65"/>
  <c r="U73" i="65"/>
  <c r="AD73" i="65"/>
  <c r="AI73" i="65"/>
  <c r="L73" i="65"/>
  <c r="I73" i="65"/>
  <c r="V73" i="65"/>
  <c r="O73" i="65"/>
  <c r="W73" i="65"/>
  <c r="AJ73" i="65"/>
  <c r="AA73" i="65"/>
  <c r="AC73" i="65"/>
  <c r="T73" i="65"/>
  <c r="AB37" i="65"/>
  <c r="Y37" i="65"/>
  <c r="O37" i="65"/>
  <c r="H37" i="65"/>
  <c r="V37" i="65"/>
  <c r="Z37" i="65"/>
  <c r="G37" i="65"/>
  <c r="P37" i="65"/>
  <c r="T37" i="65"/>
  <c r="U37" i="65"/>
  <c r="AJ37" i="65"/>
  <c r="L37" i="65"/>
  <c r="K37" i="65"/>
  <c r="Q37" i="65"/>
  <c r="AG37" i="65"/>
  <c r="AC37" i="65"/>
  <c r="M37" i="65"/>
  <c r="AD37" i="65"/>
  <c r="AF37" i="65"/>
  <c r="AA37" i="65"/>
  <c r="AE37" i="65"/>
  <c r="J37" i="65"/>
  <c r="AH37" i="65"/>
  <c r="AI37" i="65"/>
  <c r="X37" i="65"/>
  <c r="W37" i="65"/>
  <c r="N37" i="65"/>
  <c r="I37" i="65"/>
  <c r="AK37" i="65"/>
  <c r="F37" i="65" s="1"/>
  <c r="S37" i="65"/>
  <c r="R37" i="65"/>
  <c r="AK21" i="65"/>
  <c r="F21" i="65" s="1"/>
  <c r="K21" i="65"/>
  <c r="R21" i="65"/>
  <c r="AI21" i="65"/>
  <c r="P21" i="65"/>
  <c r="AE21" i="65"/>
  <c r="J21" i="65"/>
  <c r="L21" i="65"/>
  <c r="T21" i="65"/>
  <c r="AF21" i="65"/>
  <c r="M21" i="65"/>
  <c r="N21" i="65"/>
  <c r="Z21" i="65"/>
  <c r="W21" i="65"/>
  <c r="AJ21" i="65"/>
  <c r="H21" i="65"/>
  <c r="U21" i="65"/>
  <c r="AD21" i="65"/>
  <c r="AB21" i="65"/>
  <c r="S21" i="65"/>
  <c r="X21" i="65"/>
  <c r="I21" i="65"/>
  <c r="V21" i="65"/>
  <c r="AH21" i="65"/>
  <c r="Q21" i="65"/>
  <c r="Y21" i="65"/>
  <c r="O21" i="65"/>
  <c r="G21" i="65"/>
  <c r="T58" i="65"/>
  <c r="X58" i="65"/>
  <c r="S58" i="65"/>
  <c r="M58" i="65"/>
  <c r="AJ58" i="65"/>
  <c r="O58" i="65"/>
  <c r="I58" i="65"/>
  <c r="W58" i="65"/>
  <c r="Y58" i="65"/>
  <c r="AD58" i="65"/>
  <c r="J58" i="65"/>
  <c r="AH58" i="65"/>
  <c r="R58" i="65"/>
  <c r="AB58" i="65"/>
  <c r="AI58" i="65"/>
  <c r="AF58" i="65"/>
  <c r="U58" i="65"/>
  <c r="G58" i="65"/>
  <c r="Z58" i="65"/>
  <c r="AC58" i="65"/>
  <c r="AA58" i="65"/>
  <c r="P58" i="65"/>
  <c r="K58" i="65"/>
  <c r="L58" i="65"/>
  <c r="N58" i="65"/>
  <c r="AE58" i="65"/>
  <c r="V58" i="65"/>
  <c r="Q58" i="65"/>
  <c r="H58" i="65"/>
  <c r="AG58" i="65"/>
  <c r="Q72" i="65"/>
  <c r="I72" i="65"/>
  <c r="O72" i="65"/>
  <c r="AB72" i="65"/>
  <c r="Z72" i="65"/>
  <c r="T72" i="65"/>
  <c r="AI72" i="65"/>
  <c r="AC72" i="65"/>
  <c r="L72" i="65"/>
  <c r="J72" i="65"/>
  <c r="P72" i="65"/>
  <c r="AH72" i="65"/>
  <c r="M72" i="65"/>
  <c r="AF72" i="65"/>
  <c r="W72" i="65"/>
  <c r="R72" i="65"/>
  <c r="AE72" i="65"/>
  <c r="Y72" i="65"/>
  <c r="X72" i="65"/>
  <c r="S72" i="65"/>
  <c r="H72" i="65"/>
  <c r="K72" i="65"/>
  <c r="V72" i="65"/>
  <c r="U72" i="65"/>
  <c r="N72" i="65"/>
  <c r="AG72" i="65"/>
  <c r="AK56" i="65"/>
  <c r="F56" i="65" s="1"/>
  <c r="U56" i="65"/>
  <c r="S56" i="65"/>
  <c r="AB56" i="65"/>
  <c r="R56" i="65"/>
  <c r="AI56" i="65"/>
  <c r="AA56" i="65"/>
  <c r="K56" i="65"/>
  <c r="N56" i="65"/>
  <c r="H56" i="65"/>
  <c r="T56" i="65"/>
  <c r="AJ56" i="65"/>
  <c r="X56" i="65"/>
  <c r="J56" i="65"/>
  <c r="AF56" i="65"/>
  <c r="W56" i="65"/>
  <c r="I56" i="65"/>
  <c r="AD56" i="65"/>
  <c r="G56" i="65"/>
  <c r="V56" i="65"/>
  <c r="AC56" i="65"/>
  <c r="AG56" i="65"/>
  <c r="P56" i="65"/>
  <c r="AE56" i="65"/>
  <c r="Y56" i="65"/>
  <c r="O56" i="65"/>
  <c r="M56" i="65"/>
  <c r="Y24" i="65"/>
  <c r="W24" i="65"/>
  <c r="AC24" i="65"/>
  <c r="AE24" i="65"/>
  <c r="X24" i="65"/>
  <c r="R24" i="65"/>
  <c r="N24" i="65"/>
  <c r="Z24" i="65"/>
  <c r="M24" i="65"/>
  <c r="AJ24" i="65"/>
  <c r="AG24" i="65"/>
  <c r="Q24" i="65"/>
  <c r="AA24" i="65"/>
  <c r="AB24" i="65"/>
  <c r="AH24" i="65"/>
  <c r="K24" i="65"/>
  <c r="L24" i="65"/>
  <c r="O24" i="65"/>
  <c r="T24" i="65"/>
  <c r="U24" i="65"/>
  <c r="V24" i="65"/>
  <c r="H24" i="65"/>
  <c r="G24" i="65"/>
  <c r="AI24" i="65"/>
  <c r="AD24" i="65"/>
  <c r="AF24" i="65"/>
  <c r="AJ70" i="65"/>
  <c r="R70" i="65"/>
  <c r="P70" i="65"/>
  <c r="N70" i="65"/>
  <c r="V70" i="65"/>
  <c r="H70" i="65"/>
  <c r="Q70" i="65"/>
  <c r="AA70" i="65"/>
  <c r="L70" i="65"/>
  <c r="S70" i="65"/>
  <c r="W70" i="65"/>
  <c r="Y70" i="65"/>
  <c r="T70" i="65"/>
  <c r="AD70" i="65"/>
  <c r="M70" i="65"/>
  <c r="AF70" i="65"/>
  <c r="X70" i="65"/>
  <c r="Z70" i="65"/>
  <c r="AE70" i="65"/>
  <c r="U70" i="65"/>
  <c r="AC70" i="65"/>
  <c r="I70" i="65"/>
  <c r="O70" i="65"/>
  <c r="AI70" i="65"/>
  <c r="AB70" i="65"/>
  <c r="G70" i="65"/>
  <c r="AH70" i="65"/>
  <c r="K70" i="65"/>
  <c r="AG70" i="65"/>
  <c r="J70" i="65"/>
  <c r="Z79" i="65"/>
  <c r="M79" i="65"/>
  <c r="AH79" i="65"/>
  <c r="AE79" i="65"/>
  <c r="K79" i="65"/>
  <c r="O79" i="65"/>
  <c r="J79" i="65"/>
  <c r="N79" i="65"/>
  <c r="U79" i="65"/>
  <c r="AC79" i="65"/>
  <c r="P79" i="65"/>
  <c r="AD79" i="65"/>
  <c r="AG79" i="65"/>
  <c r="H79" i="65"/>
  <c r="X79" i="65"/>
  <c r="S79" i="65"/>
  <c r="AJ79" i="65"/>
  <c r="AI79" i="65"/>
  <c r="Y79" i="65"/>
  <c r="G79" i="65"/>
  <c r="AA79" i="65"/>
  <c r="V79" i="65"/>
  <c r="I79" i="65"/>
  <c r="T79" i="65"/>
  <c r="AB79" i="65"/>
  <c r="AF79" i="65"/>
  <c r="L79" i="65"/>
  <c r="W79" i="65"/>
  <c r="Q79" i="65"/>
  <c r="R79" i="65"/>
  <c r="T47" i="65"/>
  <c r="G47" i="65"/>
  <c r="J47" i="65"/>
  <c r="AJ47" i="65"/>
  <c r="K47" i="65"/>
  <c r="AE47" i="65"/>
  <c r="M47" i="65"/>
  <c r="P47" i="65"/>
  <c r="H47" i="65"/>
  <c r="Q47" i="65"/>
  <c r="AD47" i="65"/>
  <c r="W47" i="65"/>
  <c r="O47" i="65"/>
  <c r="AG47" i="65"/>
  <c r="AC47" i="65"/>
  <c r="AH47" i="65"/>
  <c r="AB47" i="65"/>
  <c r="R47" i="65"/>
  <c r="Z47" i="65"/>
  <c r="N47" i="65"/>
  <c r="U47" i="65"/>
  <c r="AA47" i="65"/>
  <c r="V47" i="65"/>
  <c r="AF47" i="65"/>
  <c r="Y47" i="65"/>
  <c r="L47" i="65"/>
  <c r="AI47" i="65"/>
  <c r="S47" i="65"/>
  <c r="I47" i="65"/>
  <c r="X47" i="65"/>
  <c r="H15" i="65"/>
  <c r="U15" i="65"/>
  <c r="AH15" i="65"/>
  <c r="AB15" i="65"/>
  <c r="AI15" i="65"/>
  <c r="W15" i="65"/>
  <c r="J15" i="65"/>
  <c r="Y15" i="65"/>
  <c r="S15" i="65"/>
  <c r="N15" i="65"/>
  <c r="K15" i="65"/>
  <c r="X15" i="65"/>
  <c r="AA15" i="65"/>
  <c r="G15" i="65"/>
  <c r="R15" i="65"/>
  <c r="I15" i="65"/>
  <c r="Q15" i="65"/>
  <c r="O15" i="65"/>
  <c r="V15" i="65"/>
  <c r="L15" i="65"/>
  <c r="AC15" i="65"/>
  <c r="AE15" i="65"/>
  <c r="AD15" i="65"/>
  <c r="AJ15" i="65"/>
  <c r="AF15" i="65"/>
  <c r="AG15" i="65"/>
  <c r="Z15" i="65"/>
  <c r="T15" i="65"/>
  <c r="M15" i="65"/>
  <c r="P15" i="65"/>
  <c r="AA72" i="65"/>
  <c r="AA21" i="65"/>
  <c r="AJ72" i="65"/>
  <c r="AC21" i="65"/>
  <c r="AD72" i="65"/>
  <c r="Z56" i="65"/>
  <c r="W40" i="65"/>
  <c r="AG21" i="65"/>
  <c r="AH56" i="65"/>
  <c r="S24" i="65"/>
  <c r="Q73" i="65"/>
  <c r="L56" i="65"/>
  <c r="I24" i="65"/>
  <c r="P73" i="65"/>
  <c r="S57" i="65"/>
  <c r="Q57" i="65"/>
  <c r="P57" i="65"/>
  <c r="K57" i="65"/>
  <c r="T57" i="65"/>
  <c r="J57" i="65"/>
  <c r="W57" i="65"/>
  <c r="AA57" i="65"/>
  <c r="R57" i="65"/>
  <c r="AG57" i="65"/>
  <c r="Z57" i="65"/>
  <c r="N57" i="65"/>
  <c r="X57" i="65"/>
  <c r="AB57" i="65"/>
  <c r="AE57" i="65"/>
  <c r="V57" i="65"/>
  <c r="M57" i="65"/>
  <c r="L57" i="65"/>
  <c r="AF57" i="65"/>
  <c r="AC57" i="65"/>
  <c r="AH57" i="65"/>
  <c r="AJ57" i="65"/>
  <c r="U57" i="65"/>
  <c r="Y57" i="65"/>
  <c r="G57" i="65"/>
  <c r="AD57" i="65"/>
  <c r="AK14" i="65"/>
  <c r="F14" i="65" s="1"/>
  <c r="Z14" i="65"/>
  <c r="T14" i="65"/>
  <c r="Y14" i="65"/>
  <c r="K14" i="65"/>
  <c r="V14" i="65"/>
  <c r="AA14" i="65"/>
  <c r="AJ14" i="65"/>
  <c r="G14" i="65"/>
  <c r="S14" i="65"/>
  <c r="J14" i="65"/>
  <c r="AE14" i="65"/>
  <c r="Q14" i="65"/>
  <c r="X14" i="65"/>
  <c r="AI14" i="65"/>
  <c r="AF14" i="65"/>
  <c r="AB14" i="65"/>
  <c r="P14" i="65"/>
  <c r="AG14" i="65"/>
  <c r="M14" i="65"/>
  <c r="AD14" i="65"/>
  <c r="W14" i="65"/>
  <c r="AC14" i="65"/>
  <c r="R14" i="65"/>
  <c r="U14" i="65"/>
  <c r="L14" i="65"/>
  <c r="I14" i="65"/>
  <c r="O14" i="65"/>
  <c r="H14" i="65"/>
  <c r="N14" i="65"/>
  <c r="AH14" i="65"/>
  <c r="AC40" i="65"/>
  <c r="AF40" i="65"/>
  <c r="AB40" i="65"/>
  <c r="AE40" i="65"/>
  <c r="AG40" i="65"/>
  <c r="N40" i="65"/>
  <c r="H40" i="65"/>
  <c r="M40" i="65"/>
  <c r="X40" i="65"/>
  <c r="I40" i="65"/>
  <c r="AA40" i="65"/>
  <c r="Y40" i="65"/>
  <c r="P40" i="65"/>
  <c r="S40" i="65"/>
  <c r="L40" i="65"/>
  <c r="Z40" i="65"/>
  <c r="O40" i="65"/>
  <c r="AJ40" i="65"/>
  <c r="V40" i="65"/>
  <c r="U40" i="65"/>
  <c r="Q40" i="65"/>
  <c r="K40" i="65"/>
  <c r="AI40" i="65"/>
  <c r="G40" i="65"/>
  <c r="AD40" i="65"/>
  <c r="AH40" i="65"/>
  <c r="G84" i="65"/>
  <c r="AG84" i="65"/>
  <c r="Y84" i="65"/>
  <c r="P84" i="65"/>
  <c r="AB84" i="65"/>
  <c r="O84" i="65"/>
  <c r="AI84" i="65"/>
  <c r="Q84" i="65"/>
  <c r="AJ84" i="65"/>
  <c r="AC84" i="65"/>
  <c r="W84" i="65"/>
  <c r="V84" i="65"/>
  <c r="K84" i="65"/>
  <c r="AE84" i="65"/>
  <c r="H84" i="65"/>
  <c r="R84" i="65"/>
  <c r="T84" i="65"/>
  <c r="Z84" i="65"/>
  <c r="X84" i="65"/>
  <c r="L84" i="65"/>
  <c r="U84" i="65"/>
  <c r="AH84" i="65"/>
  <c r="AD84" i="65"/>
  <c r="AF84" i="65"/>
  <c r="AA84" i="65"/>
  <c r="S84" i="65"/>
  <c r="J84" i="65"/>
  <c r="N84" i="65"/>
  <c r="M84" i="65"/>
  <c r="I84" i="65"/>
  <c r="T63" i="65"/>
  <c r="R63" i="65"/>
  <c r="K63" i="65"/>
  <c r="V63" i="65"/>
  <c r="O63" i="65"/>
  <c r="S63" i="65"/>
  <c r="AD63" i="65"/>
  <c r="AJ63" i="65"/>
  <c r="P63" i="65"/>
  <c r="AG63" i="65"/>
  <c r="AC63" i="65"/>
  <c r="AB63" i="65"/>
  <c r="Y63" i="65"/>
  <c r="I63" i="65"/>
  <c r="N63" i="65"/>
  <c r="AF63" i="65"/>
  <c r="AI63" i="65"/>
  <c r="M63" i="65"/>
  <c r="X63" i="65"/>
  <c r="Z63" i="65"/>
  <c r="G63" i="65"/>
  <c r="W63" i="65"/>
  <c r="AA63" i="65"/>
  <c r="AK63" i="65"/>
  <c r="F63" i="65" s="1"/>
  <c r="AE63" i="65"/>
  <c r="J63" i="65"/>
  <c r="L63" i="65"/>
  <c r="U63" i="65"/>
  <c r="AH63" i="65"/>
  <c r="H63" i="65"/>
  <c r="Q63" i="65"/>
  <c r="AJ31" i="65"/>
  <c r="O31" i="65"/>
  <c r="R31" i="65"/>
  <c r="AC31" i="65"/>
  <c r="P31" i="65"/>
  <c r="S31" i="65"/>
  <c r="Y31" i="65"/>
  <c r="K31" i="65"/>
  <c r="AH31" i="65"/>
  <c r="M31" i="65"/>
  <c r="N31" i="65"/>
  <c r="Q31" i="65"/>
  <c r="AA31" i="65"/>
  <c r="G31" i="65"/>
  <c r="Z31" i="65"/>
  <c r="AG31" i="65"/>
  <c r="AD31" i="65"/>
  <c r="I31" i="65"/>
  <c r="AE31" i="65"/>
  <c r="AK31" i="65"/>
  <c r="F31" i="65" s="1"/>
  <c r="V31" i="65"/>
  <c r="J31" i="65"/>
  <c r="L31" i="65"/>
  <c r="X31" i="65"/>
  <c r="AB31" i="65"/>
  <c r="H31" i="65"/>
  <c r="U31" i="65"/>
  <c r="T31" i="65"/>
  <c r="AI31" i="65"/>
  <c r="W31" i="65"/>
  <c r="AF31" i="65"/>
  <c r="AI57" i="65"/>
  <c r="Q56" i="65"/>
  <c r="I57" i="65"/>
  <c r="G72" i="65"/>
  <c r="J40" i="65"/>
  <c r="T40" i="65"/>
  <c r="J24" i="65"/>
  <c r="AF73" i="65"/>
  <c r="W52" i="65"/>
  <c r="S52" i="65"/>
  <c r="H52" i="65"/>
  <c r="I36" i="65"/>
  <c r="AF20" i="65"/>
  <c r="I20" i="65"/>
  <c r="P27" i="65"/>
  <c r="Z27" i="65"/>
  <c r="P66" i="65"/>
  <c r="T46" i="65"/>
  <c r="N46" i="65"/>
  <c r="AD17" i="65"/>
  <c r="P89" i="65"/>
  <c r="Y34" i="65"/>
  <c r="AK59" i="65"/>
  <c r="F59" i="65" s="1"/>
  <c r="Q66" i="65"/>
  <c r="V68" i="65"/>
  <c r="H68" i="65"/>
  <c r="N36" i="65"/>
  <c r="AH66" i="65"/>
  <c r="AB66" i="65"/>
  <c r="U33" i="65"/>
  <c r="M17" i="65"/>
  <c r="Z75" i="65"/>
  <c r="N75" i="65"/>
  <c r="Q59" i="65"/>
  <c r="X43" i="65"/>
  <c r="M43" i="65"/>
  <c r="AC91" i="65"/>
  <c r="AD91" i="65"/>
  <c r="AJ83" i="65"/>
  <c r="J34" i="65"/>
  <c r="U53" i="65"/>
  <c r="AG68" i="65"/>
  <c r="Q52" i="65"/>
  <c r="V66" i="65"/>
  <c r="AH46" i="65"/>
  <c r="T33" i="65"/>
  <c r="AE17" i="65"/>
  <c r="N89" i="65"/>
  <c r="O75" i="65"/>
  <c r="V59" i="65"/>
  <c r="U43" i="65"/>
  <c r="AB91" i="65"/>
  <c r="U42" i="65"/>
  <c r="AE34" i="65"/>
  <c r="AI52" i="65"/>
  <c r="AJ66" i="65"/>
  <c r="AJ20" i="65"/>
  <c r="AA27" i="65"/>
  <c r="O46" i="65"/>
  <c r="J33" i="65"/>
  <c r="AC17" i="65"/>
  <c r="M89" i="65"/>
  <c r="J89" i="65"/>
  <c r="AC75" i="65"/>
  <c r="AF43" i="65"/>
  <c r="U91" i="65"/>
  <c r="AE83" i="65"/>
  <c r="G34" i="65"/>
  <c r="H69" i="65"/>
  <c r="AD52" i="65"/>
  <c r="T36" i="65"/>
  <c r="T66" i="65"/>
  <c r="Y46" i="65"/>
  <c r="AG33" i="65"/>
  <c r="L17" i="65"/>
  <c r="AJ89" i="65"/>
  <c r="P75" i="65"/>
  <c r="U59" i="65"/>
  <c r="R43" i="65"/>
  <c r="AJ43" i="65"/>
  <c r="AB83" i="65"/>
  <c r="Y83" i="65"/>
  <c r="AE42" i="65"/>
  <c r="M34" i="65"/>
  <c r="AE90" i="65"/>
  <c r="AI69" i="65"/>
  <c r="AG69" i="65"/>
  <c r="AA53" i="65"/>
  <c r="U68" i="65"/>
  <c r="O64" i="65"/>
  <c r="AE52" i="65"/>
  <c r="AB20" i="65"/>
  <c r="AC20" i="65"/>
  <c r="G16" i="65"/>
  <c r="AG71" i="65"/>
  <c r="AE71" i="65"/>
  <c r="Y71" i="65"/>
  <c r="AD71" i="65"/>
  <c r="AG39" i="65"/>
  <c r="Y27" i="65"/>
  <c r="H27" i="65"/>
  <c r="J66" i="65"/>
  <c r="L66" i="65"/>
  <c r="AG62" i="65"/>
  <c r="P54" i="65"/>
  <c r="H54" i="65"/>
  <c r="L46" i="65"/>
  <c r="T22" i="65"/>
  <c r="AI22" i="65"/>
  <c r="M45" i="65"/>
  <c r="I33" i="65"/>
  <c r="S33" i="65"/>
  <c r="Z17" i="65"/>
  <c r="AC89" i="65"/>
  <c r="Q75" i="65"/>
  <c r="K59" i="65"/>
  <c r="N59" i="65"/>
  <c r="J55" i="65"/>
  <c r="J43" i="65"/>
  <c r="W23" i="65"/>
  <c r="AI23" i="65"/>
  <c r="Z91" i="65"/>
  <c r="AA91" i="65"/>
  <c r="N91" i="65"/>
  <c r="J74" i="65"/>
  <c r="I74" i="65"/>
  <c r="L74" i="65"/>
  <c r="AB42" i="65"/>
  <c r="J42" i="65"/>
  <c r="O34" i="65"/>
  <c r="O77" i="65"/>
  <c r="W69" i="65"/>
  <c r="X69" i="65"/>
  <c r="S65" i="65"/>
  <c r="N53" i="65"/>
  <c r="G53" i="65"/>
  <c r="J29" i="65"/>
  <c r="K29" i="65"/>
  <c r="U85" i="65"/>
  <c r="I85" i="65"/>
  <c r="W85" i="65"/>
  <c r="AA80" i="65"/>
  <c r="AF80" i="65"/>
  <c r="O68" i="65"/>
  <c r="Y68" i="65"/>
  <c r="R68" i="65"/>
  <c r="T64" i="65"/>
  <c r="U52" i="65"/>
  <c r="V52" i="65"/>
  <c r="V48" i="65"/>
  <c r="Z36" i="65"/>
  <c r="AA32" i="65"/>
  <c r="J20" i="65"/>
  <c r="T20" i="65"/>
  <c r="V16" i="65"/>
  <c r="AG16" i="65"/>
  <c r="W71" i="65"/>
  <c r="X71" i="65"/>
  <c r="M71" i="65"/>
  <c r="V71" i="65"/>
  <c r="AD66" i="65"/>
  <c r="O66" i="65"/>
  <c r="AE62" i="65"/>
  <c r="G54" i="65"/>
  <c r="AJ54" i="65"/>
  <c r="V46" i="65"/>
  <c r="R46" i="65"/>
  <c r="S22" i="65"/>
  <c r="AH22" i="65"/>
  <c r="I45" i="65"/>
  <c r="AE33" i="65"/>
  <c r="AF33" i="65"/>
  <c r="Q17" i="65"/>
  <c r="H89" i="65"/>
  <c r="S89" i="65"/>
  <c r="V23" i="65"/>
  <c r="AJ23" i="65"/>
  <c r="Y91" i="65"/>
  <c r="T83" i="65"/>
  <c r="G83" i="65"/>
  <c r="O74" i="65"/>
  <c r="N42" i="65"/>
  <c r="L34" i="65"/>
  <c r="AJ18" i="65"/>
  <c r="AF18" i="65"/>
  <c r="AF90" i="65"/>
  <c r="P90" i="65"/>
  <c r="P86" i="65"/>
  <c r="Y77" i="65"/>
  <c r="AE69" i="65"/>
  <c r="O69" i="65"/>
  <c r="AF65" i="65"/>
  <c r="Z65" i="65"/>
  <c r="L85" i="65"/>
  <c r="M80" i="65"/>
  <c r="N76" i="65"/>
  <c r="L68" i="65"/>
  <c r="I68" i="65"/>
  <c r="X64" i="65"/>
  <c r="AA60" i="65"/>
  <c r="L52" i="65"/>
  <c r="M52" i="65"/>
  <c r="AB48" i="65"/>
  <c r="AA48" i="65"/>
  <c r="L48" i="65"/>
  <c r="X48" i="65"/>
  <c r="M44" i="65"/>
  <c r="Y44" i="65"/>
  <c r="AF44" i="65"/>
  <c r="X36" i="65"/>
  <c r="R36" i="65"/>
  <c r="M36" i="65"/>
  <c r="U36" i="65"/>
  <c r="K32" i="65"/>
  <c r="X32" i="65"/>
  <c r="Q32" i="65"/>
  <c r="AD32" i="65"/>
  <c r="G28" i="65"/>
  <c r="L28" i="65"/>
  <c r="AE28" i="65"/>
  <c r="N28" i="65"/>
  <c r="W20" i="65"/>
  <c r="AA20" i="65"/>
  <c r="G20" i="65"/>
  <c r="K20" i="65"/>
  <c r="AH16" i="65"/>
  <c r="Z16" i="65"/>
  <c r="R16" i="65"/>
  <c r="Y16" i="65"/>
  <c r="R71" i="65"/>
  <c r="G71" i="65"/>
  <c r="AF71" i="65"/>
  <c r="N71" i="65"/>
  <c r="L51" i="65"/>
  <c r="S51" i="65"/>
  <c r="AH51" i="65"/>
  <c r="X39" i="65"/>
  <c r="V39" i="65"/>
  <c r="G39" i="65"/>
  <c r="N39" i="65"/>
  <c r="N27" i="65"/>
  <c r="X27" i="65"/>
  <c r="AD27" i="65"/>
  <c r="AB27" i="65"/>
  <c r="I19" i="65"/>
  <c r="AC19" i="65"/>
  <c r="X19" i="65"/>
  <c r="G19" i="65"/>
  <c r="Z66" i="65"/>
  <c r="U66" i="65"/>
  <c r="AF66" i="65"/>
  <c r="Q62" i="65"/>
  <c r="AA62" i="65"/>
  <c r="AF62" i="65"/>
  <c r="O62" i="65"/>
  <c r="AH54" i="65"/>
  <c r="N54" i="65"/>
  <c r="AD54" i="65"/>
  <c r="AB54" i="65"/>
  <c r="S46" i="65"/>
  <c r="H46" i="65"/>
  <c r="X46" i="65"/>
  <c r="J46" i="65"/>
  <c r="O38" i="65"/>
  <c r="H38" i="65"/>
  <c r="Y38" i="65"/>
  <c r="AJ30" i="65"/>
  <c r="AD30" i="65"/>
  <c r="AI30" i="65"/>
  <c r="I30" i="65"/>
  <c r="Q22" i="65"/>
  <c r="Y22" i="65"/>
  <c r="N22" i="65"/>
  <c r="Z22" i="65"/>
  <c r="O45" i="65"/>
  <c r="K45" i="65"/>
  <c r="AD45" i="65"/>
  <c r="G45" i="65"/>
  <c r="W33" i="65"/>
  <c r="M33" i="65"/>
  <c r="R33" i="65"/>
  <c r="X33" i="65"/>
  <c r="AH17" i="65"/>
  <c r="Y17" i="65"/>
  <c r="AB17" i="65"/>
  <c r="G89" i="65"/>
  <c r="AA89" i="65"/>
  <c r="AG89" i="65"/>
  <c r="I89" i="65"/>
  <c r="I88" i="65"/>
  <c r="AG88" i="65"/>
  <c r="Q88" i="65"/>
  <c r="X88" i="65"/>
  <c r="AH75" i="65"/>
  <c r="H75" i="65"/>
  <c r="M75" i="65"/>
  <c r="R75" i="65"/>
  <c r="G67" i="65"/>
  <c r="L67" i="65"/>
  <c r="Y67" i="65"/>
  <c r="AD67" i="65"/>
  <c r="AH59" i="65"/>
  <c r="AB59" i="65"/>
  <c r="P59" i="65"/>
  <c r="S55" i="65"/>
  <c r="AC55" i="65"/>
  <c r="H55" i="65"/>
  <c r="X55" i="65"/>
  <c r="Q43" i="65"/>
  <c r="Z43" i="65"/>
  <c r="S43" i="65"/>
  <c r="L43" i="65"/>
  <c r="AF35" i="65"/>
  <c r="AA35" i="65"/>
  <c r="AG35" i="65"/>
  <c r="AD23" i="65"/>
  <c r="AF23" i="65"/>
  <c r="O23" i="65"/>
  <c r="AB23" i="65"/>
  <c r="AG91" i="65"/>
  <c r="AI91" i="65"/>
  <c r="G91" i="65"/>
  <c r="AE87" i="65"/>
  <c r="AA87" i="65"/>
  <c r="L87" i="65"/>
  <c r="X87" i="65"/>
  <c r="R83" i="65"/>
  <c r="AC83" i="65"/>
  <c r="W83" i="65"/>
  <c r="AD83" i="65"/>
  <c r="W78" i="65"/>
  <c r="AG78" i="65"/>
  <c r="U78" i="65"/>
  <c r="L78" i="65"/>
  <c r="N74" i="65"/>
  <c r="S74" i="65"/>
  <c r="AD74" i="65"/>
  <c r="M50" i="65"/>
  <c r="U50" i="65"/>
  <c r="X50" i="65"/>
  <c r="L50" i="65"/>
  <c r="P42" i="65"/>
  <c r="AA42" i="65"/>
  <c r="AG42" i="65"/>
  <c r="AG34" i="65"/>
  <c r="W34" i="65"/>
  <c r="T34" i="65"/>
  <c r="H34" i="65"/>
  <c r="J18" i="65"/>
  <c r="AA18" i="65"/>
  <c r="V18" i="65"/>
  <c r="M18" i="65"/>
  <c r="W90" i="65"/>
  <c r="K90" i="65"/>
  <c r="R90" i="65"/>
  <c r="G90" i="65"/>
  <c r="M86" i="65"/>
  <c r="N86" i="65"/>
  <c r="AE86" i="65"/>
  <c r="AB86" i="65"/>
  <c r="J82" i="65"/>
  <c r="AF82" i="65"/>
  <c r="Y82" i="65"/>
  <c r="L82" i="65"/>
  <c r="AF77" i="65"/>
  <c r="G77" i="65"/>
  <c r="N77" i="65"/>
  <c r="V77" i="65"/>
  <c r="Q69" i="65"/>
  <c r="K69" i="65"/>
  <c r="Y69" i="65"/>
  <c r="AH69" i="65"/>
  <c r="K65" i="65"/>
  <c r="L65" i="65"/>
  <c r="W65" i="65"/>
  <c r="R65" i="65"/>
  <c r="L61" i="65"/>
  <c r="AD61" i="65"/>
  <c r="AJ61" i="65"/>
  <c r="P53" i="65"/>
  <c r="X53" i="65"/>
  <c r="M53" i="65"/>
  <c r="T53" i="65"/>
  <c r="AA49" i="65"/>
  <c r="Y49" i="65"/>
  <c r="X49" i="65"/>
  <c r="AH49" i="65"/>
  <c r="U41" i="65"/>
  <c r="L41" i="65"/>
  <c r="AB41" i="65"/>
  <c r="P41" i="65"/>
  <c r="AE29" i="65"/>
  <c r="G29" i="65"/>
  <c r="N29" i="65"/>
  <c r="U29" i="65"/>
  <c r="T25" i="65"/>
  <c r="AC25" i="65"/>
  <c r="AB25" i="65"/>
  <c r="AF25" i="65"/>
  <c r="P85" i="65"/>
  <c r="N85" i="65"/>
  <c r="AD85" i="65"/>
  <c r="R85" i="65"/>
  <c r="X66" i="65"/>
  <c r="S66" i="65"/>
  <c r="N68" i="65"/>
  <c r="Q68" i="65"/>
  <c r="AA52" i="65"/>
  <c r="P36" i="65"/>
  <c r="AF36" i="65"/>
  <c r="X20" i="65"/>
  <c r="H66" i="65"/>
  <c r="AD46" i="65"/>
  <c r="AC33" i="65"/>
  <c r="AA17" i="65"/>
  <c r="X89" i="65"/>
  <c r="T75" i="65"/>
  <c r="I59" i="65"/>
  <c r="Y59" i="65"/>
  <c r="AD59" i="65"/>
  <c r="AC43" i="65"/>
  <c r="R91" i="65"/>
  <c r="AH83" i="65"/>
  <c r="P34" i="65"/>
  <c r="G69" i="65"/>
  <c r="P69" i="65"/>
  <c r="AE53" i="65"/>
  <c r="AB53" i="65"/>
  <c r="R53" i="65"/>
  <c r="M68" i="65"/>
  <c r="AJ68" i="65"/>
  <c r="AJ52" i="65"/>
  <c r="S36" i="65"/>
  <c r="AA36" i="65"/>
  <c r="L20" i="65"/>
  <c r="O20" i="65"/>
  <c r="N20" i="65"/>
  <c r="V27" i="65"/>
  <c r="K27" i="65"/>
  <c r="AE27" i="65"/>
  <c r="Q27" i="65"/>
  <c r="K66" i="65"/>
  <c r="AI66" i="65"/>
  <c r="Q46" i="65"/>
  <c r="AB46" i="65"/>
  <c r="Z33" i="65"/>
  <c r="AI33" i="65"/>
  <c r="V17" i="65"/>
  <c r="S17" i="65"/>
  <c r="AF89" i="65"/>
  <c r="S75" i="65"/>
  <c r="AG59" i="65"/>
  <c r="G59" i="65"/>
  <c r="H43" i="65"/>
  <c r="AJ91" i="65"/>
  <c r="J91" i="65"/>
  <c r="V91" i="65"/>
  <c r="J83" i="65"/>
  <c r="X83" i="65"/>
  <c r="AC42" i="65"/>
  <c r="R42" i="65"/>
  <c r="AJ34" i="65"/>
  <c r="N90" i="65"/>
  <c r="AH90" i="65"/>
  <c r="AB69" i="65"/>
  <c r="L53" i="65"/>
  <c r="Q53" i="65"/>
  <c r="J53" i="65"/>
  <c r="AB80" i="65"/>
  <c r="Z80" i="65"/>
  <c r="G80" i="65"/>
  <c r="N80" i="65"/>
  <c r="AD68" i="65"/>
  <c r="AA68" i="65"/>
  <c r="M64" i="65"/>
  <c r="AE64" i="65"/>
  <c r="J64" i="65"/>
  <c r="O52" i="65"/>
  <c r="AD48" i="65"/>
  <c r="S48" i="65"/>
  <c r="AH48" i="65"/>
  <c r="N48" i="65"/>
  <c r="H36" i="65"/>
  <c r="O36" i="65"/>
  <c r="J36" i="65"/>
  <c r="AE32" i="65"/>
  <c r="AB32" i="65"/>
  <c r="H32" i="65"/>
  <c r="W32" i="65"/>
  <c r="AE20" i="65"/>
  <c r="AI16" i="65"/>
  <c r="W16" i="65"/>
  <c r="L16" i="65"/>
  <c r="K39" i="65"/>
  <c r="AF39" i="65"/>
  <c r="O27" i="65"/>
  <c r="U27" i="65"/>
  <c r="M66" i="65"/>
  <c r="Y66" i="65"/>
  <c r="M62" i="65"/>
  <c r="V62" i="65"/>
  <c r="AC54" i="65"/>
  <c r="U54" i="65"/>
  <c r="P46" i="65"/>
  <c r="I46" i="65"/>
  <c r="Z46" i="65"/>
  <c r="AA22" i="65"/>
  <c r="L22" i="65"/>
  <c r="T45" i="65"/>
  <c r="Z45" i="65"/>
  <c r="N33" i="65"/>
  <c r="K33" i="65"/>
  <c r="T17" i="65"/>
  <c r="U17" i="65"/>
  <c r="K17" i="65"/>
  <c r="W89" i="65"/>
  <c r="AB89" i="65"/>
  <c r="AB75" i="65"/>
  <c r="AJ75" i="65"/>
  <c r="AC59" i="65"/>
  <c r="AJ59" i="65"/>
  <c r="M55" i="65"/>
  <c r="AJ55" i="65"/>
  <c r="AI43" i="65"/>
  <c r="AA43" i="65"/>
  <c r="AB43" i="65"/>
  <c r="AG23" i="65"/>
  <c r="I23" i="65"/>
  <c r="L91" i="65"/>
  <c r="U83" i="65"/>
  <c r="AF83" i="65"/>
  <c r="L83" i="65"/>
  <c r="P83" i="65"/>
  <c r="Y74" i="65"/>
  <c r="Q42" i="65"/>
  <c r="S42" i="65"/>
  <c r="N34" i="65"/>
  <c r="AA34" i="65"/>
  <c r="AG90" i="65"/>
  <c r="H90" i="65"/>
  <c r="Y90" i="65"/>
  <c r="K77" i="65"/>
  <c r="H77" i="65"/>
  <c r="AF69" i="65"/>
  <c r="AA69" i="65"/>
  <c r="AE65" i="65"/>
  <c r="N65" i="65"/>
  <c r="AH65" i="65"/>
  <c r="I53" i="65"/>
  <c r="O29" i="65"/>
  <c r="AH85" i="65"/>
  <c r="O80" i="65"/>
  <c r="AC80" i="65"/>
  <c r="J68" i="65"/>
  <c r="N64" i="65"/>
  <c r="Z64" i="65"/>
  <c r="AF64" i="65"/>
  <c r="K52" i="65"/>
  <c r="AC52" i="65"/>
  <c r="AC48" i="65"/>
  <c r="R48" i="65"/>
  <c r="AF48" i="65"/>
  <c r="Y36" i="65"/>
  <c r="AJ36" i="65"/>
  <c r="AE36" i="65"/>
  <c r="AC32" i="65"/>
  <c r="Y32" i="65"/>
  <c r="M32" i="65"/>
  <c r="Z20" i="65"/>
  <c r="S20" i="65"/>
  <c r="P16" i="65"/>
  <c r="AE16" i="65"/>
  <c r="AA39" i="65"/>
  <c r="J39" i="65"/>
  <c r="S39" i="65"/>
  <c r="W39" i="65"/>
  <c r="W27" i="65"/>
  <c r="G27" i="65"/>
  <c r="J27" i="65"/>
  <c r="AJ27" i="65"/>
  <c r="AG66" i="65"/>
  <c r="R62" i="65"/>
  <c r="J62" i="65"/>
  <c r="X62" i="65"/>
  <c r="AA54" i="65"/>
  <c r="J54" i="65"/>
  <c r="AJ46" i="65"/>
  <c r="AI46" i="65"/>
  <c r="H22" i="65"/>
  <c r="X22" i="65"/>
  <c r="AA45" i="65"/>
  <c r="AH45" i="65"/>
  <c r="Q45" i="65"/>
  <c r="Y33" i="65"/>
  <c r="AB33" i="65"/>
  <c r="H17" i="65"/>
  <c r="J17" i="65"/>
  <c r="O89" i="65"/>
  <c r="L89" i="65"/>
  <c r="K75" i="65"/>
  <c r="AG75" i="65"/>
  <c r="Y75" i="65"/>
  <c r="AA75" i="65"/>
  <c r="J59" i="65"/>
  <c r="R59" i="65"/>
  <c r="Z59" i="65"/>
  <c r="AA55" i="65"/>
  <c r="P55" i="65"/>
  <c r="W55" i="65"/>
  <c r="AG55" i="65"/>
  <c r="W43" i="65"/>
  <c r="G43" i="65"/>
  <c r="AD43" i="65"/>
  <c r="T43" i="65"/>
  <c r="Q23" i="65"/>
  <c r="Y23" i="65"/>
  <c r="P91" i="65"/>
  <c r="Q91" i="65"/>
  <c r="O83" i="65"/>
  <c r="AI83" i="65"/>
  <c r="AH74" i="65"/>
  <c r="AF74" i="65"/>
  <c r="L42" i="65"/>
  <c r="H42" i="65"/>
  <c r="AI34" i="65"/>
  <c r="AD34" i="65"/>
  <c r="Q34" i="65"/>
  <c r="N18" i="65"/>
  <c r="U18" i="65"/>
  <c r="AI90" i="65"/>
  <c r="AD90" i="65"/>
  <c r="X86" i="65"/>
  <c r="AH86" i="65"/>
  <c r="AJ86" i="65"/>
  <c r="AG77" i="65"/>
  <c r="AE77" i="65"/>
  <c r="T69" i="65"/>
  <c r="N69" i="65"/>
  <c r="V65" i="65"/>
  <c r="AG65" i="65"/>
  <c r="AG53" i="65"/>
  <c r="Y53" i="65"/>
  <c r="AC53" i="65"/>
  <c r="I29" i="65"/>
  <c r="AA29" i="65"/>
  <c r="AD29" i="65"/>
  <c r="Q85" i="65"/>
  <c r="AA85" i="65"/>
  <c r="Z85" i="65"/>
  <c r="AK50" i="65"/>
  <c r="F50" i="65" s="1"/>
  <c r="Y80" i="65"/>
  <c r="R80" i="65"/>
  <c r="X80" i="65"/>
  <c r="J76" i="65"/>
  <c r="R76" i="65"/>
  <c r="H76" i="65"/>
  <c r="W68" i="65"/>
  <c r="AE68" i="65"/>
  <c r="AJ64" i="65"/>
  <c r="W64" i="65"/>
  <c r="G64" i="65"/>
  <c r="Z60" i="65"/>
  <c r="AI60" i="65"/>
  <c r="H60" i="65"/>
  <c r="T52" i="65"/>
  <c r="N52" i="65"/>
  <c r="N44" i="65"/>
  <c r="AK44" i="65"/>
  <c r="F44" i="65" s="1"/>
  <c r="AK46" i="65"/>
  <c r="F46" i="65" s="1"/>
  <c r="AJ80" i="65"/>
  <c r="T80" i="65"/>
  <c r="AH80" i="65"/>
  <c r="M76" i="65"/>
  <c r="U76" i="65"/>
  <c r="AI68" i="65"/>
  <c r="S68" i="65"/>
  <c r="T68" i="65"/>
  <c r="Y64" i="65"/>
  <c r="AI64" i="65"/>
  <c r="AG64" i="65"/>
  <c r="AJ60" i="65"/>
  <c r="W60" i="65"/>
  <c r="Q60" i="65"/>
  <c r="Y52" i="65"/>
  <c r="AH52" i="65"/>
  <c r="AB52" i="65"/>
  <c r="AF52" i="65"/>
  <c r="Q48" i="65"/>
  <c r="M48" i="65"/>
  <c r="AE48" i="65"/>
  <c r="O44" i="65"/>
  <c r="I44" i="65"/>
  <c r="G36" i="65"/>
  <c r="AI36" i="65"/>
  <c r="AG36" i="65"/>
  <c r="S32" i="65"/>
  <c r="AI32" i="65"/>
  <c r="G32" i="65"/>
  <c r="H28" i="65"/>
  <c r="AC28" i="65"/>
  <c r="V20" i="65"/>
  <c r="H20" i="65"/>
  <c r="AD20" i="65"/>
  <c r="O16" i="65"/>
  <c r="K16" i="65"/>
  <c r="AC16" i="65"/>
  <c r="Q71" i="65"/>
  <c r="AA71" i="65"/>
  <c r="I51" i="65"/>
  <c r="W51" i="65"/>
  <c r="AE51" i="65"/>
  <c r="I39" i="65"/>
  <c r="R39" i="65"/>
  <c r="Z39" i="65"/>
  <c r="AH27" i="65"/>
  <c r="AG27" i="65"/>
  <c r="S27" i="65"/>
  <c r="T27" i="65"/>
  <c r="H19" i="65"/>
  <c r="P19" i="65"/>
  <c r="AC66" i="65"/>
  <c r="AA66" i="65"/>
  <c r="I66" i="65"/>
  <c r="P62" i="65"/>
  <c r="G62" i="65"/>
  <c r="U62" i="65"/>
  <c r="W54" i="65"/>
  <c r="Y54" i="65"/>
  <c r="S54" i="65"/>
  <c r="AG46" i="65"/>
  <c r="U46" i="65"/>
  <c r="AA38" i="65"/>
  <c r="AD38" i="65"/>
  <c r="AJ38" i="65"/>
  <c r="U30" i="65"/>
  <c r="H30" i="65"/>
  <c r="X30" i="65"/>
  <c r="AJ22" i="65"/>
  <c r="G22" i="65"/>
  <c r="AG22" i="65"/>
  <c r="AC45" i="65"/>
  <c r="Y45" i="65"/>
  <c r="S45" i="65"/>
  <c r="AJ33" i="65"/>
  <c r="AD33" i="65"/>
  <c r="G33" i="65"/>
  <c r="AF17" i="65"/>
  <c r="P17" i="65"/>
  <c r="N17" i="65"/>
  <c r="AE89" i="65"/>
  <c r="U89" i="65"/>
  <c r="V89" i="65"/>
  <c r="Z88" i="65"/>
  <c r="K88" i="65"/>
  <c r="AH88" i="65"/>
  <c r="P88" i="65"/>
  <c r="J75" i="65"/>
  <c r="G75" i="65"/>
  <c r="AI75" i="65"/>
  <c r="X67" i="65"/>
  <c r="AH67" i="65"/>
  <c r="M67" i="65"/>
  <c r="V67" i="65"/>
  <c r="T59" i="65"/>
  <c r="AE59" i="65"/>
  <c r="O59" i="65"/>
  <c r="AB55" i="65"/>
  <c r="G55" i="65"/>
  <c r="AF55" i="65"/>
  <c r="P43" i="65"/>
  <c r="N43" i="65"/>
  <c r="AI35" i="65"/>
  <c r="K35" i="65"/>
  <c r="N35" i="65"/>
  <c r="J23" i="65"/>
  <c r="P23" i="65"/>
  <c r="AH23" i="65"/>
  <c r="I91" i="65"/>
  <c r="O91" i="65"/>
  <c r="X91" i="65"/>
  <c r="AC87" i="65"/>
  <c r="G87" i="65"/>
  <c r="AI87" i="65"/>
  <c r="AG83" i="65"/>
  <c r="I83" i="65"/>
  <c r="K83" i="65"/>
  <c r="P78" i="65"/>
  <c r="H78" i="65"/>
  <c r="AA74" i="65"/>
  <c r="P74" i="65"/>
  <c r="H74" i="65"/>
  <c r="J50" i="65"/>
  <c r="G50" i="65"/>
  <c r="Y42" i="65"/>
  <c r="AJ42" i="65"/>
  <c r="M42" i="65"/>
  <c r="X34" i="65"/>
  <c r="V34" i="65"/>
  <c r="I34" i="65"/>
  <c r="AI18" i="65"/>
  <c r="L18" i="65"/>
  <c r="U90" i="65"/>
  <c r="M90" i="65"/>
  <c r="AC90" i="65"/>
  <c r="I86" i="65"/>
  <c r="G86" i="65"/>
  <c r="U86" i="65"/>
  <c r="Z82" i="65"/>
  <c r="H82" i="65"/>
  <c r="P77" i="65"/>
  <c r="U77" i="65"/>
  <c r="AJ77" i="65"/>
  <c r="AJ69" i="65"/>
  <c r="L69" i="65"/>
  <c r="M69" i="65"/>
  <c r="Z69" i="65"/>
  <c r="I65" i="65"/>
  <c r="AC65" i="65"/>
  <c r="M65" i="65"/>
  <c r="K61" i="65"/>
  <c r="AB61" i="65"/>
  <c r="AJ53" i="65"/>
  <c r="AF53" i="65"/>
  <c r="AD53" i="65"/>
  <c r="K53" i="65"/>
  <c r="S49" i="65"/>
  <c r="I49" i="65"/>
  <c r="N49" i="65"/>
  <c r="K41" i="65"/>
  <c r="AE41" i="65"/>
  <c r="Q41" i="65"/>
  <c r="AC29" i="65"/>
  <c r="Z29" i="65"/>
  <c r="AH29" i="65"/>
  <c r="S25" i="65"/>
  <c r="K25" i="65"/>
  <c r="R25" i="65"/>
  <c r="AG85" i="65"/>
  <c r="Y85" i="65"/>
  <c r="S85" i="65"/>
  <c r="AK90" i="65"/>
  <c r="F90" i="65" s="1"/>
  <c r="AK86" i="65"/>
  <c r="F86" i="65" s="1"/>
  <c r="AK42" i="65"/>
  <c r="F42" i="65" s="1"/>
  <c r="AK18" i="65"/>
  <c r="F18" i="65" s="1"/>
  <c r="AK54" i="65"/>
  <c r="F54" i="65" s="1"/>
  <c r="AK71" i="65"/>
  <c r="F71" i="65" s="1"/>
  <c r="AK33" i="65"/>
  <c r="F33" i="65" s="1"/>
  <c r="AK17" i="65"/>
  <c r="F17" i="65" s="1"/>
  <c r="AK91" i="65"/>
  <c r="F91" i="65" s="1"/>
  <c r="AK75" i="65"/>
  <c r="F75" i="65" s="1"/>
  <c r="AK43" i="65"/>
  <c r="F43" i="65" s="1"/>
  <c r="AK83" i="65"/>
  <c r="F83" i="65" s="1"/>
  <c r="AK20" i="65"/>
  <c r="F20" i="65" s="1"/>
  <c r="AK87" i="65"/>
  <c r="F87" i="65" s="1"/>
  <c r="AK70" i="65"/>
  <c r="F70" i="65" s="1"/>
  <c r="AK77" i="65"/>
  <c r="F77" i="65" s="1"/>
  <c r="AK45" i="65"/>
  <c r="F45" i="65" s="1"/>
  <c r="AK62" i="65"/>
  <c r="F62" i="65" s="1"/>
  <c r="AK85" i="65"/>
  <c r="F85" i="65" s="1"/>
  <c r="AK64" i="65"/>
  <c r="F64" i="65" s="1"/>
  <c r="AK32" i="65"/>
  <c r="F32" i="65" s="1"/>
  <c r="AK48" i="65"/>
  <c r="F48" i="65" s="1"/>
  <c r="AK23" i="65"/>
  <c r="F23" i="65" s="1"/>
  <c r="AK29" i="65"/>
  <c r="F29" i="65" s="1"/>
  <c r="AK41" i="65"/>
  <c r="F41" i="65" s="1"/>
  <c r="AK51" i="65"/>
  <c r="F51" i="65" s="1"/>
  <c r="AK19" i="65"/>
  <c r="F19" i="65" s="1"/>
  <c r="AK30" i="65"/>
  <c r="F30" i="65" s="1"/>
  <c r="AK28" i="65"/>
  <c r="F28" i="65" s="1"/>
  <c r="AK38" i="65"/>
  <c r="F38" i="65" s="1"/>
  <c r="AK65" i="65"/>
  <c r="F65" i="65" s="1"/>
  <c r="AK25" i="65"/>
  <c r="F25" i="65" s="1"/>
  <c r="AK26" i="65"/>
  <c r="F26" i="65" s="1"/>
  <c r="AK82" i="65"/>
  <c r="F82" i="65" s="1"/>
  <c r="AK80" i="65"/>
  <c r="F80" i="65" s="1"/>
  <c r="AK55" i="65"/>
  <c r="F55" i="65" s="1"/>
  <c r="AK78" i="65"/>
  <c r="F78" i="65" s="1"/>
  <c r="AK61" i="65"/>
  <c r="F61" i="65" s="1"/>
  <c r="AK73" i="65"/>
  <c r="F73" i="65" s="1"/>
  <c r="AK58" i="65"/>
  <c r="F58" i="65" s="1"/>
  <c r="AK72" i="65"/>
  <c r="F72" i="65" s="1"/>
  <c r="AK40" i="65"/>
  <c r="F40" i="65" s="1"/>
  <c r="AK84" i="65"/>
  <c r="F84" i="65" s="1"/>
  <c r="AK79" i="65"/>
  <c r="F79" i="65" s="1"/>
  <c r="AK47" i="65"/>
  <c r="F47" i="65" s="1"/>
  <c r="AK15" i="65"/>
  <c r="F15" i="65" s="1"/>
  <c r="AK76" i="65"/>
  <c r="F76" i="65" s="1"/>
  <c r="AK39" i="65"/>
  <c r="F39" i="65" s="1"/>
  <c r="AK74" i="65"/>
  <c r="F74" i="65" s="1"/>
  <c r="AK22" i="65"/>
  <c r="F22" i="65" s="1"/>
  <c r="AK57" i="65"/>
  <c r="F57" i="65" s="1"/>
  <c r="AK66" i="65"/>
  <c r="F66" i="65" s="1"/>
  <c r="AK68" i="65"/>
  <c r="F68" i="65" s="1"/>
  <c r="AK36" i="65"/>
  <c r="F36" i="65" s="1"/>
  <c r="AK89" i="65"/>
  <c r="F89" i="65" s="1"/>
  <c r="A76" i="37"/>
  <c r="A25" i="37"/>
  <c r="A48" i="37"/>
  <c r="AO2" i="37"/>
  <c r="AN1" i="37"/>
  <c r="P10" i="29"/>
  <c r="P6" i="29"/>
  <c r="P12" i="29"/>
  <c r="P7" i="29"/>
  <c r="P9" i="29"/>
  <c r="P11" i="29"/>
  <c r="P8" i="29"/>
  <c r="P5" i="29"/>
  <c r="P72" i="29"/>
  <c r="P47" i="29"/>
  <c r="P49" i="29"/>
  <c r="P69" i="29"/>
  <c r="P28" i="29"/>
  <c r="P52" i="29"/>
  <c r="P65" i="29"/>
  <c r="P70" i="29"/>
  <c r="P71" i="29"/>
  <c r="P78" i="29"/>
  <c r="P30" i="29"/>
  <c r="P74" i="29"/>
  <c r="P68" i="29"/>
  <c r="P85" i="29"/>
  <c r="P79" i="29"/>
  <c r="P44" i="29"/>
  <c r="P58" i="29"/>
  <c r="P67" i="29"/>
  <c r="P54" i="29"/>
  <c r="P38" i="29"/>
  <c r="P87" i="29"/>
  <c r="P51" i="29"/>
  <c r="P20" i="29"/>
  <c r="P76" i="29"/>
  <c r="P61" i="29"/>
  <c r="P88" i="29"/>
  <c r="P24" i="29"/>
  <c r="P18" i="29"/>
  <c r="P57" i="29"/>
  <c r="P53" i="29"/>
  <c r="P82" i="29"/>
  <c r="P17" i="29"/>
  <c r="P42" i="29"/>
  <c r="P43" i="29"/>
  <c r="P59" i="29"/>
  <c r="P86" i="29"/>
  <c r="P50" i="29"/>
  <c r="P80" i="29"/>
  <c r="P83" i="29"/>
  <c r="P25" i="29"/>
  <c r="P89" i="29"/>
  <c r="P81" i="29"/>
  <c r="P90" i="29"/>
  <c r="P75" i="29"/>
  <c r="P77" i="29"/>
  <c r="P15" i="29"/>
  <c r="P63" i="29"/>
  <c r="P62" i="29"/>
  <c r="P66" i="29"/>
  <c r="P56" i="29"/>
  <c r="P36" i="29"/>
  <c r="P73" i="29"/>
  <c r="P26" i="29"/>
  <c r="P22" i="29"/>
  <c r="P35" i="29"/>
  <c r="P19" i="29"/>
  <c r="P40" i="29"/>
  <c r="P84" i="29"/>
  <c r="P55" i="29"/>
  <c r="P46" i="29"/>
  <c r="P60" i="29"/>
  <c r="P13" i="29"/>
  <c r="P34" i="29"/>
  <c r="P27" i="29"/>
  <c r="P48" i="29"/>
  <c r="P64" i="29"/>
  <c r="P32" i="29"/>
  <c r="P33" i="29"/>
  <c r="P14" i="29"/>
  <c r="P39" i="29"/>
  <c r="P31" i="29"/>
  <c r="P45" i="29"/>
  <c r="P16" i="29"/>
  <c r="P41" i="29"/>
  <c r="P21" i="29"/>
  <c r="P23" i="29"/>
  <c r="P37" i="29"/>
  <c r="P29" i="29"/>
  <c r="A3" i="37" l="1"/>
  <c r="R87" i="29"/>
  <c r="R72" i="29"/>
  <c r="R44" i="29"/>
  <c r="R13" i="29"/>
  <c r="R86" i="29"/>
  <c r="AP2" i="37"/>
  <c r="AO1" i="37"/>
  <c r="R9" i="29"/>
  <c r="R5" i="29"/>
  <c r="R73" i="29"/>
  <c r="R7" i="29"/>
  <c r="H16" i="61" s="1"/>
  <c r="R67" i="29"/>
  <c r="R79" i="29"/>
  <c r="R78" i="29"/>
  <c r="R34" i="29"/>
  <c r="R66" i="29"/>
  <c r="R64" i="29"/>
  <c r="R77" i="29"/>
  <c r="R90" i="29"/>
  <c r="R53" i="29"/>
  <c r="R69" i="29"/>
  <c r="R8" i="29"/>
  <c r="R30" i="29"/>
  <c r="R85" i="29"/>
  <c r="R61" i="29"/>
  <c r="R56" i="29"/>
  <c r="R42" i="29"/>
  <c r="R47" i="29"/>
  <c r="R48" i="29"/>
  <c r="R57" i="29"/>
  <c r="R58" i="29"/>
  <c r="R32" i="29"/>
  <c r="R19" i="29"/>
  <c r="R38" i="29"/>
  <c r="R36" i="29"/>
  <c r="R68" i="29"/>
  <c r="R70" i="29"/>
  <c r="R17" i="29"/>
  <c r="R84" i="29"/>
  <c r="R45" i="29"/>
  <c r="R83" i="29"/>
  <c r="R27" i="29"/>
  <c r="R29" i="29"/>
  <c r="R62" i="29"/>
  <c r="R43" i="29"/>
  <c r="R74" i="29"/>
  <c r="R80" i="29"/>
  <c r="R25" i="29"/>
  <c r="R3" i="29"/>
  <c r="H181" i="61" s="1"/>
  <c r="J181" i="61" s="1"/>
  <c r="R22" i="29"/>
  <c r="R88" i="29"/>
  <c r="R37" i="29"/>
  <c r="R41" i="29"/>
  <c r="R28" i="29"/>
  <c r="R81" i="29"/>
  <c r="R24" i="29"/>
  <c r="R39" i="29"/>
  <c r="R26" i="29"/>
  <c r="R20" i="29"/>
  <c r="R71" i="29"/>
  <c r="R52" i="29"/>
  <c r="R46" i="29"/>
  <c r="R16" i="29"/>
  <c r="R89" i="29"/>
  <c r="R65" i="29"/>
  <c r="R14" i="29"/>
  <c r="R31" i="29"/>
  <c r="R51" i="29"/>
  <c r="R82" i="29"/>
  <c r="R76" i="29"/>
  <c r="R60" i="29"/>
  <c r="R21" i="29"/>
  <c r="R23" i="29"/>
  <c r="R50" i="29"/>
  <c r="R15" i="29"/>
  <c r="R55" i="29"/>
  <c r="R40" i="29"/>
  <c r="R18" i="29"/>
  <c r="R59" i="29"/>
  <c r="R75" i="29"/>
  <c r="R54" i="29"/>
  <c r="R63" i="29"/>
  <c r="R33" i="29"/>
  <c r="R49" i="29"/>
  <c r="R35" i="29"/>
  <c r="R10" i="29"/>
  <c r="R11" i="29"/>
  <c r="R12" i="29"/>
  <c r="R6" i="29"/>
  <c r="H20" i="61" l="1"/>
  <c r="J20" i="61" s="1"/>
  <c r="H72" i="61"/>
  <c r="J72" i="61" s="1"/>
  <c r="H24" i="61"/>
  <c r="J24" i="61" s="1"/>
  <c r="H32" i="61"/>
  <c r="J32" i="61" s="1"/>
  <c r="H30" i="61"/>
  <c r="J30" i="61" s="1"/>
  <c r="H97" i="61"/>
  <c r="J97" i="61" s="1"/>
  <c r="H158" i="61"/>
  <c r="J158" i="61" s="1"/>
  <c r="H12" i="61"/>
  <c r="H160" i="61"/>
  <c r="J160" i="61" s="1"/>
  <c r="H178" i="61"/>
  <c r="J178" i="61" s="1"/>
  <c r="H34" i="61"/>
  <c r="J34" i="61" s="1"/>
  <c r="H85" i="61"/>
  <c r="J85" i="61" s="1"/>
  <c r="H13" i="61"/>
  <c r="H177" i="61"/>
  <c r="J177" i="61" s="1"/>
  <c r="H121" i="61"/>
  <c r="J121" i="61" s="1"/>
  <c r="H57" i="61"/>
  <c r="J57" i="61" s="1"/>
  <c r="H154" i="61"/>
  <c r="J154" i="61" s="1"/>
  <c r="H179" i="61"/>
  <c r="J179" i="61" s="1"/>
  <c r="H180" i="61"/>
  <c r="J180" i="61" s="1"/>
  <c r="H67" i="61"/>
  <c r="J67" i="61" s="1"/>
  <c r="H73" i="61"/>
  <c r="J73" i="61" s="1"/>
  <c r="H53" i="61"/>
  <c r="J53" i="61" s="1"/>
  <c r="H81" i="61"/>
  <c r="J81" i="61" s="1"/>
  <c r="H26" i="61"/>
  <c r="J26" i="61" s="1"/>
  <c r="H74" i="61"/>
  <c r="J74" i="61" s="1"/>
  <c r="H46" i="61"/>
  <c r="J46" i="61" s="1"/>
  <c r="H52" i="61"/>
  <c r="J52" i="61" s="1"/>
  <c r="H80" i="61"/>
  <c r="J80" i="61" s="1"/>
  <c r="H48" i="61"/>
  <c r="J48" i="61" s="1"/>
  <c r="H19" i="61"/>
  <c r="J19" i="61" s="1"/>
  <c r="H98" i="61"/>
  <c r="J98" i="61" s="1"/>
  <c r="H47" i="61"/>
  <c r="J47" i="61" s="1"/>
  <c r="H131" i="61"/>
  <c r="H43" i="61"/>
  <c r="J43" i="61" s="1"/>
  <c r="H29" i="61"/>
  <c r="J29" i="61" s="1"/>
  <c r="H89" i="61"/>
  <c r="J89" i="61" s="1"/>
  <c r="H38" i="61"/>
  <c r="J38" i="61" s="1"/>
  <c r="H65" i="61"/>
  <c r="J65" i="61" s="1"/>
  <c r="H96" i="61"/>
  <c r="J96" i="61" s="1"/>
  <c r="H145" i="61"/>
  <c r="J145" i="61" s="1"/>
  <c r="H54" i="61"/>
  <c r="J54" i="61" s="1"/>
  <c r="H79" i="61"/>
  <c r="J79" i="61" s="1"/>
  <c r="H134" i="61"/>
  <c r="J134" i="61" s="1"/>
  <c r="H45" i="61"/>
  <c r="J45" i="61" s="1"/>
  <c r="H63" i="61"/>
  <c r="J63" i="61" s="1"/>
  <c r="H41" i="61"/>
  <c r="J41" i="61" s="1"/>
  <c r="H129" i="61"/>
  <c r="J129" i="61" s="1"/>
  <c r="H56" i="61"/>
  <c r="J56" i="61" s="1"/>
  <c r="H94" i="61"/>
  <c r="J94" i="61" s="1"/>
  <c r="H88" i="61"/>
  <c r="J88" i="61" s="1"/>
  <c r="H149" i="61"/>
  <c r="J149" i="61" s="1"/>
  <c r="H82" i="61"/>
  <c r="J82" i="61" s="1"/>
  <c r="H107" i="61"/>
  <c r="J107" i="61" s="1"/>
  <c r="H87" i="61"/>
  <c r="J87" i="61" s="1"/>
  <c r="H14" i="61"/>
  <c r="H122" i="61"/>
  <c r="J122" i="61" s="1"/>
  <c r="H58" i="61"/>
  <c r="J58" i="61" s="1"/>
  <c r="H35" i="61"/>
  <c r="J35" i="61" s="1"/>
  <c r="H95" i="61"/>
  <c r="J95" i="61" s="1"/>
  <c r="H49" i="61"/>
  <c r="J49" i="61" s="1"/>
  <c r="H42" i="61"/>
  <c r="J42" i="61" s="1"/>
  <c r="H33" i="61"/>
  <c r="J33" i="61" s="1"/>
  <c r="H15" i="61"/>
  <c r="J15" i="61" s="1"/>
  <c r="H68" i="61"/>
  <c r="J68" i="61" s="1"/>
  <c r="H59" i="61"/>
  <c r="J59" i="61" s="1"/>
  <c r="H91" i="61"/>
  <c r="J91" i="61" s="1"/>
  <c r="H60" i="61"/>
  <c r="J60" i="61" s="1"/>
  <c r="H25" i="61"/>
  <c r="J25" i="61" s="1"/>
  <c r="H50" i="61"/>
  <c r="J50" i="61" s="1"/>
  <c r="H139" i="61"/>
  <c r="J139" i="61" s="1"/>
  <c r="H78" i="61"/>
  <c r="J78" i="61" s="1"/>
  <c r="H18" i="61"/>
  <c r="J18" i="61" s="1"/>
  <c r="H55" i="61"/>
  <c r="J55" i="61" s="1"/>
  <c r="H31" i="61"/>
  <c r="J31" i="61" s="1"/>
  <c r="H71" i="61"/>
  <c r="J71" i="61" s="1"/>
  <c r="H99" i="61"/>
  <c r="J99" i="61" s="1"/>
  <c r="H90" i="61"/>
  <c r="J90" i="61" s="1"/>
  <c r="H83" i="61"/>
  <c r="J83" i="61" s="1"/>
  <c r="H70" i="61"/>
  <c r="J70" i="61" s="1"/>
  <c r="H39" i="61"/>
  <c r="J39" i="61" s="1"/>
  <c r="H86" i="61"/>
  <c r="J86" i="61" s="1"/>
  <c r="H75" i="61"/>
  <c r="J75" i="61" s="1"/>
  <c r="H76" i="61"/>
  <c r="J76" i="61" s="1"/>
  <c r="H22" i="61"/>
  <c r="J22" i="61" s="1"/>
  <c r="H66" i="61"/>
  <c r="J66" i="61" s="1"/>
  <c r="H62" i="61"/>
  <c r="J62" i="61" s="1"/>
  <c r="H128" i="61"/>
  <c r="J128" i="61" s="1"/>
  <c r="H40" i="61"/>
  <c r="J40" i="61" s="1"/>
  <c r="H92" i="61"/>
  <c r="J92" i="61" s="1"/>
  <c r="H36" i="61"/>
  <c r="J36" i="61" s="1"/>
  <c r="H21" i="61"/>
  <c r="J21" i="61" s="1"/>
  <c r="H27" i="61"/>
  <c r="J27" i="61" s="1"/>
  <c r="H44" i="61"/>
  <c r="J44" i="61" s="1"/>
  <c r="H84" i="61"/>
  <c r="J84" i="61" s="1"/>
  <c r="H64" i="61"/>
  <c r="J64" i="61" s="1"/>
  <c r="H69" i="61"/>
  <c r="J69" i="61" s="1"/>
  <c r="H23" i="61"/>
  <c r="J23" i="61" s="1"/>
  <c r="H61" i="61"/>
  <c r="J61" i="61" s="1"/>
  <c r="H37" i="61"/>
  <c r="J37" i="61" s="1"/>
  <c r="H93" i="61"/>
  <c r="J93" i="61" s="1"/>
  <c r="H77" i="61"/>
  <c r="J77" i="61" s="1"/>
  <c r="H28" i="61"/>
  <c r="J28" i="61" s="1"/>
  <c r="H51" i="61"/>
  <c r="J51" i="61" s="1"/>
  <c r="H17" i="61"/>
  <c r="J17" i="61" s="1"/>
  <c r="J16" i="61"/>
  <c r="J131" i="61"/>
  <c r="AQ2" i="37"/>
  <c r="AP1" i="37"/>
  <c r="J6" i="61" l="1"/>
  <c r="J10" i="61"/>
  <c r="J8" i="61" s="1"/>
  <c r="AQ1" i="37"/>
  <c r="AR2" i="37"/>
  <c r="AR1" i="37" l="1"/>
  <c r="AS2" i="37"/>
  <c r="AT2" i="37" l="1"/>
  <c r="AS1" i="37"/>
  <c r="AU2" i="37" l="1"/>
  <c r="AT1" i="37"/>
  <c r="AV2" i="37" l="1"/>
  <c r="AU1" i="37"/>
  <c r="AW2" i="37" l="1"/>
  <c r="AV1" i="37"/>
  <c r="AX2" i="37" l="1"/>
  <c r="AW1" i="37"/>
  <c r="AY2" i="37" l="1"/>
  <c r="AX1" i="37"/>
  <c r="AY1" i="37" l="1"/>
  <c r="AZ2" i="37"/>
  <c r="AZ1" i="37" l="1"/>
  <c r="BA2" i="37"/>
  <c r="J14" i="61"/>
  <c r="BB2" i="37" l="1"/>
  <c r="BA1" i="37"/>
  <c r="BC2" i="37" l="1"/>
  <c r="BB1" i="37"/>
  <c r="BD2" i="37" l="1"/>
  <c r="BC1" i="37"/>
  <c r="BE2" i="37" l="1"/>
  <c r="BD1" i="37"/>
  <c r="BF2" i="37" l="1"/>
  <c r="BE1" i="37"/>
  <c r="BG2" i="37" l="1"/>
  <c r="BF1" i="37"/>
  <c r="BG1" i="37" l="1"/>
  <c r="BH2" i="37"/>
  <c r="BH1" i="37" l="1"/>
  <c r="BI2" i="37"/>
  <c r="BJ2" i="37" l="1"/>
  <c r="BI1" i="37"/>
  <c r="BK2" i="37" l="1"/>
  <c r="BJ1" i="37"/>
  <c r="BL2" i="37" l="1"/>
  <c r="BK1" i="37"/>
  <c r="BM2" i="37" l="1"/>
  <c r="BL1" i="37"/>
  <c r="BN2" i="37" l="1"/>
  <c r="BM1" i="37"/>
  <c r="BO2" i="37" l="1"/>
  <c r="BN1" i="37"/>
  <c r="BO1" i="37" l="1"/>
  <c r="BP2" i="37"/>
  <c r="BP1" i="37" l="1"/>
  <c r="BQ2" i="37"/>
  <c r="BR2" i="37" l="1"/>
  <c r="BQ1" i="37"/>
  <c r="BS2" i="37" l="1"/>
  <c r="BR1" i="37"/>
  <c r="BT2" i="37" l="1"/>
  <c r="BS1" i="37"/>
  <c r="BU2" i="37" l="1"/>
  <c r="BT1" i="37"/>
  <c r="BV2" i="37" l="1"/>
  <c r="BU1" i="37"/>
  <c r="BW2" i="37" l="1"/>
  <c r="BV1" i="37"/>
  <c r="BW1" i="37" l="1"/>
  <c r="BX2" i="37"/>
  <c r="BX1" i="37" l="1"/>
  <c r="BY2" i="37"/>
  <c r="BZ2" i="37" l="1"/>
  <c r="BY1" i="37"/>
  <c r="CA2" i="37" l="1"/>
  <c r="BZ1" i="37"/>
  <c r="CB2" i="37" l="1"/>
  <c r="CA1" i="37"/>
  <c r="CC2" i="37" l="1"/>
  <c r="CB1" i="37"/>
  <c r="CD2" i="37" l="1"/>
  <c r="CC1" i="37"/>
  <c r="CE2" i="37" l="1"/>
  <c r="CD1" i="37"/>
  <c r="CE1" i="37" l="1"/>
  <c r="CF2" i="37"/>
  <c r="CF1" i="37" l="1"/>
  <c r="CG2" i="37"/>
  <c r="CH2" i="37" l="1"/>
  <c r="CG1" i="37"/>
  <c r="CI2" i="37" l="1"/>
  <c r="CH1" i="37"/>
  <c r="CJ2" i="37" l="1"/>
  <c r="CI1" i="37"/>
  <c r="CK2" i="37" l="1"/>
  <c r="CJ1" i="37"/>
  <c r="CL2" i="37" l="1"/>
  <c r="CK1" i="37"/>
  <c r="CM2" i="37" l="1"/>
  <c r="CL1" i="37"/>
  <c r="CM1" i="37" l="1"/>
  <c r="CN2" i="37"/>
  <c r="CN1" i="37" l="1"/>
  <c r="CO2" i="37"/>
  <c r="CP2" i="37" l="1"/>
  <c r="CO1" i="37"/>
  <c r="CQ2" i="37" l="1"/>
  <c r="CP1" i="37"/>
  <c r="CR2" i="37" l="1"/>
  <c r="CQ1" i="37"/>
  <c r="CS2" i="37" l="1"/>
  <c r="CR1" i="37"/>
  <c r="CT2" i="37" l="1"/>
  <c r="CS1" i="37"/>
  <c r="CU2" i="37" l="1"/>
  <c r="CT1" i="37"/>
  <c r="CU1" i="37" l="1"/>
  <c r="CV2" i="37"/>
  <c r="CV1" i="37" l="1"/>
  <c r="CW2" i="37"/>
  <c r="CX2" i="37" l="1"/>
  <c r="CW1" i="37"/>
  <c r="CY2" i="37" l="1"/>
  <c r="CX1" i="37"/>
  <c r="CZ2" i="37" l="1"/>
  <c r="CY1" i="37"/>
  <c r="DA2" i="37" l="1"/>
  <c r="CZ1" i="37"/>
  <c r="DB2" i="37" l="1"/>
  <c r="DA1" i="37"/>
  <c r="DC2" i="37" l="1"/>
  <c r="DB1" i="37"/>
  <c r="DC1" i="37" l="1"/>
  <c r="DD2" i="37"/>
  <c r="DD1" i="37" l="1"/>
  <c r="DE2" i="37"/>
  <c r="DF2" i="37" l="1"/>
  <c r="DE1" i="37"/>
  <c r="DG2" i="37" l="1"/>
  <c r="DF1" i="37"/>
  <c r="DH2" i="37" l="1"/>
  <c r="DG1" i="37"/>
  <c r="DI2" i="37" l="1"/>
  <c r="DH1" i="37"/>
  <c r="DJ2" i="37" l="1"/>
  <c r="DI1" i="37"/>
  <c r="DK2" i="37" l="1"/>
  <c r="DJ1" i="37"/>
  <c r="DK1" i="37" l="1"/>
  <c r="DL2" i="37"/>
  <c r="DL1" i="37" l="1"/>
  <c r="DM2" i="37"/>
  <c r="DN2" i="37" l="1"/>
  <c r="DM1" i="37"/>
  <c r="DO2" i="37" l="1"/>
  <c r="DN1" i="37"/>
  <c r="DP2" i="37" l="1"/>
  <c r="DO1" i="37"/>
  <c r="DQ2" i="37" l="1"/>
  <c r="DP1" i="37"/>
  <c r="DR2" i="37" l="1"/>
  <c r="DQ1" i="37"/>
  <c r="DS2" i="37" l="1"/>
  <c r="DR1" i="37"/>
  <c r="DS1" i="37" l="1"/>
  <c r="DT2" i="37"/>
  <c r="DT1" i="37" l="1"/>
  <c r="DU2" i="37"/>
  <c r="DV2" i="37" l="1"/>
  <c r="DU1" i="37"/>
  <c r="DW2" i="37" l="1"/>
  <c r="DV1" i="37"/>
  <c r="DX2" i="37" l="1"/>
  <c r="DW1" i="37"/>
  <c r="DY2" i="37" l="1"/>
  <c r="DX1" i="37"/>
  <c r="DZ2" i="37" l="1"/>
  <c r="DY1" i="37"/>
  <c r="EA2" i="37" l="1"/>
  <c r="DZ1" i="37"/>
  <c r="EA1" i="37" l="1"/>
  <c r="EB2" i="37"/>
  <c r="EB1" i="37" l="1"/>
  <c r="EC2" i="37"/>
  <c r="ED2" i="37" l="1"/>
  <c r="EC1" i="37"/>
  <c r="EE2" i="37" l="1"/>
  <c r="ED1" i="37"/>
  <c r="EF2" i="37" l="1"/>
  <c r="EE1" i="37"/>
  <c r="EG2" i="37" l="1"/>
  <c r="EF1" i="37"/>
  <c r="EH2" i="37" l="1"/>
  <c r="EG1" i="37"/>
  <c r="EI2" i="37" l="1"/>
  <c r="EH1" i="37"/>
  <c r="EI1" i="37" l="1"/>
  <c r="EJ2" i="37"/>
  <c r="EJ1" i="37" l="1"/>
  <c r="EK2" i="37"/>
  <c r="EL2" i="37" l="1"/>
  <c r="EK1" i="37"/>
  <c r="EM2" i="37" l="1"/>
  <c r="EL1" i="37"/>
  <c r="EN2" i="37" l="1"/>
  <c r="EM1" i="37"/>
  <c r="EO2" i="37" l="1"/>
  <c r="EN1" i="37"/>
  <c r="EP2" i="37" l="1"/>
  <c r="EO1" i="37"/>
  <c r="EQ2" i="37" l="1"/>
  <c r="EP1" i="37"/>
  <c r="EQ1" i="37" l="1"/>
  <c r="ER2" i="37"/>
  <c r="ER1" i="37" l="1"/>
  <c r="ES2" i="37"/>
  <c r="ET2" i="37" l="1"/>
  <c r="ES1" i="37"/>
  <c r="EU2" i="37" l="1"/>
  <c r="ET1" i="37"/>
  <c r="EV2" i="37" l="1"/>
  <c r="EU1" i="37"/>
  <c r="EW2" i="37" l="1"/>
  <c r="EV1" i="37"/>
  <c r="EX2" i="37" l="1"/>
  <c r="EW1" i="37"/>
  <c r="EY2" i="37" l="1"/>
  <c r="EX1" i="37"/>
  <c r="EY1" i="37" l="1"/>
  <c r="EZ2" i="37"/>
  <c r="EZ1" i="37" l="1"/>
  <c r="FA2" i="37"/>
  <c r="FB2" i="37" l="1"/>
  <c r="FA1" i="37"/>
  <c r="FC2" i="37" l="1"/>
  <c r="FB1" i="37"/>
  <c r="FD2" i="37" l="1"/>
  <c r="FC1" i="37"/>
  <c r="FE2" i="37" l="1"/>
  <c r="FD1" i="37"/>
  <c r="FF2" i="37" l="1"/>
  <c r="FE1" i="37"/>
  <c r="FG2" i="37" l="1"/>
  <c r="FF1" i="37"/>
  <c r="FG1" i="37" l="1"/>
  <c r="FH2" i="37"/>
  <c r="FH1" i="37" l="1"/>
  <c r="FI2" i="37"/>
  <c r="FJ2" i="37" l="1"/>
  <c r="FI1" i="37"/>
  <c r="FK2" i="37" l="1"/>
  <c r="FJ1" i="37"/>
  <c r="FL2" i="37" l="1"/>
  <c r="FK1" i="37"/>
  <c r="FM2" i="37" l="1"/>
  <c r="FL1" i="37"/>
  <c r="FN2" i="37" l="1"/>
  <c r="FM1" i="37"/>
  <c r="FO2" i="37" l="1"/>
  <c r="FN1" i="37"/>
  <c r="FO1" i="37" l="1"/>
  <c r="FP2" i="37"/>
  <c r="FP1" i="37" l="1"/>
  <c r="FQ2" i="37"/>
  <c r="FR2" i="37" l="1"/>
  <c r="FQ1" i="37"/>
  <c r="FS2" i="37" l="1"/>
  <c r="FR1" i="37"/>
  <c r="FT2" i="37" l="1"/>
  <c r="FS1" i="37"/>
  <c r="FU2" i="37" l="1"/>
  <c r="FT1" i="37"/>
  <c r="FV2" i="37" l="1"/>
  <c r="FU1" i="37"/>
  <c r="FW2" i="37" l="1"/>
  <c r="FV1" i="37"/>
  <c r="FW1" i="37" l="1"/>
  <c r="FX2" i="37"/>
  <c r="FX1" i="37" l="1"/>
  <c r="FY2" i="37"/>
  <c r="FZ2" i="37" l="1"/>
  <c r="FY1" i="37"/>
  <c r="GA2" i="37" l="1"/>
  <c r="FZ1" i="37"/>
  <c r="GB2" i="37" l="1"/>
  <c r="GA1" i="37"/>
  <c r="GC2" i="37" l="1"/>
  <c r="GB1" i="37"/>
  <c r="GD2" i="37" l="1"/>
  <c r="GC1" i="37"/>
  <c r="GE2" i="37" l="1"/>
  <c r="GD1" i="37"/>
  <c r="GE1" i="37" l="1"/>
  <c r="GF2" i="37"/>
  <c r="GF1" i="37" l="1"/>
  <c r="GG2" i="37"/>
  <c r="GH2" i="37" l="1"/>
  <c r="GG1" i="37"/>
  <c r="GI2" i="37" l="1"/>
  <c r="GH1" i="37"/>
  <c r="GJ2" i="37" l="1"/>
  <c r="GI1" i="37"/>
  <c r="GK2" i="37" l="1"/>
  <c r="GJ1" i="37"/>
  <c r="GL2" i="37" l="1"/>
  <c r="GK1" i="37"/>
  <c r="GM2" i="37" l="1"/>
  <c r="GL1" i="37"/>
  <c r="GM1" i="37" l="1"/>
  <c r="GN2" i="37"/>
  <c r="GN1" i="37" l="1"/>
  <c r="GO2" i="37"/>
  <c r="GP2" i="37" l="1"/>
  <c r="GO1" i="37"/>
  <c r="GQ2" i="37" l="1"/>
  <c r="GP1" i="37"/>
  <c r="GR2" i="37" l="1"/>
  <c r="GQ1" i="37"/>
  <c r="GS2" i="37" l="1"/>
  <c r="GR1" i="37"/>
  <c r="GT2" i="37" l="1"/>
  <c r="GS1" i="37"/>
  <c r="GU2" i="37" l="1"/>
  <c r="GT1" i="37"/>
  <c r="GU1" i="37" l="1"/>
  <c r="GV2" i="37"/>
  <c r="GV1" i="37" l="1"/>
  <c r="GW2" i="37"/>
  <c r="GX2" i="37" l="1"/>
  <c r="GW1" i="37"/>
  <c r="GY2" i="37" l="1"/>
  <c r="GX1" i="37"/>
  <c r="GZ2" i="37" l="1"/>
  <c r="GY1" i="37"/>
  <c r="HA2" i="37" l="1"/>
  <c r="GZ1" i="37"/>
  <c r="HB2" i="37" l="1"/>
  <c r="HA1" i="37"/>
  <c r="HC2" i="37" l="1"/>
  <c r="HB1" i="37"/>
  <c r="HC1" i="37" l="1"/>
  <c r="HD2" i="37"/>
  <c r="HD1" i="37" l="1"/>
  <c r="HE2" i="37"/>
  <c r="HF2" i="37" l="1"/>
  <c r="HE1" i="37"/>
  <c r="HG2" i="37" l="1"/>
  <c r="HF1" i="37"/>
  <c r="HH2" i="37" l="1"/>
  <c r="HG1" i="37"/>
  <c r="HI2" i="37" l="1"/>
  <c r="HH1" i="37"/>
  <c r="HJ2" i="37" l="1"/>
  <c r="HI1" i="37"/>
  <c r="HK2" i="37" l="1"/>
  <c r="HJ1" i="37"/>
  <c r="HK1" i="37" l="1"/>
  <c r="HL2" i="37"/>
  <c r="HL1" i="37" l="1"/>
  <c r="HM2" i="37"/>
  <c r="HN2" i="37" l="1"/>
  <c r="HM1" i="37"/>
  <c r="HO2" i="37" l="1"/>
  <c r="HN1" i="37"/>
  <c r="HP2" i="37" l="1"/>
  <c r="HO1" i="37"/>
  <c r="HQ2" i="37" l="1"/>
  <c r="HP1" i="37"/>
  <c r="HR2" i="37" l="1"/>
  <c r="HQ1" i="37"/>
  <c r="HS2" i="37" l="1"/>
  <c r="HR1" i="37"/>
  <c r="HS1" i="37" l="1"/>
  <c r="HT2" i="37"/>
  <c r="HT1" i="37" l="1"/>
  <c r="HU2" i="37"/>
  <c r="HV2" i="37" l="1"/>
  <c r="HU1" i="37"/>
  <c r="HW2" i="37" l="1"/>
  <c r="HV1" i="37"/>
  <c r="HX2" i="37" l="1"/>
  <c r="HW1" i="37"/>
  <c r="HY2" i="37" l="1"/>
  <c r="HX1" i="37"/>
  <c r="HZ2" i="37" l="1"/>
  <c r="HY1" i="37"/>
  <c r="IA2" i="37" l="1"/>
  <c r="HZ1" i="37"/>
  <c r="IA1" i="37" l="1"/>
  <c r="IB2" i="37"/>
  <c r="IB1" i="37" l="1"/>
  <c r="IC2" i="37"/>
  <c r="ID2" i="37" l="1"/>
  <c r="IC1" i="37"/>
  <c r="IE2" i="37" l="1"/>
  <c r="ID1" i="37"/>
  <c r="IF2" i="37" l="1"/>
  <c r="IE1" i="37"/>
  <c r="IG2" i="37" l="1"/>
  <c r="IF1" i="37"/>
  <c r="IH2" i="37" l="1"/>
  <c r="IG1" i="37"/>
  <c r="II2" i="37" l="1"/>
  <c r="IH1" i="37"/>
  <c r="II1" i="37" l="1"/>
  <c r="IJ2" i="37"/>
  <c r="IJ1" i="37" l="1"/>
  <c r="IK2" i="37"/>
  <c r="IL2" i="37" l="1"/>
  <c r="IK1" i="37"/>
  <c r="IM2" i="37" l="1"/>
  <c r="IL1" i="37"/>
  <c r="IN2" i="37" l="1"/>
  <c r="IM1" i="37"/>
  <c r="IO2" i="37" l="1"/>
  <c r="IN1" i="37"/>
  <c r="IP2" i="37" l="1"/>
  <c r="IO1" i="37"/>
  <c r="IQ2" i="37" l="1"/>
  <c r="IP1" i="37"/>
  <c r="IQ1" i="37" l="1"/>
  <c r="IR2" i="37"/>
  <c r="IR1" i="37" l="1"/>
  <c r="IS2" i="37"/>
  <c r="IT2" i="37" l="1"/>
  <c r="IS1" i="37"/>
  <c r="IU2" i="37" l="1"/>
  <c r="IT1" i="37"/>
  <c r="IV2" i="37" l="1"/>
  <c r="IU1" i="37"/>
  <c r="IW2" i="37" l="1"/>
  <c r="IV1" i="37"/>
  <c r="IX2" i="37" l="1"/>
  <c r="IW1" i="37"/>
  <c r="IY2" i="37" l="1"/>
  <c r="IX1" i="37"/>
  <c r="IY1" i="37" l="1"/>
  <c r="IZ2" i="37"/>
  <c r="IZ1" i="37" l="1"/>
  <c r="JA2" i="37"/>
  <c r="JB2" i="37" l="1"/>
  <c r="JA1" i="37"/>
  <c r="JC2" i="37" l="1"/>
  <c r="JB1" i="37"/>
  <c r="JD2" i="37" l="1"/>
  <c r="JC1" i="37"/>
  <c r="JE2" i="37" l="1"/>
  <c r="JD1" i="37"/>
  <c r="JF2" i="37" l="1"/>
  <c r="JE1" i="37"/>
  <c r="JG2" i="37" l="1"/>
  <c r="JF1" i="37"/>
  <c r="JG1" i="37" l="1"/>
  <c r="JH2" i="37"/>
  <c r="JH1" i="37" l="1"/>
  <c r="JI2" i="37"/>
  <c r="JJ2" i="37" l="1"/>
  <c r="JI1" i="37"/>
  <c r="JK2" i="37" l="1"/>
  <c r="JJ1" i="37"/>
  <c r="JL2" i="37" l="1"/>
  <c r="JK1" i="37"/>
  <c r="JM2" i="37" l="1"/>
  <c r="JL1" i="37"/>
  <c r="JN2" i="37" l="1"/>
  <c r="JM1" i="37"/>
  <c r="JO2" i="37" l="1"/>
  <c r="JN1" i="37"/>
  <c r="JO1" i="37" l="1"/>
  <c r="JP2" i="37"/>
  <c r="JP1" i="37" l="1"/>
  <c r="JQ2" i="37"/>
  <c r="JR2" i="37" l="1"/>
  <c r="JQ1" i="37"/>
  <c r="JS2" i="37" l="1"/>
  <c r="JR1" i="37"/>
  <c r="JT2" i="37" l="1"/>
  <c r="JS1" i="37"/>
  <c r="JU2" i="37" l="1"/>
  <c r="JT1" i="37"/>
  <c r="JV2" i="37" l="1"/>
  <c r="JU1" i="37"/>
  <c r="JW2" i="37" l="1"/>
  <c r="JV1" i="37"/>
  <c r="JW1" i="37" l="1"/>
  <c r="JX2" i="37"/>
  <c r="JX1" i="37" l="1"/>
  <c r="JY2" i="37"/>
  <c r="JZ2" i="37" l="1"/>
  <c r="JY1" i="37"/>
  <c r="KA2" i="37" l="1"/>
  <c r="JZ1" i="37"/>
  <c r="KB2" i="37" l="1"/>
  <c r="KA1" i="37"/>
  <c r="KC2" i="37" l="1"/>
  <c r="KB1" i="37"/>
  <c r="KD2" i="37" l="1"/>
  <c r="KC1" i="37"/>
  <c r="KE2" i="37" l="1"/>
  <c r="KD1" i="37"/>
  <c r="KE1" i="37" l="1"/>
  <c r="KF2" i="37"/>
  <c r="KF1" i="37" l="1"/>
  <c r="KG2" i="37"/>
  <c r="KG1" i="37" s="1"/>
</calcChain>
</file>

<file path=xl/sharedStrings.xml><?xml version="1.0" encoding="utf-8"?>
<sst xmlns="http://schemas.openxmlformats.org/spreadsheetml/2006/main" count="1352" uniqueCount="642">
  <si>
    <t>Nombre de tarea</t>
  </si>
  <si>
    <t>ÍTEM</t>
  </si>
  <si>
    <t>DESCRIPCIÓN</t>
  </si>
  <si>
    <t>Duración Unidad</t>
  </si>
  <si>
    <t>Funcion fecha</t>
  </si>
  <si>
    <t>Comienzo</t>
  </si>
  <si>
    <t>Fin</t>
  </si>
  <si>
    <t>30 días</t>
  </si>
  <si>
    <t>Duración</t>
  </si>
  <si>
    <t>60 días</t>
  </si>
  <si>
    <t>cantidad</t>
  </si>
  <si>
    <t>1.2.1.1</t>
  </si>
  <si>
    <t>1.2.1.2</t>
  </si>
  <si>
    <t>1.2.1.3</t>
  </si>
  <si>
    <t>1.3.1.1</t>
  </si>
  <si>
    <t>1.3.1.2</t>
  </si>
  <si>
    <t>1.3.2.1</t>
  </si>
  <si>
    <t>1.5.1.1</t>
  </si>
  <si>
    <t>Valor</t>
  </si>
  <si>
    <t>FECHA CONTROL</t>
  </si>
  <si>
    <t>FECHA PROGRAMADA DE TÉRMINO</t>
  </si>
  <si>
    <t>AVANCE REAL</t>
  </si>
  <si>
    <t>% CUMPLIMIENTO</t>
  </si>
  <si>
    <t>% AVANCE FISICO</t>
  </si>
  <si>
    <t>% AVANCE PLAZO</t>
  </si>
  <si>
    <t>14 días</t>
  </si>
  <si>
    <t>FECHA INICIAL</t>
  </si>
  <si>
    <t>TOTAL</t>
  </si>
  <si>
    <t>m3</t>
  </si>
  <si>
    <t>m2</t>
  </si>
  <si>
    <t>CANTIDAD</t>
  </si>
  <si>
    <t>UNIDAD</t>
  </si>
  <si>
    <t>ITEM</t>
  </si>
  <si>
    <t>$</t>
  </si>
  <si>
    <t xml:space="preserve">         OBRAS COMPLEMENTARIAS</t>
  </si>
  <si>
    <t>B</t>
  </si>
  <si>
    <t>C.-</t>
  </si>
  <si>
    <t>N°</t>
  </si>
  <si>
    <t>Nº</t>
  </si>
  <si>
    <t>EDT</t>
  </si>
  <si>
    <t>1.1</t>
  </si>
  <si>
    <t>1.2</t>
  </si>
  <si>
    <t>1.2.1</t>
  </si>
  <si>
    <t>1.3</t>
  </si>
  <si>
    <t>1.3.1</t>
  </si>
  <si>
    <t>1.3.2</t>
  </si>
  <si>
    <t>1.3.2.1.1</t>
  </si>
  <si>
    <t>1.3.3</t>
  </si>
  <si>
    <t>1.3.3.1</t>
  </si>
  <si>
    <t>1.3.3.1.1</t>
  </si>
  <si>
    <t>1.3.3.2</t>
  </si>
  <si>
    <t>1.3.3.2.1</t>
  </si>
  <si>
    <t>1.3.3.3</t>
  </si>
  <si>
    <t>1.3.3.3.1</t>
  </si>
  <si>
    <t>1.3.3.4</t>
  </si>
  <si>
    <t>1.3.3.4.1</t>
  </si>
  <si>
    <t>1.3.3.5</t>
  </si>
  <si>
    <t>1.3.3.5.1</t>
  </si>
  <si>
    <t>1.3.3.5.2</t>
  </si>
  <si>
    <t>1.3.4</t>
  </si>
  <si>
    <t>1.3.4.1</t>
  </si>
  <si>
    <t>1.3.4.2</t>
  </si>
  <si>
    <t>1.4</t>
  </si>
  <si>
    <t>1.4.1</t>
  </si>
  <si>
    <t>1.4.2</t>
  </si>
  <si>
    <t>1.4.2.1</t>
  </si>
  <si>
    <t>1.4.2.2</t>
  </si>
  <si>
    <t>1.4.2.3</t>
  </si>
  <si>
    <t>1.4.3</t>
  </si>
  <si>
    <t>1.4.3.1</t>
  </si>
  <si>
    <t>1.4.4</t>
  </si>
  <si>
    <t>1.4.4.1</t>
  </si>
  <si>
    <t>1.4.4.2</t>
  </si>
  <si>
    <t>1.4.4.3</t>
  </si>
  <si>
    <t>1.5</t>
  </si>
  <si>
    <t>1.5.1</t>
  </si>
  <si>
    <t>1.5.2</t>
  </si>
  <si>
    <t>1.5.2.1</t>
  </si>
  <si>
    <t>1.5.2.1.1</t>
  </si>
  <si>
    <t>1.5.2.2</t>
  </si>
  <si>
    <t>1.5.2.2.1</t>
  </si>
  <si>
    <t>1.5.2.2.2</t>
  </si>
  <si>
    <t>1.5.2.3</t>
  </si>
  <si>
    <t>1.5.2.3.1</t>
  </si>
  <si>
    <t>1.5.2.3.2</t>
  </si>
  <si>
    <t>1.5.2.3.3</t>
  </si>
  <si>
    <t>1.5.2.3.4</t>
  </si>
  <si>
    <t>1.5.3</t>
  </si>
  <si>
    <t>1.5.3.1</t>
  </si>
  <si>
    <t>1.6</t>
  </si>
  <si>
    <t>1.6.1</t>
  </si>
  <si>
    <t>1.6.2</t>
  </si>
  <si>
    <t>1.6.3</t>
  </si>
  <si>
    <t>15 días</t>
  </si>
  <si>
    <t>1 día</t>
  </si>
  <si>
    <t>90 días</t>
  </si>
  <si>
    <t>97 días</t>
  </si>
  <si>
    <t>58 días</t>
  </si>
  <si>
    <t>95 días</t>
  </si>
  <si>
    <t>7 días</t>
  </si>
  <si>
    <t>TOTAL COSTO CONSTRUCCION</t>
  </si>
  <si>
    <t>70 días</t>
  </si>
  <si>
    <t>UNITARIO $</t>
  </si>
  <si>
    <t>Avance Real</t>
  </si>
  <si>
    <t>Atraso (-) / Adelanto</t>
  </si>
  <si>
    <t>A.-</t>
  </si>
  <si>
    <t>A.1.-</t>
  </si>
  <si>
    <t>A.2.-</t>
  </si>
  <si>
    <t>A.3.-</t>
  </si>
  <si>
    <t>kg</t>
  </si>
  <si>
    <t>A.4.-</t>
  </si>
  <si>
    <t>A.5.-</t>
  </si>
  <si>
    <t>B.-</t>
  </si>
  <si>
    <t>B.1.-</t>
  </si>
  <si>
    <t>m</t>
  </si>
  <si>
    <t>B.2.-</t>
  </si>
  <si>
    <t>B.3.-</t>
  </si>
  <si>
    <t>Kg</t>
  </si>
  <si>
    <t>B.4.-</t>
  </si>
  <si>
    <t>Uni</t>
  </si>
  <si>
    <t>C.1.-</t>
  </si>
  <si>
    <t>C.2.-</t>
  </si>
  <si>
    <t>C.3.-</t>
  </si>
  <si>
    <t>C.4.-</t>
  </si>
  <si>
    <t>C.5.-</t>
  </si>
  <si>
    <t>D.-</t>
  </si>
  <si>
    <t>D.1.-</t>
  </si>
  <si>
    <t>D.2.-</t>
  </si>
  <si>
    <t>D.3.-</t>
  </si>
  <si>
    <t>E.-</t>
  </si>
  <si>
    <t>Días</t>
  </si>
  <si>
    <t>390 días</t>
  </si>
  <si>
    <t>mar 10-09-24</t>
  </si>
  <si>
    <t>sáb 04-10-25</t>
  </si>
  <si>
    <t>167 días</t>
  </si>
  <si>
    <t>lun 16-12-24</t>
  </si>
  <si>
    <t>sáb 31-05-25</t>
  </si>
  <si>
    <t>mar 04-03-25</t>
  </si>
  <si>
    <t>lun 10-03-25</t>
  </si>
  <si>
    <t>6 días</t>
  </si>
  <si>
    <t>mar 11-03-25</t>
  </si>
  <si>
    <t>dom 16-03-25</t>
  </si>
  <si>
    <t>4 días</t>
  </si>
  <si>
    <t>vie 14-03-25</t>
  </si>
  <si>
    <t>2 días</t>
  </si>
  <si>
    <t>sáb 15-03-25</t>
  </si>
  <si>
    <t>lun 17-03-25</t>
  </si>
  <si>
    <t>dom 30-03-25</t>
  </si>
  <si>
    <t>mar 18-03-25</t>
  </si>
  <si>
    <t>lun 24-03-25</t>
  </si>
  <si>
    <t>mié 19-03-25</t>
  </si>
  <si>
    <t>mar 25-03-25</t>
  </si>
  <si>
    <t>vie 02-05-25</t>
  </si>
  <si>
    <t>120 días</t>
  </si>
  <si>
    <t>lun 14-04-25</t>
  </si>
  <si>
    <t>38 días</t>
  </si>
  <si>
    <t>lun 07-04-25</t>
  </si>
  <si>
    <t>mié 14-05-25</t>
  </si>
  <si>
    <t>dom 13-04-25</t>
  </si>
  <si>
    <t>mar 15-04-25</t>
  </si>
  <si>
    <t>vie 18-04-25</t>
  </si>
  <si>
    <t>20 días</t>
  </si>
  <si>
    <t>sáb 03-05-25</t>
  </si>
  <si>
    <t>dom 16-02-25</t>
  </si>
  <si>
    <t>45 días</t>
  </si>
  <si>
    <t>mar 01-04-25</t>
  </si>
  <si>
    <t>52 días</t>
  </si>
  <si>
    <t>mar 08-04-25</t>
  </si>
  <si>
    <t>mié 02-04-25</t>
  </si>
  <si>
    <t>mié 26-03-25</t>
  </si>
  <si>
    <t>10 días</t>
  </si>
  <si>
    <t>dom 23-03-25</t>
  </si>
  <si>
    <t>5 días</t>
  </si>
  <si>
    <t>vie 04-04-25</t>
  </si>
  <si>
    <t>17 días</t>
  </si>
  <si>
    <t>jue 03-04-25</t>
  </si>
  <si>
    <t>36 días</t>
  </si>
  <si>
    <t>mié 09-04-25</t>
  </si>
  <si>
    <t>166 días</t>
  </si>
  <si>
    <t>mar 03-12-24</t>
  </si>
  <si>
    <t>sáb 17-05-25</t>
  </si>
  <si>
    <t>136 días</t>
  </si>
  <si>
    <t>jue 17-04-25</t>
  </si>
  <si>
    <t>jue 19-12-24</t>
  </si>
  <si>
    <t>mié 23-04-25</t>
  </si>
  <si>
    <t>mié 07-05-25</t>
  </si>
  <si>
    <t>dom 04-05-25</t>
  </si>
  <si>
    <t>lun 28-04-25</t>
  </si>
  <si>
    <t>3 días</t>
  </si>
  <si>
    <t>lun 05-05-25</t>
  </si>
  <si>
    <t>jue 01-05-25</t>
  </si>
  <si>
    <t>73 días</t>
  </si>
  <si>
    <t>jue 06-03-25</t>
  </si>
  <si>
    <t>jue 08-05-25</t>
  </si>
  <si>
    <t>jue 20-03-25</t>
  </si>
  <si>
    <t>272 días</t>
  </si>
  <si>
    <t>mié 04-12-24</t>
  </si>
  <si>
    <t>lun 01-09-25</t>
  </si>
  <si>
    <t>mié 13-08-25</t>
  </si>
  <si>
    <t>18 días</t>
  </si>
  <si>
    <t>sáb 21-12-24</t>
  </si>
  <si>
    <t>mar 07-01-25</t>
  </si>
  <si>
    <t>vie 24-01-25</t>
  </si>
  <si>
    <t>dom 15-12-24</t>
  </si>
  <si>
    <t>sáb 25-01-25</t>
  </si>
  <si>
    <t>lun 03-03-25</t>
  </si>
  <si>
    <t>dom 02-02-25</t>
  </si>
  <si>
    <t>25 días</t>
  </si>
  <si>
    <t>mar 28-01-25</t>
  </si>
  <si>
    <t>vie 21-02-25</t>
  </si>
  <si>
    <t>vie 17-01-25</t>
  </si>
  <si>
    <t>jue 27-02-25</t>
  </si>
  <si>
    <t>vie 28-02-25</t>
  </si>
  <si>
    <t>jue 10-04-25</t>
  </si>
  <si>
    <t>mié 16-04-25</t>
  </si>
  <si>
    <t>32 días</t>
  </si>
  <si>
    <t>jue 24-04-25</t>
  </si>
  <si>
    <t>dom 25-05-25</t>
  </si>
  <si>
    <t>sáb 24-05-25</t>
  </si>
  <si>
    <t>vie 23-05-25</t>
  </si>
  <si>
    <t>vie 09-05-25</t>
  </si>
  <si>
    <t>jue 22-05-25</t>
  </si>
  <si>
    <t>sáb 07-06-25</t>
  </si>
  <si>
    <t>vie 30-05-25</t>
  </si>
  <si>
    <t>305 días</t>
  </si>
  <si>
    <t>lun 04-11-24</t>
  </si>
  <si>
    <t>vie 05-09-25</t>
  </si>
  <si>
    <t>jue 04-09-25</t>
  </si>
  <si>
    <t>210 días</t>
  </si>
  <si>
    <t>vie 07-02-25</t>
  </si>
  <si>
    <t>150 días</t>
  </si>
  <si>
    <t>mié 20-08-25</t>
  </si>
  <si>
    <t>mar 05-08-25</t>
  </si>
  <si>
    <t>180 días</t>
  </si>
  <si>
    <t>dom 09-03-25</t>
  </si>
  <si>
    <t>jue 14-08-25</t>
  </si>
  <si>
    <t>jue 28-08-25</t>
  </si>
  <si>
    <t>275 días</t>
  </si>
  <si>
    <t>230 días</t>
  </si>
  <si>
    <t>lun 21-07-25</t>
  </si>
  <si>
    <t>mar 22-07-25</t>
  </si>
  <si>
    <t>dom 31-08-25</t>
  </si>
  <si>
    <t>185 días</t>
  </si>
  <si>
    <t>lun 12-05-25</t>
  </si>
  <si>
    <t>mar 13-05-25</t>
  </si>
  <si>
    <t>vie 15-08-25</t>
  </si>
  <si>
    <t>mié 11-06-25</t>
  </si>
  <si>
    <t>105 días</t>
  </si>
  <si>
    <t>mar 12-08-25</t>
  </si>
  <si>
    <t>lun 14-07-25</t>
  </si>
  <si>
    <t>mar 29-04-25</t>
  </si>
  <si>
    <t>mié 09-10-24</t>
  </si>
  <si>
    <t>jue 10-10-24</t>
  </si>
  <si>
    <t>sáb 19-10-24</t>
  </si>
  <si>
    <t>dom 20-10-24</t>
  </si>
  <si>
    <t>dom 03-11-24</t>
  </si>
  <si>
    <t>mié 10-09-25</t>
  </si>
  <si>
    <t>AMPLIACION SERVICIO SANITARIO RURAL DE COQUIAO, COMUNA DE ANCUD, REGIÓN DE LOS LAGOS</t>
  </si>
  <si>
    <t xml:space="preserve">   CAPÍTULO I: OBRAS CAPTACIÓN</t>
  </si>
  <si>
    <t>1.1.1</t>
  </si>
  <si>
    <t xml:space="preserve">      CAPTACIÓN SUPERFICIAL Y DESARENADOR</t>
  </si>
  <si>
    <t>1.1.1.1</t>
  </si>
  <si>
    <t xml:space="preserve">         DEMOLICION</t>
  </si>
  <si>
    <t>1.1.1.1.1</t>
  </si>
  <si>
    <t xml:space="preserve">            Demoliciones</t>
  </si>
  <si>
    <t>1.1.1.2</t>
  </si>
  <si>
    <t xml:space="preserve">         MOVIMIENTOS DE TIERRA</t>
  </si>
  <si>
    <t>1.1.1.2.1</t>
  </si>
  <si>
    <t xml:space="preserve">            Excavación para fundación</t>
  </si>
  <si>
    <t>1.1.1.2.2</t>
  </si>
  <si>
    <t xml:space="preserve">            Relleno de Excavaciones</t>
  </si>
  <si>
    <t>1.1.1.2.3</t>
  </si>
  <si>
    <t xml:space="preserve">            Retiro de excedentes</t>
  </si>
  <si>
    <t>1.1.1.3</t>
  </si>
  <si>
    <t xml:space="preserve">         HORMIGÓN ARMADO</t>
  </si>
  <si>
    <t>1.1.1.3.1</t>
  </si>
  <si>
    <t xml:space="preserve">            Hormigón G-5 Emplantillado</t>
  </si>
  <si>
    <t>1.1.1.3.2</t>
  </si>
  <si>
    <t xml:space="preserve">            Hormigón G-25</t>
  </si>
  <si>
    <t>1.1.1.3.3</t>
  </si>
  <si>
    <t xml:space="preserve">            Acero de refuerzo A63-42H</t>
  </si>
  <si>
    <t>1.1.1.4</t>
  </si>
  <si>
    <t xml:space="preserve">         PASARELA ACERO GALVANIZADO</t>
  </si>
  <si>
    <t>1.1.1.4.1</t>
  </si>
  <si>
    <t xml:space="preserve">            Pasarela acero galvanizado</t>
  </si>
  <si>
    <t>1.1.1.5</t>
  </si>
  <si>
    <t>1.1.1.5.1</t>
  </si>
  <si>
    <t xml:space="preserve">            Suministro y montaje motobombas KSB UPAcrhom 150-16/10cc DN100 o equivalente</t>
  </si>
  <si>
    <t>1.1.2</t>
  </si>
  <si>
    <t xml:space="preserve">      OBRAS VARIAS</t>
  </si>
  <si>
    <t>1.1.2.1</t>
  </si>
  <si>
    <t xml:space="preserve">         Pedraplen</t>
  </si>
  <si>
    <t>1.1.2.2</t>
  </si>
  <si>
    <t xml:space="preserve">         Compuerta Desripiadora</t>
  </si>
  <si>
    <t>1.1.2.3</t>
  </si>
  <si>
    <t xml:space="preserve">         Machones Bombas</t>
  </si>
  <si>
    <t>1.1.2.4</t>
  </si>
  <si>
    <t xml:space="preserve">         Modificación Cierre Perimetral</t>
  </si>
  <si>
    <t xml:space="preserve">   CAPÍTULO II: OBRAS IMPULSIÓN A ESTANQUE</t>
  </si>
  <si>
    <t xml:space="preserve">      MOVIMIENTO DE TIERRAS</t>
  </si>
  <si>
    <t xml:space="preserve">         Excavación de zanja, terreno Tipo III</t>
  </si>
  <si>
    <t xml:space="preserve">         Base de apoyo</t>
  </si>
  <si>
    <t xml:space="preserve">         Relleno de zanja</t>
  </si>
  <si>
    <t>1.2.1.4</t>
  </si>
  <si>
    <t xml:space="preserve">         Retiro de excedentes</t>
  </si>
  <si>
    <t>1.2.2</t>
  </si>
  <si>
    <t xml:space="preserve">      INTERCONEXIONES HIDRÁULICAS</t>
  </si>
  <si>
    <t>1.2.2.1</t>
  </si>
  <si>
    <t xml:space="preserve">         Suministro, transporte, transporte interno, colocación y prueba de Tuberías de HDPE</t>
  </si>
  <si>
    <t>1.2.2.1.1</t>
  </si>
  <si>
    <t xml:space="preserve">            Cañería de HDPE PN 16 D = 75 mm</t>
  </si>
  <si>
    <t>1.2.2.2</t>
  </si>
  <si>
    <t xml:space="preserve">         Suministro, transporte, transporte interno, colocación y prueba de Tuberías de Acero Galvanizado</t>
  </si>
  <si>
    <t>1.2.2.2.1</t>
  </si>
  <si>
    <t xml:space="preserve">            Cañeria de acero galvanizadp D=6"</t>
  </si>
  <si>
    <t>1.2.2.3</t>
  </si>
  <si>
    <t xml:space="preserve">         Suministro, transporte, transporte interno, colocación y prueba de Piezas Especiales con/sin mecanismo</t>
  </si>
  <si>
    <t>1.2.2.3.1</t>
  </si>
  <si>
    <t xml:space="preserve">            Piezas especiales de HDPE</t>
  </si>
  <si>
    <t>1.2.2.3.2</t>
  </si>
  <si>
    <t xml:space="preserve">            Piezas especiales de Fierro Fundido</t>
  </si>
  <si>
    <t>1.2.2.3.3</t>
  </si>
  <si>
    <t xml:space="preserve">            Piezas especiales de Acero</t>
  </si>
  <si>
    <t>1.2.2.3.4</t>
  </si>
  <si>
    <t xml:space="preserve">            Piezas especiales con mecanismo</t>
  </si>
  <si>
    <t>1.2.2.4</t>
  </si>
  <si>
    <t xml:space="preserve">         Junturas</t>
  </si>
  <si>
    <t>1.2.2.4.1</t>
  </si>
  <si>
    <t xml:space="preserve">            Termofusión 75 mm</t>
  </si>
  <si>
    <t>1.2.2.4.2</t>
  </si>
  <si>
    <t xml:space="preserve">            Brida, D=3"</t>
  </si>
  <si>
    <t>1.2.2.4.3</t>
  </si>
  <si>
    <t xml:space="preserve">            Autobloqueante D=3"</t>
  </si>
  <si>
    <t>1.2.3</t>
  </si>
  <si>
    <t>1.2.3.1</t>
  </si>
  <si>
    <t xml:space="preserve">         Machones de apoyo</t>
  </si>
  <si>
    <t>1.2.3.2</t>
  </si>
  <si>
    <t xml:space="preserve">         Camaras de Valvulas</t>
  </si>
  <si>
    <t xml:space="preserve">   CAPÍTULO III: SISTEMA DE TRATAMIENTO</t>
  </si>
  <si>
    <t xml:space="preserve">      SUMINISTRO E INSTALACIÓN DE MATERIALES Y EQUIPOS DE FILTRACIÓN</t>
  </si>
  <si>
    <t xml:space="preserve">         Filtro Floculador Multicapa en Profundidad AQP 1350AB</t>
  </si>
  <si>
    <t xml:space="preserve">         Filtro Carbón Activado AQP 1350CA</t>
  </si>
  <si>
    <t>1.3.1.3</t>
  </si>
  <si>
    <t xml:space="preserve">         Sistema Dosificación Tratamiento</t>
  </si>
  <si>
    <t xml:space="preserve">      OBRAS CIVILES</t>
  </si>
  <si>
    <t xml:space="preserve">         Caseta de Tratamiento</t>
  </si>
  <si>
    <t xml:space="preserve">            Mejoramiento Caseta</t>
  </si>
  <si>
    <t xml:space="preserve">         Suministro, transporte, transporte interno, colocación y prueba de Cañerias de Acero Sch 40</t>
  </si>
  <si>
    <t xml:space="preserve">            Cañería de acero galvanizado Sch 40 D=3”</t>
  </si>
  <si>
    <t xml:space="preserve">         Suministro, transporte, transporte interno, colocación y prueba de Tuberías Conduit</t>
  </si>
  <si>
    <t xml:space="preserve">            Suministro, Transporte y Transporte Interno, colocación y prueba de tuberías Conduit 3/4"</t>
  </si>
  <si>
    <t xml:space="preserve">         Suministro, transporte, transporte interno, colocación y prueba de Tuberías de pvc</t>
  </si>
  <si>
    <t xml:space="preserve">            Suministro, Transporte y Transporte Interno, colocación y prueba de tuberías PVC C-6 75 mm</t>
  </si>
  <si>
    <t xml:space="preserve">         Suministro, transporte, transporte interno, colocación y prueba de Cañería de Cobre 3/4"</t>
  </si>
  <si>
    <t xml:space="preserve">            Suministro, Transporte y Transporte Interno, colocación y prueba de tuberías Cobre 3/4"</t>
  </si>
  <si>
    <t>1.3.3.5.3</t>
  </si>
  <si>
    <t>1.3.3.5.4</t>
  </si>
  <si>
    <t xml:space="preserve">            Piezas especiales de Bronce</t>
  </si>
  <si>
    <t>1.3.3.5.5</t>
  </si>
  <si>
    <t xml:space="preserve">            Piezas especiales de Conduit</t>
  </si>
  <si>
    <t>1.3.3.5.6</t>
  </si>
  <si>
    <t xml:space="preserve">            Piezas Especiales con mecanismo</t>
  </si>
  <si>
    <t>1.3.3.5.7</t>
  </si>
  <si>
    <t xml:space="preserve">            Macromedidor con camara de protección</t>
  </si>
  <si>
    <t xml:space="preserve">      OBRAS DE HORMIGÓN</t>
  </si>
  <si>
    <t xml:space="preserve">         Machones de anclaje y apoyo</t>
  </si>
  <si>
    <t xml:space="preserve">         Radier para equipos</t>
  </si>
  <si>
    <t xml:space="preserve">   CAPÍTULO IV: SISTEMA DE REGULACIÓN ESTANQUE METALICO ELEVADO</t>
  </si>
  <si>
    <t xml:space="preserve">      Demolición estanque existente</t>
  </si>
  <si>
    <t xml:space="preserve">         Excavación para fundación</t>
  </si>
  <si>
    <t xml:space="preserve">         Relleno Estructural para mejoramiento suelo de fundación</t>
  </si>
  <si>
    <t xml:space="preserve">         Relleno de Confinamiento</t>
  </si>
  <si>
    <t>1.4.2.4</t>
  </si>
  <si>
    <t xml:space="preserve">      FUNDACIONES</t>
  </si>
  <si>
    <t xml:space="preserve">         Hormigón tipo G-5</t>
  </si>
  <si>
    <t>1.4.3.2</t>
  </si>
  <si>
    <t xml:space="preserve">         Hormigón tipo G-25</t>
  </si>
  <si>
    <t>1.4.3.3</t>
  </si>
  <si>
    <t xml:space="preserve">         Acero de refuerzo A63-42H</t>
  </si>
  <si>
    <t xml:space="preserve">      ESTRUCTURA DE ESTANQUE (SUMINISTRO TRANSPORTE Y MONTAJE DE LAS ESTRUCTURAS)</t>
  </si>
  <si>
    <t xml:space="preserve">         Pernos de anclaje de 1 " x 1400 mm</t>
  </si>
  <si>
    <t xml:space="preserve">         Placas de anclaje 540 x 540 x 25 mm de acero calidad A 37 – 24 ES</t>
  </si>
  <si>
    <t xml:space="preserve">         Torre metalica 15 m de altura</t>
  </si>
  <si>
    <t>1.4.4.4</t>
  </si>
  <si>
    <t xml:space="preserve">         Plataforma</t>
  </si>
  <si>
    <t>1.4.4.5</t>
  </si>
  <si>
    <t xml:space="preserve">         Cuba</t>
  </si>
  <si>
    <t>1.4.4.6</t>
  </si>
  <si>
    <t xml:space="preserve">         Escotilla, Tapa Ventilación</t>
  </si>
  <si>
    <t>1.4.4.7</t>
  </si>
  <si>
    <t xml:space="preserve">         Escalas de acceso y Barandas</t>
  </si>
  <si>
    <t>1.4.4.8</t>
  </si>
  <si>
    <t xml:space="preserve">         Escala de Aproximacion</t>
  </si>
  <si>
    <t>1.4.4.9</t>
  </si>
  <si>
    <t xml:space="preserve">         Pintura interior del estanque</t>
  </si>
  <si>
    <t>1.4.4.10</t>
  </si>
  <si>
    <t xml:space="preserve">         Pintura Exterior del estanque y Estructura</t>
  </si>
  <si>
    <t>1.4.5</t>
  </si>
  <si>
    <t>1.4.5.1</t>
  </si>
  <si>
    <t>1.4.5.1.1</t>
  </si>
  <si>
    <t>1.4.5.2</t>
  </si>
  <si>
    <t>1.4.5.2.1</t>
  </si>
  <si>
    <t xml:space="preserve">            Acero Galvanizado D=3”</t>
  </si>
  <si>
    <t>1.4.5.3</t>
  </si>
  <si>
    <t>1.4.5.3.1</t>
  </si>
  <si>
    <t>1.4.5.3.2</t>
  </si>
  <si>
    <t>1.4.5.3.3</t>
  </si>
  <si>
    <t>1.4.5.3.4</t>
  </si>
  <si>
    <t>1.4.5.3.5</t>
  </si>
  <si>
    <t>1.4.6</t>
  </si>
  <si>
    <t>1.4.6.1</t>
  </si>
  <si>
    <t xml:space="preserve">         Machones de apoyo y anclaje</t>
  </si>
  <si>
    <t>1.4.6.2</t>
  </si>
  <si>
    <t xml:space="preserve">         Obra de desagüe</t>
  </si>
  <si>
    <t xml:space="preserve">   CAPÍTULO V: RED DE DISTRIBUCIÓN</t>
  </si>
  <si>
    <t xml:space="preserve">      MOVIMIENTOS DE TIERRA</t>
  </si>
  <si>
    <t>1.5.1.2</t>
  </si>
  <si>
    <t xml:space="preserve">         Excavación a mano</t>
  </si>
  <si>
    <t>1.5.1.3</t>
  </si>
  <si>
    <t>1.5.1.4</t>
  </si>
  <si>
    <t xml:space="preserve">         Relleno de zanjas</t>
  </si>
  <si>
    <t>1.5.1.5</t>
  </si>
  <si>
    <t xml:space="preserve">            Cañería de HDPE PN 10 D = 75 mm</t>
  </si>
  <si>
    <t xml:space="preserve">            Cañería de acero galvanizado Sch 40 D = 3”</t>
  </si>
  <si>
    <t xml:space="preserve">            Cañería de acero galvanizado Sch 40, D = 6”</t>
  </si>
  <si>
    <t xml:space="preserve">            Piezas especiales de Acero Galvanizado</t>
  </si>
  <si>
    <t>1.5.2.4</t>
  </si>
  <si>
    <t>1.5.2.4.1</t>
  </si>
  <si>
    <t xml:space="preserve">            Anger 75 mm</t>
  </si>
  <si>
    <t>1.5.2.4.2</t>
  </si>
  <si>
    <t>1.5.2.4.3</t>
  </si>
  <si>
    <t>1.5.2.4.4</t>
  </si>
  <si>
    <t>1.5.2.4.5</t>
  </si>
  <si>
    <t xml:space="preserve">            Hilo 3"</t>
  </si>
  <si>
    <t xml:space="preserve">      ARRANQUES DOMICILIARIOS</t>
  </si>
  <si>
    <t xml:space="preserve">         Arranque domiciliario 0-20 m ½” C/ medidor</t>
  </si>
  <si>
    <t>1.5.3.2</t>
  </si>
  <si>
    <t xml:space="preserve">         Arranque domiciliario con atravieso encamisado 0-20 m ½” C/ medidor</t>
  </si>
  <si>
    <t>1.5.3.3</t>
  </si>
  <si>
    <t xml:space="preserve">         Reconexión de Arranque domiciliario por reemplazo de red</t>
  </si>
  <si>
    <t>1.5.4</t>
  </si>
  <si>
    <t>1.5.4.1</t>
  </si>
  <si>
    <t xml:space="preserve">         Machones de Apoyo y Anclaje</t>
  </si>
  <si>
    <t>1.5.4.2</t>
  </si>
  <si>
    <t xml:space="preserve">         Cámara de válvula corte</t>
  </si>
  <si>
    <t>1.5.4.3</t>
  </si>
  <si>
    <t xml:space="preserve">         Cámara Ventosa Bifuncional</t>
  </si>
  <si>
    <t>1.5.4.4</t>
  </si>
  <si>
    <t xml:space="preserve">         Cámara reguladora de presión</t>
  </si>
  <si>
    <t xml:space="preserve">   CAPÍTULO VI: OBRAS VIALES</t>
  </si>
  <si>
    <t xml:space="preserve">      Atravieso red agua potable en zanja</t>
  </si>
  <si>
    <t xml:space="preserve">      Atravieso red con tunelera</t>
  </si>
  <si>
    <t xml:space="preserve">      Atravieso arranque domiciliario</t>
  </si>
  <si>
    <t>1.7</t>
  </si>
  <si>
    <t xml:space="preserve">   CAPÍTULO VII: OBRAS ESPECIALES</t>
  </si>
  <si>
    <t>1.7.1</t>
  </si>
  <si>
    <t xml:space="preserve">      Marcha Blanca</t>
  </si>
  <si>
    <t>1.8</t>
  </si>
  <si>
    <t xml:space="preserve">   CAPÍTULO VIII: OBRAS ELÉCTRICAS</t>
  </si>
  <si>
    <t>1.8.1</t>
  </si>
  <si>
    <t xml:space="preserve">      SUMINISTRO MATENCION EMPALME ELÉCTRICO CAPTACION</t>
  </si>
  <si>
    <t>1.8.2</t>
  </si>
  <si>
    <t xml:space="preserve">      SUMINISTRO E INSTALACIÓN SUB ESTACIÓN CAPTACION COQUIAO</t>
  </si>
  <si>
    <t>1.8.3</t>
  </si>
  <si>
    <t xml:space="preserve">      MALLA DE PUESTA TIERRA</t>
  </si>
  <si>
    <t>1.8.4</t>
  </si>
  <si>
    <t xml:space="preserve">      ALIMENTADOR GENERAL EN BT CAPTACION COQUIAO</t>
  </si>
  <si>
    <t>1.8.5</t>
  </si>
  <si>
    <t xml:space="preserve">      ALIMENTADOR GENERAL EN BT PLANTA TRATAMIENTO Y REGULACION COQUIAO</t>
  </si>
  <si>
    <t>1.8.6</t>
  </si>
  <si>
    <t xml:space="preserve">      ALIMENTADOR TABLERO FUERZA Y CONTROL A MOTOBOMBAS</t>
  </si>
  <si>
    <t>1.8.7</t>
  </si>
  <si>
    <t xml:space="preserve">      CIRCUITO CONTROL “SENTINA SECA”. TDFA Y SENTINA</t>
  </si>
  <si>
    <t>1.8.8</t>
  </si>
  <si>
    <t xml:space="preserve">      CIRCUITO CONTROL PRESOSTATO TDFA Y C – PRESOSTATO CAPTACION</t>
  </si>
  <si>
    <t>1.8.9</t>
  </si>
  <si>
    <t xml:space="preserve">      CIRCUITO CONTROL PRESOSTATO TDFA Y C – PRESOSTATO PLANTA RyT</t>
  </si>
  <si>
    <t>1.8.10</t>
  </si>
  <si>
    <t xml:space="preserve">      CAJA DE CONEXIONES</t>
  </si>
  <si>
    <t>1.8.11</t>
  </si>
  <si>
    <t xml:space="preserve">      SUMINISTRO Y MONTAJE TABLERO DE FUERZA Y CONTROL CAPTACIONES</t>
  </si>
  <si>
    <t>1.8.12</t>
  </si>
  <si>
    <t xml:space="preserve">      SUMINISTRO Y MONTAJE TABLERO DE FUERZA Y CONTROL PLANTA TyR</t>
  </si>
  <si>
    <t>1.8.13</t>
  </si>
  <si>
    <t xml:space="preserve">      CÁMARA ELÉCTRICA TIPO B</t>
  </si>
  <si>
    <t>1.8.14</t>
  </si>
  <si>
    <t xml:space="preserve">      ALUMBRADO EXTERIOR APR COQUIAO</t>
  </si>
  <si>
    <t>1.8.15</t>
  </si>
  <si>
    <t xml:space="preserve">      CIRCUITO ALUMBRADO INTERIOR PLANTA RyT</t>
  </si>
  <si>
    <t>1.8.16</t>
  </si>
  <si>
    <t xml:space="preserve">      CIRCUITO ENCHUFE PLANTA RyT TDFA Y C</t>
  </si>
  <si>
    <t>1.9</t>
  </si>
  <si>
    <t xml:space="preserve">   OBRAS PREVIAS</t>
  </si>
  <si>
    <t>1.9.1</t>
  </si>
  <si>
    <t xml:space="preserve">      Entrega documentos administrativos</t>
  </si>
  <si>
    <t>1.9.2</t>
  </si>
  <si>
    <t xml:space="preserve">      Entrega de terreno</t>
  </si>
  <si>
    <t>1.9.3</t>
  </si>
  <si>
    <t xml:space="preserve">      Instalación de Faenas</t>
  </si>
  <si>
    <t>1.9.4</t>
  </si>
  <si>
    <t xml:space="preserve">      Tramitación de la obtención de la autorización del funcionamiento de la autoridad sanitaria</t>
  </si>
  <si>
    <t>Item</t>
  </si>
  <si>
    <t>Unidad</t>
  </si>
  <si>
    <t>Avance</t>
  </si>
  <si>
    <t>Dias ejecutados de actividad</t>
  </si>
  <si>
    <t>Nombre del Contrato</t>
  </si>
  <si>
    <t>Ampliación Servicio Sanitario Rural de Coquiao, Comuna de Ancud, Región de Los Lagos.</t>
  </si>
  <si>
    <t>Dirección Contratante</t>
  </si>
  <si>
    <t>Dirección Regional de Obras Hidráulicas, M.O.P. Región de Los Lagos.</t>
  </si>
  <si>
    <t>Tipo de Contrato</t>
  </si>
  <si>
    <t>Suma Alzada, con reajuste.</t>
  </si>
  <si>
    <t>Código SAFI</t>
  </si>
  <si>
    <t>Mercado Público, ID</t>
  </si>
  <si>
    <t>817-11-o124</t>
  </si>
  <si>
    <t>Res. Adjudicación – Fecha</t>
  </si>
  <si>
    <t>Res. D.O.H. N°1494, del 09.09.2024.</t>
  </si>
  <si>
    <t>Fecha tramitada</t>
  </si>
  <si>
    <t>09 de septiembre 2024</t>
  </si>
  <si>
    <t>Reajuste</t>
  </si>
  <si>
    <t>Polinómico</t>
  </si>
  <si>
    <t>Índice Base</t>
  </si>
  <si>
    <t>Presupuesto Oficial $</t>
  </si>
  <si>
    <t>Presupuesto adjudicado $</t>
  </si>
  <si>
    <t>Plazo Contrato</t>
  </si>
  <si>
    <t>390 días corridos.</t>
  </si>
  <si>
    <t>Días corridos</t>
  </si>
  <si>
    <t>Fecha de Inicio</t>
  </si>
  <si>
    <t>Fecha de término</t>
  </si>
  <si>
    <t>Inspector Fiscal</t>
  </si>
  <si>
    <t>Cristian Sebastián Peldoza Veloso</t>
  </si>
  <si>
    <t>Profesión</t>
  </si>
  <si>
    <t>Ingeniero Constructor</t>
  </si>
  <si>
    <t>Contratista</t>
  </si>
  <si>
    <t>CAV Construcciones Limitada.</t>
  </si>
  <si>
    <t>RUT</t>
  </si>
  <si>
    <t>77.716.070-2</t>
  </si>
  <si>
    <t>Profesional Residente</t>
  </si>
  <si>
    <t>Carlos Javier Carrasco Molina</t>
  </si>
  <si>
    <t>Encargado de Calidad</t>
  </si>
  <si>
    <t>PROYECTO</t>
  </si>
  <si>
    <t>ACTIVIDAD</t>
  </si>
  <si>
    <t>ANALISIS DE PRECIOS UNITARIOS</t>
  </si>
  <si>
    <t>NOMBRE</t>
  </si>
  <si>
    <t>UNID.</t>
  </si>
  <si>
    <t>CANT.</t>
  </si>
  <si>
    <t>P. UNIT.</t>
  </si>
  <si>
    <t>COSTO UNIT.</t>
  </si>
  <si>
    <t>A: MATERIALES</t>
  </si>
  <si>
    <t>SUB TOTAL MATERIALES</t>
  </si>
  <si>
    <t>Capataz</t>
  </si>
  <si>
    <t>h/dia</t>
  </si>
  <si>
    <t>Maestros</t>
  </si>
  <si>
    <t>Ayudantes</t>
  </si>
  <si>
    <t>Jornales</t>
  </si>
  <si>
    <t>Leyes sociales</t>
  </si>
  <si>
    <t>SUB TOTAL MANO DE OBRA</t>
  </si>
  <si>
    <t>dia</t>
  </si>
  <si>
    <t>SUB TOTAL EQUIPOS</t>
  </si>
  <si>
    <t>TOTAL COSTO DIRECTO (A+B+C)</t>
  </si>
  <si>
    <t>GASTOS GENERALES</t>
  </si>
  <si>
    <t>UTILIDADES</t>
  </si>
  <si>
    <t>PRECIO UNITARIO ITEM</t>
  </si>
  <si>
    <t>Demoliciones</t>
  </si>
  <si>
    <t>Camion Tolva (rendimiento m2/hr : 1,43)</t>
  </si>
  <si>
    <t>Herramientas Menores (rendimiento m2/dia : 10,0)</t>
  </si>
  <si>
    <t>Rendimiento m2/dia</t>
  </si>
  <si>
    <t>Sub total item</t>
  </si>
  <si>
    <t>Sub total dia</t>
  </si>
  <si>
    <t>Retroexcavadora con martillo (rendimiento m2/hr : 1,4)</t>
  </si>
  <si>
    <t>m2/dia</t>
  </si>
  <si>
    <t>C: MANO DE OBRA</t>
  </si>
  <si>
    <t>B: EQUIPOS</t>
  </si>
  <si>
    <t>hr</t>
  </si>
  <si>
    <t>COSTO DIRECTO</t>
  </si>
  <si>
    <t>RENDIMIENTO</t>
  </si>
  <si>
    <t>Excavadora (Redimiento m3/hr : 7,1)</t>
  </si>
  <si>
    <t>Herramientas Menores (rendimiento m3/dia : 50,0)</t>
  </si>
  <si>
    <t>m3/dia</t>
  </si>
  <si>
    <t>Sum. Material (c/esponjam.)</t>
  </si>
  <si>
    <t>retroexcavadora (rendimiento m3/hr : 11,43)</t>
  </si>
  <si>
    <t>placa compactador (rendimiento m3/dia: 80,00)</t>
  </si>
  <si>
    <t>herramientas menores (rendimiento m3/dia : 80,0)</t>
  </si>
  <si>
    <t>Perdidas</t>
  </si>
  <si>
    <t>retroexcavadora (rendiemiento m3/hr: 8,57)</t>
  </si>
  <si>
    <t>Camion Tolva (rendimiento m2/hr : 0,57)</t>
  </si>
  <si>
    <t>herramientas menores (rendiemiento m3/dia : 60)</t>
  </si>
  <si>
    <t>h-dia</t>
  </si>
  <si>
    <t>suminisstro de hormigon G-5 de acuerdo a ETE</t>
  </si>
  <si>
    <t>herramientas menores (rendimiento m3/dia:  10,00)</t>
  </si>
  <si>
    <t>vibrador x n° 2 ( rendimiento m3/dia : 10,00)</t>
  </si>
  <si>
    <t>betonera (rendimiento m3/dia :10,00)</t>
  </si>
  <si>
    <t>suminisstro de hormigon G-25 de acuerdo a ETE</t>
  </si>
  <si>
    <t>herramientas menores (rendimiento m3/dia : 10,00)</t>
  </si>
  <si>
    <t>AVANCE PROGRAMADO (carta gantt)</t>
  </si>
  <si>
    <t>Avance Prog. (carta gantt)</t>
  </si>
  <si>
    <t>NIVELES PCdC</t>
  </si>
  <si>
    <t>Ritmo diario $</t>
  </si>
  <si>
    <t>ritmo diario uni</t>
  </si>
  <si>
    <t>Constructor Civil</t>
  </si>
  <si>
    <t>Cristian Hernandez Ruiz</t>
  </si>
  <si>
    <t>%</t>
  </si>
  <si>
    <t>h/día</t>
  </si>
  <si>
    <t>-</t>
  </si>
  <si>
    <t>un</t>
  </si>
  <si>
    <t>Sierra circular 1400W CS1004-B2C naranjo</t>
  </si>
  <si>
    <t>SKU 1174383</t>
  </si>
  <si>
    <t>Clavo corriente 4'' acero 1 kg Inchalam</t>
  </si>
  <si>
    <t>SKU 145665</t>
  </si>
  <si>
    <t>Precio Unitario ($)</t>
  </si>
  <si>
    <t>SKU</t>
  </si>
  <si>
    <t>Tabla: Detalle de recurso</t>
  </si>
  <si>
    <t>recurso</t>
  </si>
  <si>
    <t>Estructura de Base de Datos</t>
  </si>
  <si>
    <t>Tabla: Materiales</t>
  </si>
  <si>
    <t>ID</t>
  </si>
  <si>
    <t>Descripción</t>
  </si>
  <si>
    <t>Cantidad</t>
  </si>
  <si>
    <t>Costo Total ($)</t>
  </si>
  <si>
    <t>Material A</t>
  </si>
  <si>
    <t>Material B</t>
  </si>
  <si>
    <t>Tabla: Equipos</t>
  </si>
  <si>
    <t>Retroexcavadora con martillo</t>
  </si>
  <si>
    <t>Camión Tolva</t>
  </si>
  <si>
    <t>Herramientas menores</t>
  </si>
  <si>
    <t>día</t>
  </si>
  <si>
    <t>ID Item</t>
  </si>
  <si>
    <t>Actividad</t>
  </si>
  <si>
    <t>ID Mano de Obra</t>
  </si>
  <si>
    <t>ID Equipos</t>
  </si>
  <si>
    <t>ID Materiales</t>
  </si>
  <si>
    <t>SKU 145666</t>
  </si>
  <si>
    <t>SKU 145667</t>
  </si>
  <si>
    <t>SKU 145668</t>
  </si>
  <si>
    <t>SKU 145669</t>
  </si>
  <si>
    <t>SKU 145670</t>
  </si>
  <si>
    <t>SKU 145671</t>
  </si>
  <si>
    <t>SKU 1456e70</t>
  </si>
  <si>
    <t>SKU 145e667</t>
  </si>
  <si>
    <t>SKU 145667, SKU 1456e70</t>
  </si>
  <si>
    <t>SKU 145666,SKU 145e667</t>
  </si>
  <si>
    <t>SKU 145671,SKU 145670</t>
  </si>
  <si>
    <t>Tabla: Partida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</si>
</sst>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43" formatCode="_ * #,##0.00_ ;_ * \-#,##0.00_ ;_ * &quot;-&quot;??_ ;_ @_ "/>
    <numFmt numFmtId="164" formatCode="_-* #,##0.00_-;\-* #,##0.00_-;_-* &quot;-&quot;??_-;_-@_-"/>
    <numFmt numFmtId="165" formatCode="[$$-340A]\ #,##0"/>
    <numFmt numFmtId="166" formatCode="_(* #,##0.00_);_(* \(#,##0.00\);_(* &quot;-&quot;??_);_(@_)"/>
    <numFmt numFmtId="167" formatCode="_([$€]* #,##0.00_);_([$€]* \(#,##0.00\);_([$€]* &quot;-&quot;??_);_(@_)"/>
    <numFmt numFmtId="168" formatCode="mmmm/yy"/>
    <numFmt numFmtId="169" formatCode="_(* #,##0_);_(* \(#,##0\);_(* &quot;-&quot;_);_(@_)"/>
    <numFmt numFmtId="170" formatCode="0.0"/>
    <numFmt numFmtId="171" formatCode="_-&quot;$&quot;\ * #,##0.00_-;\-&quot;$&quot;\ * #,##0.00_-;_-&quot;$&quot;\ * &quot;-&quot;??_-;_-@_-"/>
    <numFmt numFmtId="172" formatCode="&quot;$&quot;#,##0"/>
    <numFmt numFmtId="173" formatCode="0.0%"/>
    <numFmt numFmtId="174" formatCode="dd/mm/yy;@"/>
    <numFmt numFmtId="175" formatCode="ddd"/>
    <numFmt numFmtId="176" formatCode="_-* #,##0\ _€_-;\-* #,##0\ _€_-;_-* &quot;-&quot;??\ _€_-;_-@_-"/>
    <numFmt numFmtId="177" formatCode="dd/mm/yyyy;@"/>
    <numFmt numFmtId="178" formatCode="#,##0\ &quot;(IVA incluido)&quot;"/>
    <numFmt numFmtId="179" formatCode="[$$-340A]#,##0"/>
    <numFmt numFmtId="180" formatCode="[$$-340A]#,##0.00"/>
    <numFmt numFmtId="181" formatCode="[$-340A]d&quot; de &quot;mmmm&quot; de &quot;yyyy;@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color rgb="FF363636"/>
      <name val="Segoe UI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363636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rgb="FF363636"/>
      <name val="Segoe UI"/>
      <family val="2"/>
    </font>
    <font>
      <b/>
      <sz val="10"/>
      <color rgb="FF000000"/>
      <name val="Calibri"/>
      <family val="2"/>
      <scheme val="minor"/>
    </font>
    <font>
      <sz val="10"/>
      <name val="Verdana"/>
      <family val="2"/>
    </font>
    <font>
      <sz val="12"/>
      <color theme="1"/>
      <name val="Arial"/>
      <family val="2"/>
    </font>
    <font>
      <sz val="10"/>
      <name val="Arial"/>
      <family val="2"/>
      <charset val="204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2"/>
      <name val="Calibri"/>
      <family val="2"/>
      <scheme val="minor"/>
    </font>
    <font>
      <b/>
      <sz val="12"/>
      <color rgb="FF000000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2"/>
      <color rgb="FF000000"/>
      <name val="Arial"/>
      <family val="2"/>
    </font>
    <font>
      <sz val="12"/>
      <color indexed="8"/>
      <name val="Arial"/>
      <family val="2"/>
    </font>
    <font>
      <sz val="10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10"/>
      <name val="Lucida Sans"/>
      <family val="2"/>
    </font>
    <font>
      <b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1BBCC"/>
      </left>
      <right style="thin">
        <color rgb="FFB1BBCC"/>
      </right>
      <top/>
      <bottom style="thin">
        <color rgb="FFB1BBCC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1BBCC"/>
      </right>
      <top/>
      <bottom style="thin">
        <color rgb="FFB1BBCC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indexed="64"/>
      </left>
      <right style="thin">
        <color rgb="FFB1BBCC"/>
      </right>
      <top style="thin">
        <color rgb="FFB1BBCC"/>
      </top>
      <bottom style="thin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indexed="64"/>
      </top>
      <bottom/>
      <diagonal/>
    </border>
    <border>
      <left style="thin">
        <color rgb="FFB1BBCC"/>
      </left>
      <right style="thin">
        <color rgb="FFB1BBCC"/>
      </right>
      <top/>
      <bottom style="thin">
        <color indexed="64"/>
      </bottom>
      <diagonal/>
    </border>
    <border>
      <left style="thin">
        <color indexed="64"/>
      </left>
      <right style="thin">
        <color rgb="FFB1BBCC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</borders>
  <cellStyleXfs count="44">
    <xf numFmtId="0" fontId="0" fillId="0" borderId="0"/>
    <xf numFmtId="0" fontId="2" fillId="0" borderId="0"/>
    <xf numFmtId="0" fontId="2" fillId="0" borderId="0"/>
    <xf numFmtId="0" fontId="1" fillId="0" borderId="0"/>
    <xf numFmtId="164" fontId="1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5" fillId="0" borderId="0"/>
    <xf numFmtId="165" fontId="6" fillId="0" borderId="0"/>
    <xf numFmtId="0" fontId="2" fillId="0" borderId="0"/>
    <xf numFmtId="0" fontId="2" fillId="0" borderId="0"/>
    <xf numFmtId="165" fontId="2" fillId="0" borderId="0"/>
    <xf numFmtId="42" fontId="2" fillId="0" borderId="0" applyFont="0" applyFill="0" applyBorder="0" applyAlignment="0" applyProtection="0"/>
    <xf numFmtId="0" fontId="2" fillId="0" borderId="0"/>
    <xf numFmtId="165" fontId="2" fillId="0" borderId="0"/>
    <xf numFmtId="0" fontId="7" fillId="0" borderId="0"/>
    <xf numFmtId="165" fontId="1" fillId="0" borderId="0"/>
    <xf numFmtId="0" fontId="2" fillId="0" borderId="0"/>
    <xf numFmtId="166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2" fillId="0" borderId="0"/>
    <xf numFmtId="167" fontId="2" fillId="0" borderId="0" applyFont="0" applyFill="0" applyBorder="0" applyAlignment="0" applyProtection="0"/>
    <xf numFmtId="0" fontId="1" fillId="0" borderId="0"/>
    <xf numFmtId="0" fontId="9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1" fillId="0" borderId="0"/>
    <xf numFmtId="17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6" fillId="0" borderId="0"/>
    <xf numFmtId="169" fontId="26" fillId="0" borderId="0" applyFont="0" applyFill="0" applyBorder="0" applyAlignment="0" applyProtection="0"/>
    <xf numFmtId="0" fontId="2" fillId="0" borderId="0"/>
    <xf numFmtId="0" fontId="28" fillId="0" borderId="0"/>
    <xf numFmtId="0" fontId="2" fillId="0" borderId="0"/>
    <xf numFmtId="0" fontId="2" fillId="0" borderId="0"/>
    <xf numFmtId="170" fontId="1" fillId="0" borderId="0" applyFont="0" applyFill="0" applyBorder="0" applyAlignment="0" applyProtection="0"/>
    <xf numFmtId="0" fontId="5" fillId="0" borderId="0"/>
    <xf numFmtId="0" fontId="20" fillId="0" borderId="0"/>
    <xf numFmtId="0" fontId="49" fillId="0" borderId="0"/>
    <xf numFmtId="42" fontId="49" fillId="0" borderId="0" applyFont="0" applyFill="0" applyBorder="0" applyAlignment="0" applyProtection="0"/>
  </cellStyleXfs>
  <cellXfs count="241">
    <xf numFmtId="0" fontId="0" fillId="0" borderId="0" xfId="0"/>
    <xf numFmtId="0" fontId="2" fillId="0" borderId="0" xfId="1" applyAlignment="1">
      <alignment vertical="center"/>
    </xf>
    <xf numFmtId="0" fontId="3" fillId="0" borderId="0" xfId="1" applyFont="1"/>
    <xf numFmtId="0" fontId="2" fillId="0" borderId="0" xfId="1"/>
    <xf numFmtId="0" fontId="3" fillId="0" borderId="0" xfId="1" applyFont="1" applyAlignment="1">
      <alignment vertical="center"/>
    </xf>
    <xf numFmtId="2" fontId="15" fillId="0" borderId="3" xfId="1" applyNumberFormat="1" applyFont="1" applyBorder="1" applyAlignment="1">
      <alignment horizontal="left" vertical="center"/>
    </xf>
    <xf numFmtId="0" fontId="2" fillId="0" borderId="2" xfId="1" applyBorder="1"/>
    <xf numFmtId="2" fontId="15" fillId="0" borderId="4" xfId="1" applyNumberFormat="1" applyFont="1" applyBorder="1" applyAlignment="1" applyProtection="1">
      <alignment horizontal="left" vertical="center"/>
      <protection locked="0"/>
    </xf>
    <xf numFmtId="2" fontId="15" fillId="0" borderId="5" xfId="1" applyNumberFormat="1" applyFont="1" applyBorder="1" applyAlignment="1" applyProtection="1">
      <alignment horizontal="left" vertical="center"/>
      <protection locked="0"/>
    </xf>
    <xf numFmtId="0" fontId="2" fillId="0" borderId="0" xfId="1" applyAlignment="1" applyProtection="1">
      <alignment horizontal="left"/>
      <protection locked="0"/>
    </xf>
    <xf numFmtId="0" fontId="2" fillId="0" borderId="0" xfId="1" applyProtection="1">
      <protection locked="0"/>
    </xf>
    <xf numFmtId="0" fontId="2" fillId="0" borderId="0" xfId="1" applyAlignment="1" applyProtection="1">
      <alignment horizontal="left" vertical="center"/>
      <protection locked="0"/>
    </xf>
    <xf numFmtId="0" fontId="2" fillId="0" borderId="6" xfId="1" applyBorder="1" applyAlignment="1" applyProtection="1">
      <alignment horizontal="left" vertical="center"/>
      <protection locked="0"/>
    </xf>
    <xf numFmtId="0" fontId="2" fillId="4" borderId="2" xfId="1" applyFill="1" applyBorder="1"/>
    <xf numFmtId="0" fontId="17" fillId="4" borderId="2" xfId="1" applyFont="1" applyFill="1" applyBorder="1"/>
    <xf numFmtId="0" fontId="13" fillId="3" borderId="2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2" fillId="5" borderId="0" xfId="1" applyFill="1" applyAlignment="1">
      <alignment vertical="center"/>
    </xf>
    <xf numFmtId="174" fontId="18" fillId="0" borderId="8" xfId="0" applyNumberFormat="1" applyFont="1" applyBorder="1" applyAlignment="1">
      <alignment horizontal="center" vertical="center" textRotation="90"/>
    </xf>
    <xf numFmtId="175" fontId="19" fillId="0" borderId="0" xfId="0" applyNumberFormat="1" applyFont="1" applyAlignment="1">
      <alignment horizontal="center" vertical="center" textRotation="90" wrapText="1"/>
    </xf>
    <xf numFmtId="175" fontId="24" fillId="0" borderId="0" xfId="0" applyNumberFormat="1" applyFont="1" applyAlignment="1">
      <alignment horizontal="left" vertical="center" textRotation="90" wrapText="1"/>
    </xf>
    <xf numFmtId="175" fontId="24" fillId="0" borderId="0" xfId="0" applyNumberFormat="1" applyFont="1" applyAlignment="1">
      <alignment vertical="center" textRotation="90" wrapText="1"/>
    </xf>
    <xf numFmtId="175" fontId="2" fillId="0" borderId="0" xfId="1" applyNumberFormat="1" applyAlignment="1">
      <alignment vertical="center" textRotation="90"/>
    </xf>
    <xf numFmtId="0" fontId="8" fillId="0" borderId="0" xfId="1" applyFont="1"/>
    <xf numFmtId="0" fontId="27" fillId="0" borderId="0" xfId="0" applyFont="1"/>
    <xf numFmtId="0" fontId="1" fillId="0" borderId="0" xfId="3"/>
    <xf numFmtId="0" fontId="30" fillId="0" borderId="2" xfId="3" applyFont="1" applyBorder="1" applyAlignment="1">
      <alignment horizontal="center" vertical="center"/>
    </xf>
    <xf numFmtId="170" fontId="30" fillId="0" borderId="2" xfId="4" applyNumberFormat="1" applyFont="1" applyFill="1" applyBorder="1" applyAlignment="1" applyProtection="1">
      <alignment horizontal="center" vertical="center"/>
    </xf>
    <xf numFmtId="176" fontId="30" fillId="0" borderId="2" xfId="4" applyNumberFormat="1" applyFont="1" applyFill="1" applyBorder="1" applyAlignment="1" applyProtection="1">
      <alignment horizontal="center" vertical="center"/>
    </xf>
    <xf numFmtId="42" fontId="32" fillId="0" borderId="2" xfId="11" applyFont="1" applyFill="1" applyBorder="1" applyAlignment="1" applyProtection="1">
      <alignment horizontal="center" vertical="center"/>
    </xf>
    <xf numFmtId="170" fontId="30" fillId="0" borderId="2" xfId="4" applyNumberFormat="1" applyFont="1" applyFill="1" applyBorder="1" applyAlignment="1" applyProtection="1">
      <alignment horizontal="center" vertical="center" wrapText="1"/>
    </xf>
    <xf numFmtId="0" fontId="35" fillId="0" borderId="0" xfId="8" applyFont="1" applyAlignment="1">
      <alignment vertical="center"/>
    </xf>
    <xf numFmtId="0" fontId="35" fillId="0" borderId="0" xfId="35" applyFont="1" applyAlignment="1">
      <alignment vertical="center"/>
    </xf>
    <xf numFmtId="0" fontId="34" fillId="0" borderId="0" xfId="3" applyFont="1" applyAlignment="1">
      <alignment horizontal="center" vertical="center"/>
    </xf>
    <xf numFmtId="0" fontId="34" fillId="0" borderId="0" xfId="3" applyFont="1" applyAlignment="1">
      <alignment horizontal="left" vertical="center"/>
    </xf>
    <xf numFmtId="0" fontId="5" fillId="0" borderId="0" xfId="3" applyFont="1"/>
    <xf numFmtId="0" fontId="35" fillId="0" borderId="0" xfId="8" applyFont="1"/>
    <xf numFmtId="170" fontId="1" fillId="0" borderId="0" xfId="3" applyNumberFormat="1"/>
    <xf numFmtId="0" fontId="1" fillId="0" borderId="0" xfId="3" applyAlignment="1">
      <alignment horizontal="center"/>
    </xf>
    <xf numFmtId="0" fontId="4" fillId="2" borderId="1" xfId="0" applyFont="1" applyFill="1" applyBorder="1" applyAlignment="1">
      <alignment wrapText="1"/>
    </xf>
    <xf numFmtId="0" fontId="11" fillId="7" borderId="1" xfId="0" applyFont="1" applyFill="1" applyBorder="1" applyAlignment="1">
      <alignment horizontal="center" wrapText="1"/>
    </xf>
    <xf numFmtId="0" fontId="11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11" fillId="3" borderId="1" xfId="0" applyFont="1" applyFill="1" applyBorder="1" applyAlignment="1">
      <alignment wrapText="1"/>
    </xf>
    <xf numFmtId="0" fontId="11" fillId="7" borderId="1" xfId="0" applyFont="1" applyFill="1" applyBorder="1" applyAlignment="1">
      <alignment wrapText="1"/>
    </xf>
    <xf numFmtId="0" fontId="10" fillId="3" borderId="1" xfId="0" applyFont="1" applyFill="1" applyBorder="1" applyAlignment="1">
      <alignment wrapText="1"/>
    </xf>
    <xf numFmtId="0" fontId="20" fillId="3" borderId="1" xfId="0" applyFont="1" applyFill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 applyAlignment="1">
      <alignment horizontal="center" wrapText="1"/>
    </xf>
    <xf numFmtId="0" fontId="11" fillId="0" borderId="1" xfId="0" applyFont="1" applyBorder="1" applyAlignment="1">
      <alignment horizontal="left" wrapText="1"/>
    </xf>
    <xf numFmtId="0" fontId="14" fillId="3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left" vertical="center" textRotation="90" wrapText="1"/>
    </xf>
    <xf numFmtId="0" fontId="14" fillId="0" borderId="2" xfId="0" applyFont="1" applyBorder="1" applyAlignment="1">
      <alignment vertical="center"/>
    </xf>
    <xf numFmtId="0" fontId="17" fillId="0" borderId="2" xfId="1" applyFont="1" applyBorder="1"/>
    <xf numFmtId="170" fontId="16" fillId="0" borderId="2" xfId="12" applyNumberFormat="1" applyFont="1" applyBorder="1" applyAlignment="1">
      <alignment horizontal="center"/>
    </xf>
    <xf numFmtId="170" fontId="22" fillId="0" borderId="2" xfId="12" applyNumberFormat="1" applyFont="1" applyBorder="1" applyAlignment="1">
      <alignment horizontal="center"/>
    </xf>
    <xf numFmtId="0" fontId="12" fillId="0" borderId="0" xfId="12" applyFont="1"/>
    <xf numFmtId="170" fontId="3" fillId="0" borderId="2" xfId="1" applyNumberFormat="1" applyFont="1" applyBorder="1"/>
    <xf numFmtId="170" fontId="23" fillId="0" borderId="2" xfId="1" applyNumberFormat="1" applyFont="1" applyBorder="1"/>
    <xf numFmtId="1" fontId="3" fillId="0" borderId="2" xfId="1" applyNumberFormat="1" applyFont="1" applyBorder="1"/>
    <xf numFmtId="1" fontId="23" fillId="0" borderId="2" xfId="1" applyNumberFormat="1" applyFont="1" applyBorder="1"/>
    <xf numFmtId="0" fontId="13" fillId="0" borderId="2" xfId="0" applyFont="1" applyBorder="1" applyAlignment="1">
      <alignment vertical="center" wrapText="1"/>
    </xf>
    <xf numFmtId="3" fontId="8" fillId="0" borderId="0" xfId="1" applyNumberFormat="1" applyFont="1"/>
    <xf numFmtId="175" fontId="24" fillId="0" borderId="0" xfId="0" applyNumberFormat="1" applyFont="1" applyAlignment="1">
      <alignment vertical="center" textRotation="90"/>
    </xf>
    <xf numFmtId="0" fontId="4" fillId="2" borderId="1" xfId="0" applyFont="1" applyFill="1" applyBorder="1" applyAlignment="1">
      <alignment vertical="center"/>
    </xf>
    <xf numFmtId="0" fontId="34" fillId="0" borderId="0" xfId="3" applyFont="1" applyAlignment="1">
      <alignment horizontal="right" vertical="center"/>
    </xf>
    <xf numFmtId="172" fontId="34" fillId="0" borderId="0" xfId="1" applyNumberFormat="1" applyFont="1" applyAlignment="1">
      <alignment horizontal="left"/>
    </xf>
    <xf numFmtId="173" fontId="27" fillId="4" borderId="0" xfId="32" applyNumberFormat="1" applyFont="1" applyFill="1" applyBorder="1" applyAlignment="1">
      <alignment horizontal="left" vertical="center"/>
    </xf>
    <xf numFmtId="173" fontId="27" fillId="0" borderId="0" xfId="32" applyNumberFormat="1" applyFont="1" applyFill="1" applyBorder="1" applyAlignment="1">
      <alignment horizontal="left"/>
    </xf>
    <xf numFmtId="172" fontId="34" fillId="0" borderId="2" xfId="9" applyNumberFormat="1" applyFont="1" applyBorder="1" applyAlignment="1">
      <alignment horizontal="right" vertical="center"/>
    </xf>
    <xf numFmtId="0" fontId="34" fillId="0" borderId="2" xfId="15" applyNumberFormat="1" applyFont="1" applyBorder="1" applyAlignment="1">
      <alignment horizontal="center" vertical="center"/>
    </xf>
    <xf numFmtId="0" fontId="34" fillId="0" borderId="2" xfId="15" applyNumberFormat="1" applyFont="1" applyBorder="1" applyAlignment="1">
      <alignment horizontal="center"/>
    </xf>
    <xf numFmtId="2" fontId="34" fillId="0" borderId="2" xfId="35" applyNumberFormat="1" applyFont="1" applyBorder="1" applyAlignment="1">
      <alignment horizontal="center" vertical="center"/>
    </xf>
    <xf numFmtId="172" fontId="30" fillId="0" borderId="2" xfId="9" applyNumberFormat="1" applyFont="1" applyBorder="1" applyAlignment="1">
      <alignment horizontal="right" vertical="center"/>
    </xf>
    <xf numFmtId="4" fontId="34" fillId="0" borderId="2" xfId="12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33" fillId="0" borderId="2" xfId="0" applyFont="1" applyBorder="1"/>
    <xf numFmtId="0" fontId="37" fillId="0" borderId="2" xfId="36" applyFont="1" applyBorder="1" applyAlignment="1">
      <alignment horizontal="center" vertical="center"/>
    </xf>
    <xf numFmtId="2" fontId="30" fillId="0" borderId="2" xfId="36" applyNumberFormat="1" applyFont="1" applyBorder="1" applyAlignment="1">
      <alignment horizontal="center" vertical="center"/>
    </xf>
    <xf numFmtId="3" fontId="30" fillId="0" borderId="2" xfId="9" applyNumberFormat="1" applyFont="1" applyBorder="1" applyAlignment="1">
      <alignment horizontal="right" vertical="center"/>
    </xf>
    <xf numFmtId="3" fontId="34" fillId="0" borderId="2" xfId="0" applyNumberFormat="1" applyFont="1" applyBorder="1"/>
    <xf numFmtId="0" fontId="33" fillId="0" borderId="2" xfId="0" applyFont="1" applyBorder="1" applyAlignment="1">
      <alignment horizontal="center"/>
    </xf>
    <xf numFmtId="172" fontId="34" fillId="0" borderId="2" xfId="0" applyNumberFormat="1" applyFont="1" applyBorder="1"/>
    <xf numFmtId="0" fontId="38" fillId="0" borderId="2" xfId="0" applyFont="1" applyBorder="1" applyAlignment="1">
      <alignment horizontal="center"/>
    </xf>
    <xf numFmtId="0" fontId="38" fillId="0" borderId="2" xfId="0" applyFont="1" applyBorder="1"/>
    <xf numFmtId="0" fontId="39" fillId="0" borderId="2" xfId="36" applyFont="1" applyBorder="1" applyAlignment="1">
      <alignment horizontal="center" vertical="center"/>
    </xf>
    <xf numFmtId="2" fontId="34" fillId="0" borderId="2" xfId="36" applyNumberFormat="1" applyFont="1" applyBorder="1" applyAlignment="1">
      <alignment horizontal="center" vertical="center"/>
    </xf>
    <xf numFmtId="0" fontId="40" fillId="0" borderId="4" xfId="1" applyFont="1" applyBorder="1" applyAlignment="1">
      <alignment horizontal="left" vertical="center" textRotation="90"/>
    </xf>
    <xf numFmtId="14" fontId="40" fillId="0" borderId="4" xfId="1" applyNumberFormat="1" applyFont="1" applyBorder="1" applyAlignment="1">
      <alignment horizontal="left" vertical="center" textRotation="90"/>
    </xf>
    <xf numFmtId="0" fontId="0" fillId="0" borderId="0" xfId="0" applyAlignment="1">
      <alignment wrapText="1"/>
    </xf>
    <xf numFmtId="0" fontId="27" fillId="0" borderId="0" xfId="0" applyFont="1" applyAlignment="1">
      <alignment wrapText="1"/>
    </xf>
    <xf numFmtId="177" fontId="27" fillId="0" borderId="0" xfId="30" applyNumberFormat="1" applyFont="1" applyAlignment="1">
      <alignment horizontal="left"/>
    </xf>
    <xf numFmtId="0" fontId="4" fillId="6" borderId="1" xfId="0" applyFont="1" applyFill="1" applyBorder="1" applyAlignment="1">
      <alignment horizontal="left" vertical="center" textRotation="90" wrapText="1"/>
    </xf>
    <xf numFmtId="172" fontId="11" fillId="0" borderId="1" xfId="0" applyNumberFormat="1" applyFont="1" applyBorder="1" applyAlignment="1">
      <alignment horizontal="center" wrapText="1"/>
    </xf>
    <xf numFmtId="172" fontId="11" fillId="7" borderId="1" xfId="0" applyNumberFormat="1" applyFont="1" applyFill="1" applyBorder="1" applyAlignment="1">
      <alignment horizontal="center" wrapText="1"/>
    </xf>
    <xf numFmtId="172" fontId="11" fillId="3" borderId="1" xfId="0" applyNumberFormat="1" applyFont="1" applyFill="1" applyBorder="1" applyAlignment="1">
      <alignment horizontal="center" wrapText="1"/>
    </xf>
    <xf numFmtId="172" fontId="10" fillId="3" borderId="1" xfId="0" applyNumberFormat="1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7" borderId="1" xfId="0" applyFill="1" applyBorder="1" applyAlignment="1">
      <alignment horizontal="left" wrapText="1"/>
    </xf>
    <xf numFmtId="0" fontId="25" fillId="3" borderId="1" xfId="0" applyFont="1" applyFill="1" applyBorder="1" applyAlignment="1">
      <alignment horizontal="left" wrapText="1"/>
    </xf>
    <xf numFmtId="0" fontId="20" fillId="3" borderId="1" xfId="0" applyFont="1" applyFill="1" applyBorder="1" applyAlignment="1">
      <alignment horizontal="left" wrapText="1"/>
    </xf>
    <xf numFmtId="0" fontId="0" fillId="3" borderId="1" xfId="0" applyFill="1" applyBorder="1" applyAlignment="1">
      <alignment horizontal="left" wrapText="1"/>
    </xf>
    <xf numFmtId="0" fontId="41" fillId="0" borderId="0" xfId="37" applyFont="1" applyAlignment="1">
      <alignment horizontal="left"/>
    </xf>
    <xf numFmtId="0" fontId="35" fillId="0" borderId="0" xfId="37" applyFont="1" applyAlignment="1">
      <alignment horizontal="right" vertical="top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 vertical="top"/>
    </xf>
    <xf numFmtId="0" fontId="41" fillId="0" borderId="0" xfId="37" applyFont="1"/>
    <xf numFmtId="0" fontId="35" fillId="0" borderId="0" xfId="37" applyFont="1" applyAlignment="1">
      <alignment horizontal="left"/>
    </xf>
    <xf numFmtId="0" fontId="42" fillId="0" borderId="0" xfId="37" applyFont="1" applyAlignment="1">
      <alignment horizontal="center"/>
    </xf>
    <xf numFmtId="0" fontId="42" fillId="0" borderId="0" xfId="37" applyFont="1" applyAlignment="1">
      <alignment horizontal="right"/>
    </xf>
    <xf numFmtId="0" fontId="41" fillId="0" borderId="0" xfId="37" applyFont="1" applyAlignment="1">
      <alignment horizontal="right"/>
    </xf>
    <xf numFmtId="0" fontId="5" fillId="0" borderId="0" xfId="0" applyFont="1"/>
    <xf numFmtId="0" fontId="42" fillId="8" borderId="2" xfId="37" applyFont="1" applyFill="1" applyBorder="1" applyAlignment="1">
      <alignment horizontal="left"/>
    </xf>
    <xf numFmtId="0" fontId="42" fillId="8" borderId="2" xfId="37" applyFont="1" applyFill="1" applyBorder="1" applyAlignment="1">
      <alignment horizontal="center"/>
    </xf>
    <xf numFmtId="0" fontId="41" fillId="0" borderId="2" xfId="37" applyFont="1" applyBorder="1" applyAlignment="1">
      <alignment horizontal="left"/>
    </xf>
    <xf numFmtId="0" fontId="35" fillId="0" borderId="2" xfId="37" applyFont="1" applyBorder="1" applyAlignment="1">
      <alignment horizontal="center"/>
    </xf>
    <xf numFmtId="2" fontId="35" fillId="0" borderId="2" xfId="37" applyNumberFormat="1" applyFont="1" applyBorder="1"/>
    <xf numFmtId="179" fontId="35" fillId="0" borderId="2" xfId="37" applyNumberFormat="1" applyFont="1" applyBorder="1"/>
    <xf numFmtId="20" fontId="42" fillId="0" borderId="2" xfId="37" applyNumberFormat="1" applyFont="1" applyBorder="1" applyAlignment="1">
      <alignment horizontal="center"/>
    </xf>
    <xf numFmtId="0" fontId="35" fillId="0" borderId="2" xfId="37" applyFont="1" applyBorder="1" applyAlignment="1">
      <alignment horizontal="left"/>
    </xf>
    <xf numFmtId="9" fontId="35" fillId="0" borderId="2" xfId="37" applyNumberFormat="1" applyFont="1" applyBorder="1" applyAlignment="1">
      <alignment horizontal="center"/>
    </xf>
    <xf numFmtId="4" fontId="35" fillId="0" borderId="2" xfId="37" applyNumberFormat="1" applyFont="1" applyBorder="1"/>
    <xf numFmtId="179" fontId="35" fillId="0" borderId="2" xfId="37" applyNumberFormat="1" applyFont="1" applyBorder="1" applyAlignment="1">
      <alignment horizontal="right"/>
    </xf>
    <xf numFmtId="180" fontId="42" fillId="0" borderId="0" xfId="37" applyNumberFormat="1" applyFont="1" applyAlignment="1">
      <alignment horizontal="right" indent="1"/>
    </xf>
    <xf numFmtId="180" fontId="41" fillId="0" borderId="0" xfId="37" applyNumberFormat="1" applyFont="1" applyAlignment="1">
      <alignment horizontal="right"/>
    </xf>
    <xf numFmtId="0" fontId="41" fillId="0" borderId="0" xfId="37" applyFont="1" applyAlignment="1">
      <alignment horizontal="center"/>
    </xf>
    <xf numFmtId="180" fontId="41" fillId="0" borderId="0" xfId="37" applyNumberFormat="1" applyFont="1" applyAlignment="1">
      <alignment horizontal="right" indent="1"/>
    </xf>
    <xf numFmtId="0" fontId="35" fillId="0" borderId="2" xfId="38" applyFont="1" applyBorder="1" applyAlignment="1">
      <alignment horizontal="left"/>
    </xf>
    <xf numFmtId="0" fontId="35" fillId="0" borderId="2" xfId="38" applyFont="1" applyBorder="1" applyAlignment="1">
      <alignment horizontal="center"/>
    </xf>
    <xf numFmtId="2" fontId="35" fillId="0" borderId="2" xfId="38" applyNumberFormat="1" applyFont="1" applyBorder="1"/>
    <xf numFmtId="179" fontId="35" fillId="0" borderId="2" xfId="38" applyNumberFormat="1" applyFont="1" applyBorder="1"/>
    <xf numFmtId="0" fontId="35" fillId="0" borderId="2" xfId="37" applyFont="1" applyBorder="1"/>
    <xf numFmtId="0" fontId="35" fillId="0" borderId="0" xfId="37" applyFont="1" applyAlignment="1">
      <alignment horizontal="center"/>
    </xf>
    <xf numFmtId="0" fontId="35" fillId="0" borderId="0" xfId="37" applyFont="1" applyAlignment="1">
      <alignment horizontal="right"/>
    </xf>
    <xf numFmtId="180" fontId="35" fillId="0" borderId="0" xfId="37" applyNumberFormat="1" applyFont="1" applyAlignment="1">
      <alignment horizontal="right" indent="1"/>
    </xf>
    <xf numFmtId="180" fontId="35" fillId="0" borderId="0" xfId="37" applyNumberFormat="1" applyFont="1" applyAlignment="1">
      <alignment horizontal="right"/>
    </xf>
    <xf numFmtId="0" fontId="5" fillId="0" borderId="12" xfId="0" applyFont="1" applyBorder="1" applyAlignment="1">
      <alignment horizontal="left"/>
    </xf>
    <xf numFmtId="10" fontId="35" fillId="0" borderId="12" xfId="37" applyNumberFormat="1" applyFont="1" applyBorder="1" applyAlignment="1">
      <alignment horizontal="left"/>
    </xf>
    <xf numFmtId="10" fontId="35" fillId="0" borderId="6" xfId="37" applyNumberFormat="1" applyFont="1" applyBorder="1" applyAlignment="1">
      <alignment horizontal="left"/>
    </xf>
    <xf numFmtId="0" fontId="5" fillId="0" borderId="0" xfId="37" applyFont="1"/>
    <xf numFmtId="0" fontId="43" fillId="0" borderId="0" xfId="37" applyFont="1" applyAlignment="1">
      <alignment horizontal="left"/>
    </xf>
    <xf numFmtId="2" fontId="5" fillId="0" borderId="0" xfId="37" applyNumberFormat="1" applyFont="1" applyAlignment="1">
      <alignment horizontal="center"/>
    </xf>
    <xf numFmtId="4" fontId="5" fillId="0" borderId="0" xfId="39" applyNumberFormat="1" applyFont="1" applyAlignment="1">
      <alignment horizontal="right"/>
    </xf>
    <xf numFmtId="0" fontId="42" fillId="0" borderId="0" xfId="37" applyFont="1" applyAlignment="1">
      <alignment horizontal="left" vertical="center"/>
    </xf>
    <xf numFmtId="0" fontId="42" fillId="0" borderId="0" xfId="37" applyFont="1" applyAlignment="1">
      <alignment horizontal="center" vertical="center"/>
    </xf>
    <xf numFmtId="0" fontId="42" fillId="0" borderId="0" xfId="37" applyFont="1" applyAlignment="1">
      <alignment horizontal="right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179" fontId="35" fillId="0" borderId="12" xfId="37" applyNumberFormat="1" applyFont="1" applyBorder="1"/>
    <xf numFmtId="2" fontId="35" fillId="0" borderId="12" xfId="37" applyNumberFormat="1" applyFont="1" applyBorder="1"/>
    <xf numFmtId="0" fontId="35" fillId="0" borderId="13" xfId="37" applyFont="1" applyBorder="1" applyAlignment="1">
      <alignment horizontal="center"/>
    </xf>
    <xf numFmtId="2" fontId="35" fillId="0" borderId="13" xfId="37" applyNumberFormat="1" applyFont="1" applyBorder="1"/>
    <xf numFmtId="179" fontId="35" fillId="0" borderId="13" xfId="37" applyNumberFormat="1" applyFont="1" applyBorder="1"/>
    <xf numFmtId="0" fontId="35" fillId="0" borderId="10" xfId="37" applyFont="1" applyBorder="1" applyAlignment="1">
      <alignment horizontal="left"/>
    </xf>
    <xf numFmtId="0" fontId="5" fillId="0" borderId="11" xfId="0" applyFont="1" applyBorder="1" applyAlignment="1">
      <alignment horizontal="right"/>
    </xf>
    <xf numFmtId="2" fontId="35" fillId="0" borderId="11" xfId="37" applyNumberFormat="1" applyFont="1" applyBorder="1"/>
    <xf numFmtId="9" fontId="35" fillId="0" borderId="12" xfId="37" applyNumberFormat="1" applyFont="1" applyBorder="1" applyAlignment="1">
      <alignment horizontal="left"/>
    </xf>
    <xf numFmtId="0" fontId="5" fillId="8" borderId="12" xfId="0" applyFont="1" applyFill="1" applyBorder="1" applyAlignment="1">
      <alignment horizontal="left"/>
    </xf>
    <xf numFmtId="179" fontId="42" fillId="8" borderId="2" xfId="37" applyNumberFormat="1" applyFont="1" applyFill="1" applyBorder="1" applyAlignment="1">
      <alignment horizontal="right"/>
    </xf>
    <xf numFmtId="14" fontId="31" fillId="0" borderId="0" xfId="30" applyNumberFormat="1" applyFont="1" applyAlignment="1" applyProtection="1">
      <alignment horizontal="left"/>
      <protection locked="0"/>
    </xf>
    <xf numFmtId="0" fontId="0" fillId="0" borderId="2" xfId="0" applyBorder="1"/>
    <xf numFmtId="0" fontId="4" fillId="2" borderId="1" xfId="0" applyFont="1" applyFill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 wrapText="1"/>
    </xf>
    <xf numFmtId="0" fontId="13" fillId="3" borderId="2" xfId="0" applyFont="1" applyFill="1" applyBorder="1" applyAlignment="1">
      <alignment horizontal="left" vertical="center" wrapText="1"/>
    </xf>
    <xf numFmtId="0" fontId="2" fillId="0" borderId="2" xfId="1" applyBorder="1" applyAlignment="1">
      <alignment horizontal="left"/>
    </xf>
    <xf numFmtId="174" fontId="18" fillId="6" borderId="8" xfId="0" applyNumberFormat="1" applyFont="1" applyFill="1" applyBorder="1" applyAlignment="1">
      <alignment horizontal="center" vertical="center" textRotation="90"/>
    </xf>
    <xf numFmtId="0" fontId="24" fillId="0" borderId="0" xfId="0" applyFont="1" applyAlignment="1">
      <alignment horizontal="left" vertical="center" textRotation="90" wrapText="1"/>
    </xf>
    <xf numFmtId="0" fontId="21" fillId="2" borderId="2" xfId="0" applyFont="1" applyFill="1" applyBorder="1" applyAlignment="1">
      <alignment vertical="center" wrapText="1"/>
    </xf>
    <xf numFmtId="0" fontId="14" fillId="0" borderId="2" xfId="0" applyFont="1" applyBorder="1" applyAlignment="1">
      <alignment vertical="center" wrapText="1"/>
    </xf>
    <xf numFmtId="1" fontId="44" fillId="0" borderId="2" xfId="1" applyNumberFormat="1" applyFont="1" applyBorder="1"/>
    <xf numFmtId="0" fontId="13" fillId="3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0" fontId="45" fillId="0" borderId="0" xfId="1" applyFont="1"/>
    <xf numFmtId="14" fontId="13" fillId="3" borderId="1" xfId="0" applyNumberFormat="1" applyFont="1" applyFill="1" applyBorder="1" applyAlignment="1">
      <alignment vertical="center" wrapText="1"/>
    </xf>
    <xf numFmtId="14" fontId="14" fillId="3" borderId="1" xfId="0" applyNumberFormat="1" applyFont="1" applyFill="1" applyBorder="1" applyAlignment="1">
      <alignment vertical="center" wrapText="1"/>
    </xf>
    <xf numFmtId="0" fontId="30" fillId="0" borderId="2" xfId="3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14" fontId="14" fillId="0" borderId="1" xfId="0" applyNumberFormat="1" applyFont="1" applyBorder="1" applyAlignment="1">
      <alignment vertical="center" wrapText="1"/>
    </xf>
    <xf numFmtId="0" fontId="13" fillId="0" borderId="2" xfId="0" applyFont="1" applyBorder="1"/>
    <xf numFmtId="0" fontId="14" fillId="0" borderId="2" xfId="0" applyFont="1" applyBorder="1"/>
    <xf numFmtId="0" fontId="29" fillId="0" borderId="0" xfId="6" applyFont="1" applyAlignment="1">
      <alignment vertical="center"/>
    </xf>
    <xf numFmtId="0" fontId="27" fillId="0" borderId="2" xfId="0" applyFont="1" applyFill="1" applyBorder="1" applyAlignment="1">
      <alignment horizontal="left" vertical="center" wrapText="1"/>
    </xf>
    <xf numFmtId="3" fontId="27" fillId="0" borderId="2" xfId="0" applyNumberFormat="1" applyFont="1" applyFill="1" applyBorder="1" applyAlignment="1">
      <alignment horizontal="left" vertical="center" wrapText="1"/>
    </xf>
    <xf numFmtId="168" fontId="27" fillId="0" borderId="2" xfId="0" applyNumberFormat="1" applyFont="1" applyFill="1" applyBorder="1" applyAlignment="1">
      <alignment horizontal="left" vertical="center" wrapText="1"/>
    </xf>
    <xf numFmtId="178" fontId="27" fillId="0" borderId="2" xfId="0" applyNumberFormat="1" applyFont="1" applyFill="1" applyBorder="1" applyAlignment="1">
      <alignment horizontal="left" vertical="center" wrapText="1"/>
    </xf>
    <xf numFmtId="0" fontId="31" fillId="0" borderId="2" xfId="0" applyFont="1" applyFill="1" applyBorder="1" applyAlignment="1">
      <alignment horizontal="left" vertical="center" wrapText="1"/>
    </xf>
    <xf numFmtId="181" fontId="27" fillId="0" borderId="2" xfId="0" applyNumberFormat="1" applyFont="1" applyFill="1" applyBorder="1" applyAlignment="1">
      <alignment horizontal="left" vertical="center" wrapText="1"/>
    </xf>
    <xf numFmtId="175" fontId="19" fillId="0" borderId="17" xfId="0" applyNumberFormat="1" applyFont="1" applyBorder="1" applyAlignment="1">
      <alignment horizontal="center" vertical="center" textRotation="90" wrapText="1"/>
    </xf>
    <xf numFmtId="175" fontId="19" fillId="0" borderId="18" xfId="0" applyNumberFormat="1" applyFont="1" applyBorder="1" applyAlignment="1">
      <alignment horizontal="center" vertical="center" textRotation="90" wrapText="1"/>
    </xf>
    <xf numFmtId="174" fontId="18" fillId="0" borderId="20" xfId="0" applyNumberFormat="1" applyFont="1" applyBorder="1" applyAlignment="1">
      <alignment horizontal="center" vertical="center" textRotation="90"/>
    </xf>
    <xf numFmtId="0" fontId="13" fillId="3" borderId="21" xfId="0" applyFont="1" applyFill="1" applyBorder="1" applyAlignment="1">
      <alignment horizontal="left" vertical="center" wrapText="1"/>
    </xf>
    <xf numFmtId="0" fontId="2" fillId="0" borderId="0" xfId="1" applyBorder="1" applyAlignment="1">
      <alignment vertical="center"/>
    </xf>
    <xf numFmtId="0" fontId="3" fillId="0" borderId="0" xfId="1" applyFont="1" applyBorder="1" applyAlignment="1">
      <alignment vertical="center"/>
    </xf>
    <xf numFmtId="0" fontId="3" fillId="0" borderId="6" xfId="1" applyFont="1" applyBorder="1" applyAlignment="1">
      <alignment vertical="center"/>
    </xf>
    <xf numFmtId="0" fontId="14" fillId="3" borderId="21" xfId="0" applyFont="1" applyFill="1" applyBorder="1" applyAlignment="1">
      <alignment horizontal="left" vertical="center" wrapText="1"/>
    </xf>
    <xf numFmtId="0" fontId="14" fillId="0" borderId="21" xfId="0" applyFont="1" applyBorder="1" applyAlignment="1">
      <alignment horizontal="left" vertical="center" wrapText="1"/>
    </xf>
    <xf numFmtId="0" fontId="14" fillId="3" borderId="22" xfId="0" applyFont="1" applyFill="1" applyBorder="1" applyAlignment="1">
      <alignment horizontal="left" vertical="center" wrapText="1"/>
    </xf>
    <xf numFmtId="0" fontId="14" fillId="3" borderId="23" xfId="0" applyFont="1" applyFill="1" applyBorder="1" applyAlignment="1">
      <alignment vertical="center" wrapText="1"/>
    </xf>
    <xf numFmtId="14" fontId="14" fillId="3" borderId="23" xfId="0" applyNumberFormat="1" applyFont="1" applyFill="1" applyBorder="1" applyAlignment="1">
      <alignment vertical="center" wrapText="1"/>
    </xf>
    <xf numFmtId="0" fontId="2" fillId="0" borderId="9" xfId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6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6" fontId="0" fillId="0" borderId="2" xfId="0" applyNumberFormat="1" applyBorder="1" applyAlignment="1">
      <alignment vertical="center" wrapText="1"/>
    </xf>
    <xf numFmtId="0" fontId="46" fillId="0" borderId="27" xfId="0" applyFont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left" vertical="center" wrapText="1"/>
    </xf>
    <xf numFmtId="0" fontId="36" fillId="0" borderId="2" xfId="0" applyFont="1" applyFill="1" applyBorder="1" applyAlignment="1">
      <alignment horizontal="left" vertical="center" wrapText="1"/>
    </xf>
    <xf numFmtId="0" fontId="29" fillId="0" borderId="0" xfId="6" applyFont="1" applyAlignment="1">
      <alignment horizontal="center" vertical="center"/>
    </xf>
    <xf numFmtId="0" fontId="13" fillId="3" borderId="26" xfId="0" applyFont="1" applyFill="1" applyBorder="1" applyAlignment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/>
    </xf>
    <xf numFmtId="0" fontId="13" fillId="3" borderId="25" xfId="0" applyFont="1" applyFill="1" applyBorder="1" applyAlignment="1">
      <alignment horizontal="center" vertical="center"/>
    </xf>
    <xf numFmtId="0" fontId="35" fillId="0" borderId="10" xfId="37" applyFont="1" applyBorder="1" applyAlignment="1">
      <alignment horizontal="right"/>
    </xf>
    <xf numFmtId="0" fontId="35" fillId="0" borderId="11" xfId="37" applyFont="1" applyBorder="1" applyAlignment="1">
      <alignment horizontal="right"/>
    </xf>
    <xf numFmtId="0" fontId="35" fillId="0" borderId="7" xfId="37" applyFont="1" applyBorder="1" applyAlignment="1">
      <alignment horizontal="right"/>
    </xf>
    <xf numFmtId="0" fontId="35" fillId="0" borderId="0" xfId="37" applyFont="1" applyAlignment="1">
      <alignment horizontal="right"/>
    </xf>
    <xf numFmtId="0" fontId="42" fillId="8" borderId="10" xfId="37" applyFont="1" applyFill="1" applyBorder="1" applyAlignment="1">
      <alignment horizontal="right"/>
    </xf>
    <xf numFmtId="0" fontId="42" fillId="8" borderId="11" xfId="37" applyFont="1" applyFill="1" applyBorder="1" applyAlignment="1">
      <alignment horizontal="right"/>
    </xf>
    <xf numFmtId="179" fontId="35" fillId="0" borderId="10" xfId="37" applyNumberFormat="1" applyFont="1" applyBorder="1" applyAlignment="1">
      <alignment horizontal="left"/>
    </xf>
    <xf numFmtId="179" fontId="35" fillId="0" borderId="11" xfId="37" applyNumberFormat="1" applyFont="1" applyBorder="1" applyAlignment="1">
      <alignment horizontal="left"/>
    </xf>
    <xf numFmtId="179" fontId="35" fillId="0" borderId="12" xfId="37" applyNumberFormat="1" applyFont="1" applyBorder="1" applyAlignment="1">
      <alignment horizontal="left"/>
    </xf>
    <xf numFmtId="179" fontId="35" fillId="0" borderId="14" xfId="37" applyNumberFormat="1" applyFont="1" applyBorder="1" applyAlignment="1">
      <alignment horizontal="left"/>
    </xf>
    <xf numFmtId="179" fontId="35" fillId="0" borderId="9" xfId="37" applyNumberFormat="1" applyFont="1" applyBorder="1" applyAlignment="1">
      <alignment horizontal="left"/>
    </xf>
    <xf numFmtId="179" fontId="35" fillId="0" borderId="15" xfId="37" applyNumberFormat="1" applyFont="1" applyBorder="1" applyAlignment="1">
      <alignment horizontal="left"/>
    </xf>
    <xf numFmtId="20" fontId="42" fillId="0" borderId="10" xfId="37" applyNumberFormat="1" applyFont="1" applyBorder="1" applyAlignment="1">
      <alignment horizontal="left"/>
    </xf>
    <xf numFmtId="20" fontId="42" fillId="0" borderId="11" xfId="37" applyNumberFormat="1" applyFont="1" applyBorder="1" applyAlignment="1">
      <alignment horizontal="left"/>
    </xf>
    <xf numFmtId="20" fontId="42" fillId="0" borderId="12" xfId="37" applyNumberFormat="1" applyFont="1" applyBorder="1" applyAlignment="1">
      <alignment horizontal="left"/>
    </xf>
    <xf numFmtId="0" fontId="35" fillId="0" borderId="0" xfId="37" applyFont="1" applyAlignment="1">
      <alignment vertical="top" wrapText="1"/>
    </xf>
    <xf numFmtId="0" fontId="35" fillId="0" borderId="0" xfId="37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42" fillId="8" borderId="10" xfId="37" applyFont="1" applyFill="1" applyBorder="1" applyAlignment="1">
      <alignment horizontal="center"/>
    </xf>
    <xf numFmtId="0" fontId="42" fillId="8" borderId="11" xfId="37" applyFont="1" applyFill="1" applyBorder="1" applyAlignment="1">
      <alignment horizontal="center"/>
    </xf>
    <xf numFmtId="0" fontId="42" fillId="8" borderId="12" xfId="37" applyFont="1" applyFill="1" applyBorder="1" applyAlignment="1">
      <alignment horizontal="center"/>
    </xf>
  </cellXfs>
  <cellStyles count="44">
    <cellStyle name="Millares [0] 2" xfId="26"/>
    <cellStyle name="Millares [0] 2 2" xfId="29"/>
    <cellStyle name="Millares [0] 3" xfId="28"/>
    <cellStyle name="Millares 13" xfId="4"/>
    <cellStyle name="Millares 13 2" xfId="18"/>
    <cellStyle name="Millares 2" xfId="17"/>
    <cellStyle name="Millares 2 2" xfId="19"/>
    <cellStyle name="Millares 2 3" xfId="27"/>
    <cellStyle name="Millares 3" xfId="39"/>
    <cellStyle name="Millares 7" xfId="34"/>
    <cellStyle name="Moneda [0] 2" xfId="5"/>
    <cellStyle name="Moneda [0] 2 2" xfId="25"/>
    <cellStyle name="Moneda [0] 3" xfId="43"/>
    <cellStyle name="Moneda [0] 4" xfId="11"/>
    <cellStyle name="Moneda 2" xfId="22"/>
    <cellStyle name="Moneda 4" xfId="31"/>
    <cellStyle name="Normal" xfId="0" builtinId="0"/>
    <cellStyle name="Normal 10" xfId="8"/>
    <cellStyle name="Normal 13" xfId="3"/>
    <cellStyle name="Normal 13 2" xfId="38"/>
    <cellStyle name="Normal 19" xfId="30"/>
    <cellStyle name="Normal 2" xfId="1"/>
    <cellStyle name="Normal 2 2" xfId="9"/>
    <cellStyle name="Normal 2 2 2" xfId="20"/>
    <cellStyle name="Normal 2 2 2 2" xfId="12"/>
    <cellStyle name="Normal 2 3" xfId="21"/>
    <cellStyle name="Normal 20" xfId="16"/>
    <cellStyle name="Normal 3" xfId="7"/>
    <cellStyle name="Normal 3 2" xfId="13"/>
    <cellStyle name="Normal 4" xfId="6"/>
    <cellStyle name="Normal 4 2" xfId="33"/>
    <cellStyle name="Normal 5" xfId="14"/>
    <cellStyle name="Normal 5 2" xfId="15"/>
    <cellStyle name="Normal 5 3" xfId="23"/>
    <cellStyle name="Normal 6" xfId="24"/>
    <cellStyle name="Normal 6 2" xfId="40"/>
    <cellStyle name="Normal 7" xfId="41"/>
    <cellStyle name="Normal 8" xfId="10"/>
    <cellStyle name="Normal 8 2" xfId="37"/>
    <cellStyle name="Normal 9" xfId="42"/>
    <cellStyle name="Normal 9 2 2" xfId="2"/>
    <cellStyle name="Normal_09202-CULLINCO-PPTO-A." xfId="35"/>
    <cellStyle name="Normal_09203-TRUMAO-PPTO-A." xfId="36"/>
    <cellStyle name="Porcentaje 3" xfId="32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theme="7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0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theme="7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DC5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977900</xdr:colOff>
      <xdr:row>39</xdr:row>
      <xdr:rowOff>107950</xdr:rowOff>
    </xdr:from>
    <xdr:to>
      <xdr:col>1</xdr:col>
      <xdr:colOff>977900</xdr:colOff>
      <xdr:row>45</xdr:row>
      <xdr:rowOff>36690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739900" y="7067550"/>
          <a:ext cx="0" cy="9955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977900</xdr:colOff>
      <xdr:row>1</xdr:row>
      <xdr:rowOff>0</xdr:rowOff>
    </xdr:from>
    <xdr:to>
      <xdr:col>1</xdr:col>
      <xdr:colOff>977900</xdr:colOff>
      <xdr:row>5</xdr:row>
      <xdr:rowOff>74789</xdr:rowOff>
    </xdr:to>
    <xdr:pic>
      <xdr:nvPicPr>
        <xdr:cNvPr id="3" name="Imagen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739900" y="177800"/>
          <a:ext cx="0" cy="989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977900</xdr:colOff>
      <xdr:row>37</xdr:row>
      <xdr:rowOff>107950</xdr:rowOff>
    </xdr:from>
    <xdr:to>
      <xdr:col>1</xdr:col>
      <xdr:colOff>977900</xdr:colOff>
      <xdr:row>43</xdr:row>
      <xdr:rowOff>23990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739900" y="6711950"/>
          <a:ext cx="0" cy="9828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294821</xdr:colOff>
      <xdr:row>1</xdr:row>
      <xdr:rowOff>22679</xdr:rowOff>
    </xdr:from>
    <xdr:to>
      <xdr:col>1</xdr:col>
      <xdr:colOff>1802946</xdr:colOff>
      <xdr:row>3</xdr:row>
      <xdr:rowOff>44628</xdr:rowOff>
    </xdr:to>
    <xdr:pic>
      <xdr:nvPicPr>
        <xdr:cNvPr id="5" name="image2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553" y="198438"/>
          <a:ext cx="1508125" cy="577574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1.mundoedwards.com/Mis%20documentos/Estados%20de%20Pago/Viviendas/Futrono/Original%20EP_Bas%20%20Mafi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is%20documentos\Estados%20de%20Pago\Viviendas\Futrono\Original%20EP_Bas%20%20Mafi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Cristian/Gaman/APR_Viluma/ntdisco04/US%20Rurales%20ZM/LA%20LUMBRERA/Users/Cristi&#225;n/Desktop/EL%20VINCULO/11%20Presupuesto%20Obras%20Civiles%20y%20Electricas%20Chorrillos%20Lipangu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ndresmartabid\Desktop\Andres\ARARAT\Rio%20Negro\Comit&#233;%20Futuro%20Sue&#241;o\Planillas%20P%20y%20M%20Futuro%20Sue&#241;o\Original%20EP_Bas%20%20Mafi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usana\documentos\FERNANDO\TRABAJOS%20Y%20PERSONALES\ARM52.38%20Presupuest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Cristian/Gaman/EBCO%20Lineas/Centinela/RMO/PenDrive%20170911/Piscinas/M1704%20Canaletas%20y%20Piscinas%20Emerg--E/2%20Desarrollo%20Propuesta/2_3%20Memoria%20de%20C&#225;lculo/2_3_3%20Estudio/apu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/carpeta-respaldo%20pendrive%2024-10-17/trabajando/Users/HEINHA~1/AppData/Local/Temp/Rar$DI01.187/calendario-2015-excel-lunes-a-domingo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F&#233;lix%20Guzm&#225;n%20Escobar/Documents/PROPUESTAS%202019/CENTINELA%20GE%203089/06%20ESTUDIO/Gastos%20Generales%20y%20Cierre%20%20Rev.14-05-201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ownloads/mapUScf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espaldo%20Empresa\Proyectos%20Martabid\Presupuestos%20Nuevos%20Fondos%20Concursables\ANGOL\FERNANDO\TRABAJOS%20Y%20PERSONALES\ARM52.38%20Presupuesto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Z/Crist.%20Tonk/Propuestas%20por%20Evaluar/Q-Market_Serv_Construccion%20Plataformas%20para%20sondajes%20N&#186;%20032-06/2%20Desarollo%20Propuesta/2_6%20Respaldo%20Equipos/Analisis_R&#237;o_Tinto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Z/Documents%20and%20Settings/Almacenes%20Paris/Mis%20documentos/tecsa/Propuestas/En%20Estudio/09-23%20Lixiviacion%20Sulfuros/10-13%20ademdum%206/planilla%20GG/2005/GG%201S%2020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1.mundoedwards.com/Mis%20documentos/Estados%20de%20Pago/Viviendas/Futrono/Estudio%20Comp.%20E.P.Bas_Mafi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Z/Cristian%20Tonk/Propuestas%20por%20Evaluar/Peralte_Laguna_Seca_2/2%20Desarollo%20Propuesta/2_3%20Memoria%20de%20C&#225;lculo/2_3_3%20Respaldo%20Estudio/7-Programa%20Equipos-Peral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Z/Cristian%20Tonk/Propuestas%20por%20Evaluar/Adicionales%20EBPE/2%20Desarrollo%20Propuesta/2_3%20Memoria%20de%20C&#225;lculo/2_3_3%20Respaldo%20Estudio/APU-Pres_CC-002-Conjunta_R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Z/Cristian%20Tonk/Propuestas%20por%20Evaluar/Peralte_Laguna_Seca_2/2%20Desarollo%20Propuesta/2_3%20Memoria%20de%20C&#225;lculo/2_3_3%20Respaldo%20Estudio/6-Programa_Recursos-Peral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i%20unidad\PAC%20SSR%20COQUIAO\Programaci&#243;n%20LAMUEN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/carpeta-respaldo%20pendrive%2024-10-17/trabajando/Documents%20and%20Settings/csepulveday/Mis%20documentos/Gesti&#243;n/Formatos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@/OFCEN_1/M04/COMERCIAL/HISTORICO/Chile/Gasoductos%20Pipeline/Propuesta/GASPAC-3/Luis%20Sep&#250;lveda/NovaGas-A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audio%20Gonzalez\Desktop\PRESUP%20137%20VIV.%20BRAUNAU%20GIE%20(Actualizado%20con%20UF%20y%20precios%20mater.)%2024%20Nov%2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enovoa/Desktop/MARTABID/4.%20SOLCLIC/1.%20SITIOS%20RESIDENTES%202%20GRUPI%20III%20LONGAV&#205;/3.%20Ppto.%20reconstrucci&#243;n%20Sitios%20Residentes%202%20grupo%20III%20del%20Maule%20-17%20viv%20rev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ET"/>
      <sheetName val="EP_Bas 100 Lanco"/>
      <sheetName val="EP_Bas1"/>
      <sheetName val="CAR_A"/>
      <sheetName val="E.P. P Y P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ET"/>
      <sheetName val="EP_Bas 100 Lanco"/>
      <sheetName val="EP_Bas1"/>
      <sheetName val="CAR_A"/>
      <sheetName val="E.P. P Y P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Unit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_Bas1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. URBANIZACION"/>
      <sheetName val="PRESUP. VIVIENDA"/>
      <sheetName val=" GANTT  "/>
      <sheetName val=" FLUJO "/>
    </sheetNames>
    <sheetDataSet>
      <sheetData sheetId="0" refreshError="1">
        <row r="9">
          <cell r="A9" t="str">
            <v>COD</v>
          </cell>
          <cell r="B9" t="str">
            <v xml:space="preserve">    ITEM</v>
          </cell>
          <cell r="C9" t="str">
            <v>UN</v>
          </cell>
          <cell r="D9" t="str">
            <v>CANTID</v>
          </cell>
          <cell r="F9" t="str">
            <v>CANT.</v>
          </cell>
          <cell r="G9" t="str">
            <v>P.UNIT.</v>
          </cell>
          <cell r="H9" t="str">
            <v>P.TOTAL</v>
          </cell>
        </row>
      </sheetData>
      <sheetData sheetId="1" refreshError="1">
        <row r="1">
          <cell r="A1" t="str">
            <v>FUNDACION INVICA</v>
          </cell>
        </row>
        <row r="2">
          <cell r="A2" t="str">
            <v>FORMULARIO PRESUPUESTO</v>
          </cell>
        </row>
        <row r="4">
          <cell r="A4" t="str">
            <v xml:space="preserve">CONJUNTO HABITACIONAL </v>
          </cell>
        </row>
        <row r="5">
          <cell r="A5" t="str">
            <v>EMPRESA CONSTRUCTORA BAYONA S.A.</v>
          </cell>
          <cell r="C5" t="str">
            <v>N° de viviendas  :</v>
          </cell>
          <cell r="E5">
            <v>240</v>
          </cell>
        </row>
        <row r="7">
          <cell r="A7" t="str">
            <v>PRESUPUESTO VIVIENDA ARM 52,38</v>
          </cell>
          <cell r="E7" t="str">
            <v>FECHA</v>
          </cell>
          <cell r="F7" t="str">
            <v>28 06 2001</v>
          </cell>
        </row>
        <row r="9">
          <cell r="B9" t="str">
            <v xml:space="preserve">    ITEM</v>
          </cell>
          <cell r="C9" t="str">
            <v>UN</v>
          </cell>
          <cell r="D9" t="str">
            <v>CANT.</v>
          </cell>
          <cell r="E9" t="str">
            <v>P.UNIT.</v>
          </cell>
          <cell r="F9" t="str">
            <v>P.TOTAL</v>
          </cell>
        </row>
        <row r="11">
          <cell r="A11" t="str">
            <v>O.C</v>
          </cell>
          <cell r="B11" t="str">
            <v>TRAZADO</v>
          </cell>
        </row>
        <row r="12">
          <cell r="B12" t="str">
            <v>Trazado y niveles de vivienda</v>
          </cell>
          <cell r="C12" t="str">
            <v>viv</v>
          </cell>
          <cell r="D12">
            <v>240</v>
          </cell>
          <cell r="E12">
            <v>4.609</v>
          </cell>
          <cell r="F12">
            <v>1106.1600000000001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B17" t="str">
            <v>Subtotal obras complementarias</v>
          </cell>
          <cell r="F17">
            <v>1106.1600000000001</v>
          </cell>
        </row>
        <row r="19">
          <cell r="A19" t="str">
            <v>F.U.</v>
          </cell>
          <cell r="B19" t="str">
            <v>FUNDACIONES</v>
          </cell>
        </row>
        <row r="20">
          <cell r="B20" t="str">
            <v>Excavación fundaciones</v>
          </cell>
          <cell r="C20" t="str">
            <v>Viv</v>
          </cell>
          <cell r="D20">
            <v>240</v>
          </cell>
          <cell r="E20">
            <v>0.216</v>
          </cell>
          <cell r="F20">
            <v>51.84</v>
          </cell>
        </row>
        <row r="21">
          <cell r="B21" t="str">
            <v>Emplantillado hormigon de 2 sacos</v>
          </cell>
          <cell r="C21" t="str">
            <v>Viv</v>
          </cell>
          <cell r="D21">
            <v>240</v>
          </cell>
          <cell r="E21">
            <v>0.48299999999999998</v>
          </cell>
          <cell r="F21">
            <v>115.92</v>
          </cell>
        </row>
        <row r="22">
          <cell r="B22" t="str">
            <v>Hormigón cimientos 170 kh/c/m3</v>
          </cell>
          <cell r="C22" t="str">
            <v>Viv</v>
          </cell>
          <cell r="D22">
            <v>240</v>
          </cell>
          <cell r="E22">
            <v>8.0990000000000002</v>
          </cell>
          <cell r="F22">
            <v>1943.76</v>
          </cell>
        </row>
        <row r="23">
          <cell r="B23" t="str">
            <v>Acero de sobrecimientos</v>
          </cell>
          <cell r="C23" t="str">
            <v>Viv</v>
          </cell>
          <cell r="D23">
            <v>240</v>
          </cell>
          <cell r="E23">
            <v>2.3519999999999999</v>
          </cell>
          <cell r="F23">
            <v>564.48</v>
          </cell>
        </row>
        <row r="24">
          <cell r="B24" t="str">
            <v>Moldaje de sobrecimientos</v>
          </cell>
          <cell r="C24" t="str">
            <v>Viv</v>
          </cell>
          <cell r="D24">
            <v>240</v>
          </cell>
          <cell r="E24">
            <v>4.1500000000000004</v>
          </cell>
          <cell r="F24">
            <v>996</v>
          </cell>
        </row>
        <row r="25">
          <cell r="B25" t="str">
            <v>Hormigón sobrecimientos h-15(20-40-5)</v>
          </cell>
          <cell r="C25" t="str">
            <v>Viv</v>
          </cell>
          <cell r="D25">
            <v>240</v>
          </cell>
          <cell r="E25">
            <v>3.972</v>
          </cell>
          <cell r="F25">
            <v>953.28</v>
          </cell>
        </row>
        <row r="26">
          <cell r="F26">
            <v>0</v>
          </cell>
        </row>
        <row r="27">
          <cell r="B27" t="str">
            <v>Subtotal fundaciones</v>
          </cell>
          <cell r="F27">
            <v>4625.28</v>
          </cell>
        </row>
        <row r="29">
          <cell r="A29" t="str">
            <v>A.L.</v>
          </cell>
          <cell r="B29" t="str">
            <v>ALBAÑILERIAS</v>
          </cell>
        </row>
        <row r="31">
          <cell r="B31" t="str">
            <v>Albañileria de hormigon celular</v>
          </cell>
          <cell r="C31" t="str">
            <v>viv</v>
          </cell>
          <cell r="D31">
            <v>240</v>
          </cell>
          <cell r="E31">
            <v>11.586</v>
          </cell>
          <cell r="F31">
            <v>2780.64</v>
          </cell>
        </row>
        <row r="32">
          <cell r="B32" t="str">
            <v>estuco bloque hormigon celular</v>
          </cell>
          <cell r="C32" t="str">
            <v>viv</v>
          </cell>
          <cell r="D32">
            <v>240</v>
          </cell>
          <cell r="E32">
            <v>6.1319999999999997</v>
          </cell>
          <cell r="F32">
            <v>1471.68</v>
          </cell>
        </row>
        <row r="33">
          <cell r="F33">
            <v>0</v>
          </cell>
        </row>
        <row r="34">
          <cell r="B34" t="str">
            <v>Subtotal Albañilería</v>
          </cell>
          <cell r="F34">
            <v>4252.32</v>
          </cell>
        </row>
        <row r="36">
          <cell r="A36" t="str">
            <v>H.A.</v>
          </cell>
          <cell r="B36" t="str">
            <v>HORMIGON ARMADO</v>
          </cell>
        </row>
        <row r="37">
          <cell r="B37" t="str">
            <v>Acero pilares, cadenas y vigas 1º piso</v>
          </cell>
          <cell r="C37" t="str">
            <v>viv</v>
          </cell>
          <cell r="D37">
            <v>240</v>
          </cell>
          <cell r="E37">
            <v>1.008</v>
          </cell>
          <cell r="F37">
            <v>241.92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41">
          <cell r="B41" t="str">
            <v>Moldajes pilares, cadena y vigas 1º piso</v>
          </cell>
          <cell r="C41" t="str">
            <v>viv</v>
          </cell>
          <cell r="D41">
            <v>240</v>
          </cell>
          <cell r="E41">
            <v>2.7269999999999999</v>
          </cell>
          <cell r="F41">
            <v>654.48</v>
          </cell>
        </row>
        <row r="42">
          <cell r="B42" t="str">
            <v>estructura de entrepiso arm52,38</v>
          </cell>
          <cell r="C42" t="str">
            <v>viv</v>
          </cell>
          <cell r="D42">
            <v>240</v>
          </cell>
          <cell r="E42">
            <v>12.295999999999999</v>
          </cell>
          <cell r="F42">
            <v>2951.04</v>
          </cell>
        </row>
        <row r="43">
          <cell r="B43" t="str">
            <v>hormigon para cadena y vigas 1 piso</v>
          </cell>
          <cell r="C43" t="str">
            <v>viv</v>
          </cell>
          <cell r="D43">
            <v>240</v>
          </cell>
          <cell r="E43">
            <v>3.27</v>
          </cell>
          <cell r="F43">
            <v>784.8</v>
          </cell>
        </row>
        <row r="44">
          <cell r="F44">
            <v>0</v>
          </cell>
        </row>
        <row r="45">
          <cell r="F45">
            <v>0</v>
          </cell>
        </row>
        <row r="46">
          <cell r="F46">
            <v>0</v>
          </cell>
        </row>
        <row r="47">
          <cell r="B47" t="str">
            <v>Subtotal hormigón armado</v>
          </cell>
          <cell r="F47">
            <v>4632.24</v>
          </cell>
        </row>
        <row r="49">
          <cell r="A49" t="str">
            <v>R.R.</v>
          </cell>
          <cell r="B49" t="str">
            <v>RELLENOS Y RADIER</v>
          </cell>
        </row>
        <row r="50">
          <cell r="F50">
            <v>0</v>
          </cell>
        </row>
        <row r="51">
          <cell r="B51" t="str">
            <v>Relleno compacto</v>
          </cell>
          <cell r="C51" t="str">
            <v>viv</v>
          </cell>
          <cell r="D51">
            <v>240</v>
          </cell>
          <cell r="E51">
            <v>0.59199999999999997</v>
          </cell>
          <cell r="F51">
            <v>142.08000000000001</v>
          </cell>
        </row>
        <row r="52">
          <cell r="B52" t="str">
            <v xml:space="preserve">Base ripio </v>
          </cell>
          <cell r="C52" t="str">
            <v>viv</v>
          </cell>
          <cell r="D52">
            <v>240</v>
          </cell>
          <cell r="E52">
            <v>0.81200000000000006</v>
          </cell>
          <cell r="F52">
            <v>194.88</v>
          </cell>
        </row>
        <row r="53">
          <cell r="B53" t="str">
            <v xml:space="preserve">Radier </v>
          </cell>
          <cell r="C53" t="str">
            <v>viv</v>
          </cell>
          <cell r="D53">
            <v>240</v>
          </cell>
          <cell r="E53">
            <v>6.1769999999999996</v>
          </cell>
          <cell r="F53">
            <v>1482.48</v>
          </cell>
        </row>
        <row r="54">
          <cell r="B54" t="str">
            <v>Afinado radier en fresco</v>
          </cell>
          <cell r="C54" t="str">
            <v>viv</v>
          </cell>
          <cell r="D54">
            <v>240</v>
          </cell>
          <cell r="E54">
            <v>1.3049999999999999</v>
          </cell>
          <cell r="F54">
            <v>313.2</v>
          </cell>
        </row>
        <row r="55">
          <cell r="B55" t="str">
            <v>Subtotal rellenos y radier</v>
          </cell>
          <cell r="F55">
            <v>2132.64</v>
          </cell>
        </row>
        <row r="57">
          <cell r="A57" t="str">
            <v>E.C.</v>
          </cell>
          <cell r="B57" t="str">
            <v>ESTRUCTURA DE CUBIERTA</v>
          </cell>
          <cell r="E57" t="str">
            <v>,</v>
          </cell>
        </row>
        <row r="58">
          <cell r="B58" t="str">
            <v>Estructura Techumbre arm52,38</v>
          </cell>
          <cell r="C58" t="str">
            <v>viv</v>
          </cell>
          <cell r="D58">
            <v>240</v>
          </cell>
          <cell r="E58">
            <v>9.32</v>
          </cell>
          <cell r="F58">
            <v>2236.8000000000002</v>
          </cell>
        </row>
        <row r="59">
          <cell r="B59" t="str">
            <v>Cubierta</v>
          </cell>
          <cell r="C59" t="str">
            <v>viv</v>
          </cell>
          <cell r="D59">
            <v>240</v>
          </cell>
          <cell r="E59">
            <v>6.5179999999999998</v>
          </cell>
          <cell r="F59">
            <v>1564.32</v>
          </cell>
        </row>
        <row r="60">
          <cell r="B60" t="str">
            <v>Caballetes zinc-alum</v>
          </cell>
          <cell r="C60" t="str">
            <v>viv</v>
          </cell>
          <cell r="D60">
            <v>240</v>
          </cell>
          <cell r="E60">
            <v>0.53900000000000003</v>
          </cell>
          <cell r="F60">
            <v>129.36000000000001</v>
          </cell>
        </row>
        <row r="61">
          <cell r="B61" t="str">
            <v>bajadas de agua</v>
          </cell>
          <cell r="C61" t="str">
            <v>viv</v>
          </cell>
          <cell r="D61">
            <v>240</v>
          </cell>
          <cell r="E61">
            <v>0.98799999999999999</v>
          </cell>
          <cell r="F61">
            <v>237.12</v>
          </cell>
        </row>
        <row r="62">
          <cell r="B62" t="str">
            <v>canal de aguas lluvias d=33</v>
          </cell>
          <cell r="C62" t="str">
            <v>viv</v>
          </cell>
          <cell r="D62">
            <v>240</v>
          </cell>
          <cell r="E62">
            <v>0.91900000000000004</v>
          </cell>
          <cell r="F62">
            <v>220.56</v>
          </cell>
        </row>
        <row r="63">
          <cell r="B63" t="str">
            <v>canal de aguas lluvias d=74cm</v>
          </cell>
          <cell r="C63" t="str">
            <v>viv</v>
          </cell>
          <cell r="D63">
            <v>240</v>
          </cell>
          <cell r="E63">
            <v>2.2080000000000002</v>
          </cell>
          <cell r="F63">
            <v>529.91999999999996</v>
          </cell>
        </row>
        <row r="64">
          <cell r="B64" t="str">
            <v>Subtotal estructura de cubierta</v>
          </cell>
          <cell r="F64">
            <v>4918.0800000000008</v>
          </cell>
        </row>
        <row r="66">
          <cell r="A66" t="str">
            <v>A.R.</v>
          </cell>
          <cell r="B66" t="str">
            <v>Aleros y revestimientos</v>
          </cell>
        </row>
        <row r="67">
          <cell r="B67" t="str">
            <v>Tapacán arm52,38</v>
          </cell>
          <cell r="C67" t="str">
            <v>viv</v>
          </cell>
          <cell r="D67">
            <v>240</v>
          </cell>
          <cell r="E67">
            <v>1.143</v>
          </cell>
          <cell r="F67">
            <v>274.32</v>
          </cell>
        </row>
        <row r="68">
          <cell r="B68" t="str">
            <v xml:space="preserve">Revestimiento aleros </v>
          </cell>
          <cell r="C68" t="str">
            <v>viv</v>
          </cell>
          <cell r="D68">
            <v>240</v>
          </cell>
          <cell r="E68">
            <v>1.611</v>
          </cell>
          <cell r="F68">
            <v>386.64</v>
          </cell>
        </row>
        <row r="69">
          <cell r="B69" t="str">
            <v>Revestimiento vinil siding</v>
          </cell>
          <cell r="C69" t="str">
            <v>viv</v>
          </cell>
          <cell r="D69">
            <v>240</v>
          </cell>
          <cell r="E69">
            <v>6.7169999999999996</v>
          </cell>
          <cell r="F69">
            <v>1612.08</v>
          </cell>
        </row>
        <row r="72">
          <cell r="B72" t="str">
            <v>Total escaleras</v>
          </cell>
          <cell r="F72">
            <v>2273.04</v>
          </cell>
        </row>
        <row r="74">
          <cell r="A74" t="str">
            <v>R.O.G.</v>
          </cell>
          <cell r="B74" t="str">
            <v>CIELO</v>
          </cell>
        </row>
        <row r="75">
          <cell r="B75" t="str">
            <v>encintado de cielo</v>
          </cell>
          <cell r="C75" t="str">
            <v>viv</v>
          </cell>
          <cell r="D75">
            <v>240</v>
          </cell>
          <cell r="E75">
            <v>3.03</v>
          </cell>
          <cell r="F75">
            <v>727.2</v>
          </cell>
        </row>
        <row r="76">
          <cell r="B76" t="str">
            <v>revestimimiento volcanita cielo 2do nivel</v>
          </cell>
          <cell r="C76" t="str">
            <v>viv</v>
          </cell>
          <cell r="D76">
            <v>240</v>
          </cell>
          <cell r="E76">
            <v>3.1819999999999999</v>
          </cell>
          <cell r="F76">
            <v>763.68</v>
          </cell>
        </row>
        <row r="77">
          <cell r="B77" t="str">
            <v>fibrocemento cielo baño</v>
          </cell>
          <cell r="C77" t="str">
            <v>viv</v>
          </cell>
          <cell r="D77">
            <v>240</v>
          </cell>
          <cell r="E77">
            <v>0.53400000000000003</v>
          </cell>
          <cell r="F77">
            <v>128.16</v>
          </cell>
        </row>
        <row r="78">
          <cell r="B78" t="str">
            <v>aislacion techumbre</v>
          </cell>
          <cell r="C78" t="str">
            <v>viv</v>
          </cell>
          <cell r="D78">
            <v>240</v>
          </cell>
          <cell r="E78">
            <v>5.7050000000000001</v>
          </cell>
          <cell r="F78">
            <v>1369.2</v>
          </cell>
        </row>
        <row r="79">
          <cell r="B79" t="str">
            <v xml:space="preserve">aislacion paneles </v>
          </cell>
          <cell r="C79" t="str">
            <v>viv</v>
          </cell>
          <cell r="D79">
            <v>240</v>
          </cell>
          <cell r="E79">
            <v>1.5620000000000001</v>
          </cell>
          <cell r="F79">
            <v>374.88</v>
          </cell>
        </row>
        <row r="80">
          <cell r="A80" t="str">
            <v/>
          </cell>
          <cell r="B80" t="str">
            <v>Subtotal cielo</v>
          </cell>
          <cell r="F80">
            <v>3363.1200000000003</v>
          </cell>
        </row>
        <row r="82">
          <cell r="A82" t="str">
            <v>C.A.</v>
          </cell>
          <cell r="B82" t="str">
            <v>Escaleras</v>
          </cell>
        </row>
        <row r="83">
          <cell r="B83" t="str">
            <v>escaleras</v>
          </cell>
          <cell r="C83" t="str">
            <v>viv</v>
          </cell>
          <cell r="D83">
            <v>240</v>
          </cell>
          <cell r="E83">
            <v>4.9260000000000002</v>
          </cell>
          <cell r="F83">
            <v>1182.24</v>
          </cell>
        </row>
        <row r="84">
          <cell r="F84">
            <v>0</v>
          </cell>
        </row>
        <row r="85">
          <cell r="F85">
            <v>0</v>
          </cell>
        </row>
        <row r="86">
          <cell r="B86" t="str">
            <v>Subtotal cielo</v>
          </cell>
          <cell r="F86">
            <v>1182.24</v>
          </cell>
        </row>
        <row r="88">
          <cell r="A88" t="str">
            <v>T.A.</v>
          </cell>
          <cell r="B88" t="str">
            <v>TABIQUES</v>
          </cell>
        </row>
        <row r="89">
          <cell r="B89" t="str">
            <v>Estructura de madera</v>
          </cell>
          <cell r="C89" t="str">
            <v>viv</v>
          </cell>
          <cell r="D89">
            <v>240</v>
          </cell>
          <cell r="E89">
            <v>27.872</v>
          </cell>
          <cell r="F89">
            <v>6689.28</v>
          </cell>
        </row>
        <row r="90">
          <cell r="B90" t="str">
            <v>Forro planchas de fibrocemento</v>
          </cell>
          <cell r="C90" t="str">
            <v>viv</v>
          </cell>
          <cell r="D90">
            <v>240</v>
          </cell>
          <cell r="E90">
            <v>2.661</v>
          </cell>
          <cell r="F90">
            <v>638.64</v>
          </cell>
        </row>
        <row r="91">
          <cell r="B91" t="str">
            <v>Forro planchas de yeso-cartón</v>
          </cell>
          <cell r="C91" t="str">
            <v>viv</v>
          </cell>
          <cell r="D91">
            <v>240</v>
          </cell>
          <cell r="E91">
            <v>8.0500000000000007</v>
          </cell>
          <cell r="F91">
            <v>1932</v>
          </cell>
        </row>
        <row r="92">
          <cell r="F92">
            <v>0</v>
          </cell>
        </row>
        <row r="93">
          <cell r="B93" t="str">
            <v>Subtotal tabiques</v>
          </cell>
          <cell r="F93">
            <v>9259.92</v>
          </cell>
        </row>
        <row r="95">
          <cell r="A95" t="str">
            <v>V.M.</v>
          </cell>
          <cell r="B95" t="str">
            <v>VENTANAS Y MARCOS</v>
          </cell>
        </row>
        <row r="96">
          <cell r="F96">
            <v>0</v>
          </cell>
        </row>
        <row r="97">
          <cell r="B97" t="str">
            <v xml:space="preserve">Ventanas de  PVC </v>
          </cell>
          <cell r="C97" t="str">
            <v>viv</v>
          </cell>
          <cell r="D97">
            <v>240</v>
          </cell>
          <cell r="E97">
            <v>8.14</v>
          </cell>
          <cell r="F97">
            <v>1953.6</v>
          </cell>
        </row>
        <row r="98">
          <cell r="F98">
            <v>0</v>
          </cell>
        </row>
        <row r="99">
          <cell r="B99" t="str">
            <v>Subtotal ventanas y marcos</v>
          </cell>
          <cell r="F99">
            <v>1953.6</v>
          </cell>
        </row>
        <row r="101">
          <cell r="A101" t="str">
            <v>V.D</v>
          </cell>
          <cell r="B101" t="str">
            <v>VIDRIOS</v>
          </cell>
        </row>
        <row r="104">
          <cell r="B104" t="str">
            <v>Subtotal vidrios</v>
          </cell>
          <cell r="F104">
            <v>0</v>
          </cell>
        </row>
        <row r="106">
          <cell r="A106" t="str">
            <v>P.T.</v>
          </cell>
          <cell r="B106" t="str">
            <v>PUERTAS</v>
          </cell>
        </row>
        <row r="107">
          <cell r="B107" t="str">
            <v>Puertas arm 52,38</v>
          </cell>
          <cell r="C107" t="str">
            <v>viv</v>
          </cell>
          <cell r="D107">
            <v>240</v>
          </cell>
          <cell r="E107">
            <v>5.3159999999999998</v>
          </cell>
          <cell r="F107">
            <v>1275.8399999999999</v>
          </cell>
        </row>
        <row r="108">
          <cell r="F108">
            <v>0</v>
          </cell>
        </row>
        <row r="109">
          <cell r="F109">
            <v>0</v>
          </cell>
        </row>
        <row r="110">
          <cell r="F110">
            <v>0</v>
          </cell>
        </row>
        <row r="111">
          <cell r="B111" t="str">
            <v>Subtotal puertas</v>
          </cell>
          <cell r="F111">
            <v>1275.8399999999999</v>
          </cell>
        </row>
        <row r="113">
          <cell r="A113" t="str">
            <v>R.Q.</v>
          </cell>
          <cell r="B113" t="str">
            <v>Elementos de remate y quincalleria</v>
          </cell>
        </row>
        <row r="114">
          <cell r="B114" t="str">
            <v>Molduras arm 52,38</v>
          </cell>
          <cell r="C114" t="str">
            <v>viv</v>
          </cell>
          <cell r="D114">
            <v>240</v>
          </cell>
          <cell r="E114">
            <v>1.345</v>
          </cell>
          <cell r="F114">
            <v>322.8</v>
          </cell>
        </row>
        <row r="115">
          <cell r="B115" t="str">
            <v>Quincalleria</v>
          </cell>
          <cell r="C115" t="str">
            <v>viv</v>
          </cell>
          <cell r="D115">
            <v>240</v>
          </cell>
          <cell r="E115">
            <v>1.343</v>
          </cell>
          <cell r="F115">
            <v>322.32</v>
          </cell>
        </row>
        <row r="116">
          <cell r="B116" t="str">
            <v>Subtotal elementos de remate y quincallería</v>
          </cell>
          <cell r="F116">
            <v>645.12</v>
          </cell>
        </row>
        <row r="118">
          <cell r="A118" t="str">
            <v>P.A.</v>
          </cell>
          <cell r="B118" t="str">
            <v>PAVIMENTOS</v>
          </cell>
        </row>
        <row r="119">
          <cell r="B119" t="str">
            <v>Pavimento Pisoflex 1.4 mm. 1º piso en cocina y baño</v>
          </cell>
          <cell r="C119" t="str">
            <v>viv</v>
          </cell>
          <cell r="D119">
            <v>240</v>
          </cell>
          <cell r="E119">
            <v>1.6439999999999999</v>
          </cell>
          <cell r="F119">
            <v>394.56</v>
          </cell>
        </row>
        <row r="120">
          <cell r="B120" t="str">
            <v xml:space="preserve">Cubrepiso en  1er piso </v>
          </cell>
          <cell r="C120" t="str">
            <v>viv</v>
          </cell>
          <cell r="D120">
            <v>240</v>
          </cell>
          <cell r="E120">
            <v>5.6159999999999997</v>
          </cell>
          <cell r="F120">
            <v>1347.84</v>
          </cell>
        </row>
        <row r="121">
          <cell r="F121">
            <v>0</v>
          </cell>
        </row>
        <row r="122">
          <cell r="B122" t="str">
            <v>Subtotal pavimentos</v>
          </cell>
          <cell r="F122">
            <v>1742.3999999999999</v>
          </cell>
        </row>
        <row r="124">
          <cell r="A124" t="str">
            <v>P.B.</v>
          </cell>
          <cell r="B124" t="str">
            <v>PINTURAS Y BARNICES</v>
          </cell>
        </row>
        <row r="125">
          <cell r="B125" t="str">
            <v>adiwall color</v>
          </cell>
          <cell r="C125" t="str">
            <v>viv</v>
          </cell>
          <cell r="D125">
            <v>240</v>
          </cell>
          <cell r="E125">
            <v>2.6520000000000001</v>
          </cell>
          <cell r="F125">
            <v>636.48</v>
          </cell>
        </row>
        <row r="126">
          <cell r="B126" t="str">
            <v>barniz maderas</v>
          </cell>
          <cell r="C126" t="str">
            <v>viv</v>
          </cell>
          <cell r="D126">
            <v>240</v>
          </cell>
          <cell r="E126">
            <v>0.79</v>
          </cell>
          <cell r="F126">
            <v>189.6</v>
          </cell>
        </row>
        <row r="127">
          <cell r="B127" t="str">
            <v>latex vinilico</v>
          </cell>
          <cell r="C127" t="str">
            <v>viv</v>
          </cell>
          <cell r="D127">
            <v>240</v>
          </cell>
          <cell r="E127">
            <v>3.577</v>
          </cell>
          <cell r="F127">
            <v>858.48</v>
          </cell>
        </row>
        <row r="128">
          <cell r="B128" t="str">
            <v>latex vinilico</v>
          </cell>
          <cell r="C128" t="str">
            <v>viv</v>
          </cell>
          <cell r="D128">
            <v>240</v>
          </cell>
          <cell r="E128">
            <v>7.23</v>
          </cell>
          <cell r="F128">
            <v>1735.2</v>
          </cell>
        </row>
        <row r="129">
          <cell r="B129" t="str">
            <v>oleo semibrillo</v>
          </cell>
          <cell r="C129" t="str">
            <v>viv</v>
          </cell>
          <cell r="D129">
            <v>240</v>
          </cell>
          <cell r="E129">
            <v>5.4329999999999998</v>
          </cell>
          <cell r="F129">
            <v>1303.92</v>
          </cell>
        </row>
        <row r="130">
          <cell r="B130" t="str">
            <v>Anticorrosivo</v>
          </cell>
          <cell r="C130" t="str">
            <v>viv</v>
          </cell>
          <cell r="D130">
            <v>240</v>
          </cell>
          <cell r="E130">
            <v>0.55000000000000004</v>
          </cell>
          <cell r="F130">
            <v>132</v>
          </cell>
        </row>
        <row r="131">
          <cell r="B131" t="str">
            <v>Subtotal pinturas y barnices</v>
          </cell>
          <cell r="F131">
            <v>4855.68</v>
          </cell>
        </row>
        <row r="133">
          <cell r="A133" t="str">
            <v>A.L.</v>
          </cell>
          <cell r="B133" t="str">
            <v>ALCANTARILLADO</v>
          </cell>
        </row>
        <row r="134">
          <cell r="B134" t="str">
            <v>Planta alcantarillado hasta cámara de inspección</v>
          </cell>
          <cell r="C134" t="str">
            <v>viv</v>
          </cell>
          <cell r="D134">
            <v>240</v>
          </cell>
          <cell r="E134">
            <v>1.514</v>
          </cell>
          <cell r="F134">
            <v>363.36</v>
          </cell>
        </row>
        <row r="135">
          <cell r="F135">
            <v>0</v>
          </cell>
        </row>
        <row r="136">
          <cell r="B136" t="str">
            <v>SUBTOTAL ALCANTARILLADO</v>
          </cell>
          <cell r="F136">
            <v>363.36</v>
          </cell>
        </row>
        <row r="138">
          <cell r="A138" t="str">
            <v>A.P.</v>
          </cell>
          <cell r="B138" t="str">
            <v>AGUA POTABLE</v>
          </cell>
        </row>
        <row r="139">
          <cell r="B139" t="str">
            <v>Agua potable interior</v>
          </cell>
          <cell r="C139" t="str">
            <v>viv</v>
          </cell>
          <cell r="D139">
            <v>240</v>
          </cell>
          <cell r="E139">
            <v>1.871</v>
          </cell>
          <cell r="F139">
            <v>449.04</v>
          </cell>
        </row>
        <row r="140">
          <cell r="F140">
            <v>0</v>
          </cell>
        </row>
        <row r="141">
          <cell r="B141" t="str">
            <v>SUBTOTAL AGUA POTABLE</v>
          </cell>
          <cell r="F141">
            <v>449.04</v>
          </cell>
        </row>
        <row r="143">
          <cell r="A143" t="str">
            <v>G.A.</v>
          </cell>
          <cell r="B143" t="str">
            <v>INSTALACION GAS</v>
          </cell>
        </row>
        <row r="144">
          <cell r="B144" t="str">
            <v>Red interior</v>
          </cell>
          <cell r="C144" t="str">
            <v>viv</v>
          </cell>
          <cell r="D144">
            <v>240</v>
          </cell>
          <cell r="F144">
            <v>0</v>
          </cell>
        </row>
        <row r="145">
          <cell r="B145" t="str">
            <v>Conexión de medidor a interior</v>
          </cell>
          <cell r="C145" t="str">
            <v>viv</v>
          </cell>
          <cell r="D145">
            <v>240</v>
          </cell>
          <cell r="F145">
            <v>0</v>
          </cell>
        </row>
        <row r="146">
          <cell r="B146" t="str">
            <v>SUBTOTAL INSTALACION GAS</v>
          </cell>
          <cell r="F146">
            <v>0</v>
          </cell>
        </row>
        <row r="148">
          <cell r="A148" t="str">
            <v>E.L.</v>
          </cell>
          <cell r="B148" t="str">
            <v>ELECTRICIDAD</v>
          </cell>
        </row>
        <row r="149">
          <cell r="B149" t="str">
            <v>Tierra</v>
          </cell>
          <cell r="C149" t="str">
            <v>viv</v>
          </cell>
          <cell r="D149">
            <v>240</v>
          </cell>
          <cell r="E149">
            <v>1.353</v>
          </cell>
          <cell r="F149">
            <v>324.72000000000003</v>
          </cell>
        </row>
        <row r="150">
          <cell r="B150" t="str">
            <v>Tubería y cajas</v>
          </cell>
          <cell r="C150" t="str">
            <v>viv</v>
          </cell>
          <cell r="D150">
            <v>240</v>
          </cell>
          <cell r="E150">
            <v>3.0739999999999998</v>
          </cell>
          <cell r="F150">
            <v>737.76</v>
          </cell>
        </row>
        <row r="151">
          <cell r="B151" t="str">
            <v>Alambrado</v>
          </cell>
          <cell r="C151" t="str">
            <v>viv</v>
          </cell>
          <cell r="D151">
            <v>240</v>
          </cell>
          <cell r="E151">
            <v>1.8080000000000001</v>
          </cell>
          <cell r="F151">
            <v>433.92</v>
          </cell>
        </row>
        <row r="152">
          <cell r="B152" t="str">
            <v xml:space="preserve">Accesorios y tablero </v>
          </cell>
          <cell r="C152" t="str">
            <v>viv</v>
          </cell>
          <cell r="D152">
            <v>240</v>
          </cell>
          <cell r="E152">
            <v>2.8029999999999999</v>
          </cell>
          <cell r="F152">
            <v>672.72</v>
          </cell>
        </row>
        <row r="153">
          <cell r="B153" t="str">
            <v>SUBTOTAL ELECTRICIDAD</v>
          </cell>
          <cell r="F153">
            <v>2169.12</v>
          </cell>
        </row>
        <row r="155">
          <cell r="A155" t="str">
            <v>A.R.</v>
          </cell>
          <cell r="B155" t="str">
            <v>ARTEFACTOS SANITARIOS (incluido sellos)</v>
          </cell>
        </row>
        <row r="156">
          <cell r="B156" t="str">
            <v>Lavatorio</v>
          </cell>
          <cell r="C156" t="str">
            <v>viv</v>
          </cell>
          <cell r="D156">
            <v>240</v>
          </cell>
          <cell r="E156">
            <v>0.71299999999999997</v>
          </cell>
          <cell r="F156">
            <v>171.12</v>
          </cell>
        </row>
        <row r="157">
          <cell r="B157" t="str">
            <v>W.C.  Y estanque</v>
          </cell>
          <cell r="C157" t="str">
            <v>viv</v>
          </cell>
          <cell r="D157">
            <v>240</v>
          </cell>
          <cell r="E157">
            <v>1.7509999999999999</v>
          </cell>
          <cell r="F157">
            <v>420.24</v>
          </cell>
        </row>
        <row r="158">
          <cell r="B158" t="str">
            <v>tina acero estam(incl. Barra de cortina)</v>
          </cell>
          <cell r="C158" t="str">
            <v>viv</v>
          </cell>
          <cell r="D158">
            <v>240</v>
          </cell>
          <cell r="E158">
            <v>1.85</v>
          </cell>
          <cell r="F158">
            <v>444</v>
          </cell>
        </row>
        <row r="159">
          <cell r="B159" t="str">
            <v xml:space="preserve">Lavaplatos </v>
          </cell>
          <cell r="C159" t="str">
            <v>viv</v>
          </cell>
          <cell r="D159">
            <v>240</v>
          </cell>
          <cell r="E159">
            <v>1.07</v>
          </cell>
          <cell r="F159">
            <v>256.8</v>
          </cell>
        </row>
        <row r="160">
          <cell r="B160" t="str">
            <v>Mueble de lavaplatos</v>
          </cell>
          <cell r="C160" t="str">
            <v>viv</v>
          </cell>
          <cell r="D160">
            <v>240</v>
          </cell>
          <cell r="E160">
            <v>1.1140000000000001</v>
          </cell>
          <cell r="F160">
            <v>267.36</v>
          </cell>
        </row>
        <row r="161">
          <cell r="B161" t="str">
            <v>Fittings y grifería</v>
          </cell>
          <cell r="C161" t="str">
            <v>viv</v>
          </cell>
          <cell r="D161">
            <v>240</v>
          </cell>
          <cell r="E161">
            <v>2.629</v>
          </cell>
          <cell r="F161">
            <v>630.96</v>
          </cell>
        </row>
        <row r="162">
          <cell r="F162">
            <v>0</v>
          </cell>
        </row>
        <row r="163">
          <cell r="F163">
            <v>0</v>
          </cell>
        </row>
        <row r="164">
          <cell r="F164">
            <v>0</v>
          </cell>
        </row>
        <row r="165">
          <cell r="B165" t="str">
            <v>SUBTOTAL ARTEFACTOS SANITARIOS (incluido sellos)</v>
          </cell>
          <cell r="F165">
            <v>2190.48</v>
          </cell>
        </row>
        <row r="167">
          <cell r="A167" t="str">
            <v>O.E.</v>
          </cell>
          <cell r="B167" t="str">
            <v>OBRAS EXTERIORES</v>
          </cell>
        </row>
        <row r="168">
          <cell r="B168" t="str">
            <v>Conformación de patios no incluye muros de contensión</v>
          </cell>
          <cell r="C168" t="str">
            <v>viv</v>
          </cell>
          <cell r="D168">
            <v>240</v>
          </cell>
          <cell r="E168">
            <v>0.66800000000000004</v>
          </cell>
          <cell r="F168">
            <v>160.32</v>
          </cell>
        </row>
        <row r="169">
          <cell r="B169" t="str">
            <v>Cierro patio (incluido cierro esquina y porton)</v>
          </cell>
          <cell r="C169" t="str">
            <v>viv</v>
          </cell>
          <cell r="D169">
            <v>240</v>
          </cell>
          <cell r="E169">
            <v>6.79</v>
          </cell>
          <cell r="F169">
            <v>1629.6</v>
          </cell>
        </row>
        <row r="170">
          <cell r="B170" t="str">
            <v>Solerillas demarcatorias</v>
          </cell>
          <cell r="C170" t="str">
            <v>viv</v>
          </cell>
          <cell r="D170">
            <v>240</v>
          </cell>
          <cell r="E170">
            <v>0.16700000000000001</v>
          </cell>
          <cell r="F170">
            <v>40.08</v>
          </cell>
        </row>
        <row r="171">
          <cell r="B171" t="str">
            <v>pastelones de acceso</v>
          </cell>
          <cell r="C171" t="str">
            <v>viv</v>
          </cell>
          <cell r="D171">
            <v>240</v>
          </cell>
          <cell r="E171">
            <v>0.69599999999999995</v>
          </cell>
          <cell r="F171">
            <v>167.04</v>
          </cell>
        </row>
        <row r="172">
          <cell r="B172" t="str">
            <v>Número Municipal vivienda</v>
          </cell>
          <cell r="C172" t="str">
            <v>viv</v>
          </cell>
          <cell r="D172">
            <v>240</v>
          </cell>
          <cell r="E172">
            <v>7.3999999999999996E-2</v>
          </cell>
          <cell r="F172">
            <v>17.760000000000002</v>
          </cell>
        </row>
        <row r="173">
          <cell r="B173" t="str">
            <v>SUBTOTAL OBRAS EXTERIORES</v>
          </cell>
          <cell r="F173">
            <v>2014.7999999999997</v>
          </cell>
        </row>
        <row r="175">
          <cell r="A175" t="str">
            <v>D.A</v>
          </cell>
          <cell r="B175" t="str">
            <v xml:space="preserve"> ENTREGA</v>
          </cell>
        </row>
        <row r="176">
          <cell r="F176">
            <v>0</v>
          </cell>
        </row>
        <row r="177">
          <cell r="B177" t="str">
            <v>Aseo final y entrega incluye gradas</v>
          </cell>
          <cell r="C177" t="str">
            <v>viv</v>
          </cell>
          <cell r="D177">
            <v>240</v>
          </cell>
          <cell r="E177">
            <v>0.28599999999999998</v>
          </cell>
          <cell r="F177">
            <v>68.64</v>
          </cell>
        </row>
        <row r="178">
          <cell r="B178" t="str">
            <v>SUBTOTAL DERECHOS Y ENTREGA</v>
          </cell>
          <cell r="F178">
            <v>68.64</v>
          </cell>
        </row>
        <row r="181">
          <cell r="A181" t="str">
            <v>O.P.</v>
          </cell>
          <cell r="B181" t="str">
            <v>OTRAS PARTIDAS</v>
          </cell>
        </row>
        <row r="182">
          <cell r="F182">
            <v>0</v>
          </cell>
        </row>
        <row r="185">
          <cell r="B185" t="str">
            <v>SUBTOTAL OTRAS PARTIDAS</v>
          </cell>
          <cell r="F185">
            <v>0</v>
          </cell>
        </row>
        <row r="187">
          <cell r="B187" t="str">
            <v>ADICION DE PARTIDAS</v>
          </cell>
        </row>
        <row r="192">
          <cell r="B192" t="str">
            <v>SUBTOTAL OTRAS PARTIDAS</v>
          </cell>
        </row>
        <row r="195">
          <cell r="A195" t="str">
            <v>COSTO DIRECTO VIVIENDA MODELO ARM 52,38</v>
          </cell>
          <cell r="E195" t="str">
            <v>U.F.</v>
          </cell>
          <cell r="F195">
            <v>55473.12000000001</v>
          </cell>
        </row>
        <row r="196">
          <cell r="A196" t="str">
            <v>GASTOS GENERALES Y UTILIDADES</v>
          </cell>
          <cell r="D196">
            <v>0.2</v>
          </cell>
          <cell r="F196">
            <v>11094.624000000003</v>
          </cell>
        </row>
        <row r="197">
          <cell r="A197" t="str">
            <v>SUBTOTAL</v>
          </cell>
          <cell r="F197">
            <v>66567.744000000006</v>
          </cell>
        </row>
        <row r="198">
          <cell r="A198" t="str">
            <v>IVA (CREDITO ESPECIAL VIVIENDAS 6,3%)</v>
          </cell>
          <cell r="F198">
            <v>4193.7678720000004</v>
          </cell>
        </row>
        <row r="199">
          <cell r="A199" t="str">
            <v>TOTAL VIVIENDA MODELO ARM 52,38</v>
          </cell>
          <cell r="E199" t="str">
            <v>U.F.</v>
          </cell>
          <cell r="F199">
            <v>70761.511872000003</v>
          </cell>
        </row>
      </sheetData>
      <sheetData sheetId="2" refreshError="1">
        <row r="1">
          <cell r="B1" t="str">
            <v>EMPRESA CONSTRUCTORA BAYONA S.A.</v>
          </cell>
        </row>
        <row r="2">
          <cell r="B2" t="str">
            <v>CARTA GANTT Y PROGRAMACION FINANCIERA</v>
          </cell>
        </row>
        <row r="3">
          <cell r="B3" t="str">
            <v xml:space="preserve">CONJUNTO HABITACIONAL </v>
          </cell>
        </row>
        <row r="4">
          <cell r="B4" t="str">
            <v>CONSTRUCCION Y URBANIZACION DE 240 VIVIENDAS ARM 52,38</v>
          </cell>
          <cell r="H4" t="str">
            <v>FECHA INICIO</v>
          </cell>
          <cell r="L4" t="str">
            <v>QUINCENA1</v>
          </cell>
          <cell r="N4" t="str">
            <v>QUINCENA2</v>
          </cell>
          <cell r="P4" t="str">
            <v>QUINCENA3</v>
          </cell>
          <cell r="R4" t="str">
            <v>QUINCENA4</v>
          </cell>
          <cell r="T4" t="str">
            <v>QUINCENA5</v>
          </cell>
          <cell r="V4" t="str">
            <v>QUINCENA6</v>
          </cell>
          <cell r="X4" t="str">
            <v>QUINCENA7</v>
          </cell>
        </row>
        <row r="5">
          <cell r="B5" t="str">
            <v>PLAZO DE EJECUCION 270 DIAS CORRIDOS</v>
          </cell>
          <cell r="J5" t="str">
            <v>SEMANA</v>
          </cell>
          <cell r="K5">
            <v>1</v>
          </cell>
          <cell r="L5">
            <v>2</v>
          </cell>
          <cell r="M5">
            <v>3</v>
          </cell>
          <cell r="N5">
            <v>4</v>
          </cell>
          <cell r="O5">
            <v>5</v>
          </cell>
          <cell r="P5">
            <v>6</v>
          </cell>
          <cell r="Q5">
            <v>7</v>
          </cell>
          <cell r="R5">
            <v>8</v>
          </cell>
          <cell r="S5">
            <v>9</v>
          </cell>
          <cell r="T5">
            <v>10</v>
          </cell>
          <cell r="U5">
            <v>11</v>
          </cell>
          <cell r="V5">
            <v>12</v>
          </cell>
          <cell r="W5">
            <v>13</v>
          </cell>
          <cell r="X5">
            <v>14</v>
          </cell>
          <cell r="Y5">
            <v>15</v>
          </cell>
        </row>
        <row r="6">
          <cell r="A6" t="str">
            <v>COD</v>
          </cell>
          <cell r="B6" t="str">
            <v>ITEM</v>
          </cell>
          <cell r="C6" t="str">
            <v>costo</v>
          </cell>
          <cell r="D6">
            <v>240</v>
          </cell>
          <cell r="E6" t="str">
            <v xml:space="preserve">gg y </v>
          </cell>
          <cell r="F6" t="str">
            <v>P. TOTAL</v>
          </cell>
          <cell r="G6" t="str">
            <v>% DEL</v>
          </cell>
          <cell r="H6" t="str">
            <v>FECHA</v>
          </cell>
          <cell r="I6" t="str">
            <v>FECHA</v>
          </cell>
          <cell r="J6" t="str">
            <v>QUINCENA</v>
          </cell>
          <cell r="L6">
            <v>1</v>
          </cell>
          <cell r="N6">
            <v>2</v>
          </cell>
          <cell r="P6">
            <v>3</v>
          </cell>
          <cell r="R6">
            <v>4</v>
          </cell>
          <cell r="T6">
            <v>5</v>
          </cell>
          <cell r="V6">
            <v>6</v>
          </cell>
          <cell r="X6">
            <v>7</v>
          </cell>
        </row>
        <row r="7">
          <cell r="C7" t="str">
            <v>unit</v>
          </cell>
          <cell r="D7" t="str">
            <v xml:space="preserve"> total vivi</v>
          </cell>
          <cell r="E7" t="str">
            <v>util</v>
          </cell>
          <cell r="F7" t="str">
            <v>U.F.</v>
          </cell>
          <cell r="G7" t="str">
            <v>TOTAL</v>
          </cell>
          <cell r="H7" t="str">
            <v>INICIO</v>
          </cell>
          <cell r="I7" t="str">
            <v>TERMINO</v>
          </cell>
          <cell r="J7" t="str">
            <v>Dias Corridos</v>
          </cell>
          <cell r="K7">
            <v>7</v>
          </cell>
          <cell r="L7">
            <v>14</v>
          </cell>
          <cell r="M7">
            <v>21</v>
          </cell>
          <cell r="N7">
            <v>30</v>
          </cell>
          <cell r="O7">
            <v>37</v>
          </cell>
          <cell r="P7">
            <v>44</v>
          </cell>
          <cell r="Q7">
            <v>51</v>
          </cell>
          <cell r="R7">
            <v>60</v>
          </cell>
          <cell r="S7">
            <v>67</v>
          </cell>
          <cell r="T7">
            <v>74</v>
          </cell>
          <cell r="U7">
            <v>81</v>
          </cell>
          <cell r="V7">
            <v>90</v>
          </cell>
          <cell r="W7">
            <v>97</v>
          </cell>
          <cell r="X7">
            <v>104</v>
          </cell>
          <cell r="Y7">
            <v>111</v>
          </cell>
        </row>
        <row r="8">
          <cell r="B8" t="str">
            <v>OBRAS DE CONSTRUCCION VIVIENDAS</v>
          </cell>
          <cell r="F8">
            <v>0</v>
          </cell>
        </row>
        <row r="9">
          <cell r="A9" t="str">
            <v>O.C.</v>
          </cell>
          <cell r="B9" t="str">
            <v>Trazado y niveles de vivienda</v>
          </cell>
          <cell r="C9">
            <v>4.609</v>
          </cell>
          <cell r="D9">
            <v>1106.1600000000001</v>
          </cell>
          <cell r="E9">
            <v>221.232</v>
          </cell>
          <cell r="F9">
            <v>1411.018</v>
          </cell>
          <cell r="G9">
            <v>1.9940472724777274E-2</v>
          </cell>
          <cell r="J9">
            <v>21</v>
          </cell>
          <cell r="K9" t="str">
            <v>XXXXX</v>
          </cell>
          <cell r="L9" t="str">
            <v>XXXXX</v>
          </cell>
          <cell r="M9" t="str">
            <v>XXXXX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</row>
        <row r="10">
          <cell r="F10">
            <v>0</v>
          </cell>
          <cell r="H10">
            <v>1</v>
          </cell>
          <cell r="I10">
            <v>3</v>
          </cell>
          <cell r="K10">
            <v>6.6468242415924248E-3</v>
          </cell>
          <cell r="L10">
            <v>6.6468242415924248E-3</v>
          </cell>
          <cell r="M10">
            <v>6.7468242415924251E-3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J11">
            <v>21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</row>
        <row r="12">
          <cell r="F12">
            <v>0</v>
          </cell>
          <cell r="H12">
            <v>1</v>
          </cell>
          <cell r="I12">
            <v>3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J13">
            <v>35</v>
          </cell>
          <cell r="K13">
            <v>0</v>
          </cell>
          <cell r="L13">
            <v>0</v>
          </cell>
          <cell r="M13">
            <v>0</v>
          </cell>
          <cell r="N13" t="str">
            <v>XXXXX</v>
          </cell>
          <cell r="O13" t="str">
            <v>XXXXX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</row>
        <row r="14">
          <cell r="F14">
            <v>0</v>
          </cell>
          <cell r="H14">
            <v>1</v>
          </cell>
          <cell r="I14">
            <v>5</v>
          </cell>
          <cell r="K14">
            <v>0</v>
          </cell>
          <cell r="L14">
            <v>0</v>
          </cell>
          <cell r="M14">
            <v>0</v>
          </cell>
          <cell r="N14">
            <v>1E-4</v>
          </cell>
          <cell r="O14">
            <v>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J15">
            <v>42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</row>
        <row r="16">
          <cell r="F16">
            <v>0</v>
          </cell>
          <cell r="H16">
            <v>2</v>
          </cell>
          <cell r="I16">
            <v>7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J17">
            <v>42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</row>
        <row r="18">
          <cell r="F18">
            <v>0</v>
          </cell>
          <cell r="H18">
            <v>2</v>
          </cell>
          <cell r="I18">
            <v>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</row>
        <row r="19">
          <cell r="A19" t="str">
            <v>F.U.</v>
          </cell>
          <cell r="B19" t="str">
            <v>Excavación fundaciones</v>
          </cell>
          <cell r="C19">
            <v>0.21600000000000003</v>
          </cell>
          <cell r="D19">
            <v>51.84</v>
          </cell>
          <cell r="E19">
            <v>10.368</v>
          </cell>
          <cell r="F19">
            <v>66.126999999999995</v>
          </cell>
          <cell r="G19">
            <v>9.3450518694399834E-4</v>
          </cell>
          <cell r="J19">
            <v>56</v>
          </cell>
          <cell r="K19">
            <v>0</v>
          </cell>
          <cell r="L19" t="str">
            <v>XXXXX</v>
          </cell>
          <cell r="M19" t="str">
            <v>XXXXX</v>
          </cell>
          <cell r="N19" t="str">
            <v>XXXXX</v>
          </cell>
          <cell r="O19" t="str">
            <v>XXXXX</v>
          </cell>
          <cell r="P19" t="str">
            <v>XXXXX</v>
          </cell>
          <cell r="Q19" t="str">
            <v>XXXXX</v>
          </cell>
          <cell r="R19" t="str">
            <v>XXXXX</v>
          </cell>
          <cell r="S19" t="str">
            <v>XXXXX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</row>
        <row r="20">
          <cell r="F20">
            <v>0</v>
          </cell>
          <cell r="H20">
            <v>2</v>
          </cell>
          <cell r="I20">
            <v>9</v>
          </cell>
          <cell r="K20">
            <v>0</v>
          </cell>
          <cell r="L20">
            <v>1.1681314836799979E-4</v>
          </cell>
          <cell r="M20">
            <v>1.1681314836799979E-4</v>
          </cell>
          <cell r="N20">
            <v>1.1681314836799979E-4</v>
          </cell>
          <cell r="O20">
            <v>1.1681314836799979E-4</v>
          </cell>
          <cell r="P20">
            <v>1.1681314836799979E-4</v>
          </cell>
          <cell r="Q20">
            <v>1.1681314836799979E-4</v>
          </cell>
          <cell r="R20">
            <v>1.1681314836799979E-4</v>
          </cell>
          <cell r="S20">
            <v>1.1681314836799979E-4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</row>
        <row r="21">
          <cell r="B21" t="str">
            <v>Emplantillado hormigon de 2 sacos</v>
          </cell>
          <cell r="C21">
            <v>0.48299999999999998</v>
          </cell>
          <cell r="D21">
            <v>115.92</v>
          </cell>
          <cell r="E21">
            <v>23.184000000000001</v>
          </cell>
          <cell r="F21">
            <v>147.86799999999999</v>
          </cell>
          <cell r="G21">
            <v>2.0896670495113212E-3</v>
          </cell>
          <cell r="J21">
            <v>56</v>
          </cell>
          <cell r="K21">
            <v>0</v>
          </cell>
          <cell r="L21">
            <v>0</v>
          </cell>
          <cell r="M21" t="str">
            <v>XXXXX</v>
          </cell>
          <cell r="N21" t="str">
            <v>XXXXX</v>
          </cell>
          <cell r="O21" t="str">
            <v>XXXXX</v>
          </cell>
          <cell r="P21" t="str">
            <v>XXXXX</v>
          </cell>
          <cell r="Q21" t="str">
            <v>XXXXX</v>
          </cell>
          <cell r="R21" t="str">
            <v>XXXXX</v>
          </cell>
          <cell r="S21" t="str">
            <v>XXXXX</v>
          </cell>
          <cell r="T21" t="str">
            <v>XXXXX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</row>
        <row r="22">
          <cell r="F22">
            <v>0</v>
          </cell>
          <cell r="H22">
            <v>3</v>
          </cell>
          <cell r="I22">
            <v>10</v>
          </cell>
          <cell r="K22">
            <v>0</v>
          </cell>
          <cell r="L22">
            <v>0</v>
          </cell>
          <cell r="M22">
            <v>2.6120838118891515E-4</v>
          </cell>
          <cell r="N22">
            <v>2.6120838118891515E-4</v>
          </cell>
          <cell r="O22">
            <v>2.6120838118891515E-4</v>
          </cell>
          <cell r="P22">
            <v>2.6120838118891515E-4</v>
          </cell>
          <cell r="Q22">
            <v>2.6120838118891515E-4</v>
          </cell>
          <cell r="R22">
            <v>2.6120838118891515E-4</v>
          </cell>
          <cell r="S22">
            <v>2.6120838118891515E-4</v>
          </cell>
          <cell r="T22">
            <v>2.6120838118891515E-4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</row>
        <row r="23">
          <cell r="B23" t="str">
            <v>Hormigón cimientos 170 kh/c/m3</v>
          </cell>
          <cell r="C23">
            <v>8.0990000000000002</v>
          </cell>
          <cell r="D23">
            <v>1943.76</v>
          </cell>
          <cell r="E23">
            <v>388.75200000000001</v>
          </cell>
          <cell r="F23">
            <v>2479.46</v>
          </cell>
          <cell r="G23">
            <v>3.5039669587614231E-2</v>
          </cell>
          <cell r="J23">
            <v>63</v>
          </cell>
          <cell r="K23">
            <v>0</v>
          </cell>
          <cell r="L23">
            <v>0</v>
          </cell>
          <cell r="M23" t="str">
            <v>XXXXX</v>
          </cell>
          <cell r="N23" t="str">
            <v>XXXXX</v>
          </cell>
          <cell r="O23" t="str">
            <v>XXXXX</v>
          </cell>
          <cell r="P23" t="str">
            <v>XXXXX</v>
          </cell>
          <cell r="Q23" t="str">
            <v>XXXXX</v>
          </cell>
          <cell r="R23" t="str">
            <v>XXXXX</v>
          </cell>
          <cell r="S23" t="str">
            <v>XXXXX</v>
          </cell>
          <cell r="T23" t="str">
            <v>XXXXX</v>
          </cell>
          <cell r="U23" t="str">
            <v>XXXXX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</row>
        <row r="24">
          <cell r="F24">
            <v>0</v>
          </cell>
          <cell r="H24">
            <v>3</v>
          </cell>
          <cell r="I24">
            <v>11</v>
          </cell>
          <cell r="K24">
            <v>0</v>
          </cell>
          <cell r="L24">
            <v>0</v>
          </cell>
          <cell r="M24">
            <v>3.8932966208460257E-3</v>
          </cell>
          <cell r="N24">
            <v>3.8932966208460257E-3</v>
          </cell>
          <cell r="O24">
            <v>3.8932966208460257E-3</v>
          </cell>
          <cell r="P24">
            <v>3.8932966208460257E-3</v>
          </cell>
          <cell r="Q24">
            <v>3.8932966208460257E-3</v>
          </cell>
          <cell r="R24">
            <v>3.8932966208460257E-3</v>
          </cell>
          <cell r="S24">
            <v>3.8932966208460257E-3</v>
          </cell>
          <cell r="T24">
            <v>3.8932966208460257E-3</v>
          </cell>
          <cell r="U24">
            <v>3.8932966208460257E-3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</row>
        <row r="25">
          <cell r="B25" t="str">
            <v>Acero de sobrecimientos</v>
          </cell>
          <cell r="C25">
            <v>2.3519999999999999</v>
          </cell>
          <cell r="D25">
            <v>564.48</v>
          </cell>
          <cell r="E25">
            <v>112.896</v>
          </cell>
          <cell r="F25">
            <v>720.05100000000004</v>
          </cell>
          <cell r="G25">
            <v>1.0175743559577979E-2</v>
          </cell>
          <cell r="J25">
            <v>63</v>
          </cell>
          <cell r="K25">
            <v>0</v>
          </cell>
          <cell r="L25">
            <v>0</v>
          </cell>
          <cell r="M25">
            <v>0</v>
          </cell>
          <cell r="N25" t="str">
            <v>XXXXX</v>
          </cell>
          <cell r="O25" t="str">
            <v>XXXXX</v>
          </cell>
          <cell r="P25" t="str">
            <v>XXXXX</v>
          </cell>
          <cell r="Q25" t="str">
            <v>XXXXX</v>
          </cell>
          <cell r="R25" t="str">
            <v>XXXXX</v>
          </cell>
          <cell r="S25" t="str">
            <v>XXXXX</v>
          </cell>
          <cell r="T25" t="str">
            <v>XXXXX</v>
          </cell>
          <cell r="U25" t="str">
            <v>XXXXX</v>
          </cell>
          <cell r="V25" t="str">
            <v>XXXXX</v>
          </cell>
          <cell r="W25">
            <v>0</v>
          </cell>
          <cell r="X25">
            <v>0</v>
          </cell>
          <cell r="Y25">
            <v>0</v>
          </cell>
        </row>
        <row r="26">
          <cell r="F26">
            <v>0</v>
          </cell>
          <cell r="H26">
            <v>4</v>
          </cell>
          <cell r="I26">
            <v>12</v>
          </cell>
          <cell r="K26">
            <v>0</v>
          </cell>
          <cell r="L26">
            <v>0</v>
          </cell>
          <cell r="M26">
            <v>0</v>
          </cell>
          <cell r="N26">
            <v>1.1306381732864421E-3</v>
          </cell>
          <cell r="O26">
            <v>1.1306381732864421E-3</v>
          </cell>
          <cell r="P26">
            <v>1.1306381732864421E-3</v>
          </cell>
          <cell r="Q26">
            <v>1.1306381732864421E-3</v>
          </cell>
          <cell r="R26">
            <v>1.1306381732864421E-3</v>
          </cell>
          <cell r="S26">
            <v>1.1306381732864421E-3</v>
          </cell>
          <cell r="T26">
            <v>1.1306381732864421E-3</v>
          </cell>
          <cell r="U26">
            <v>1.1306381732864421E-3</v>
          </cell>
          <cell r="V26">
            <v>1.1306381732864421E-3</v>
          </cell>
          <cell r="W26">
            <v>0</v>
          </cell>
          <cell r="X26">
            <v>0</v>
          </cell>
          <cell r="Y26">
            <v>0</v>
          </cell>
        </row>
        <row r="27">
          <cell r="B27" t="str">
            <v>Moldaje de sobrecimientos</v>
          </cell>
          <cell r="C27">
            <v>4.1500000000000004</v>
          </cell>
          <cell r="D27">
            <v>996</v>
          </cell>
          <cell r="E27">
            <v>199.2</v>
          </cell>
          <cell r="F27">
            <v>1270.498</v>
          </cell>
          <cell r="G27">
            <v>1.7954647436024259E-2</v>
          </cell>
          <cell r="J27">
            <v>63</v>
          </cell>
          <cell r="K27">
            <v>0</v>
          </cell>
          <cell r="L27">
            <v>0</v>
          </cell>
          <cell r="M27">
            <v>0</v>
          </cell>
          <cell r="N27" t="str">
            <v>XXXXX</v>
          </cell>
          <cell r="O27" t="str">
            <v>XXXXX</v>
          </cell>
          <cell r="P27" t="str">
            <v>XXXXX</v>
          </cell>
          <cell r="Q27" t="str">
            <v>XXXXX</v>
          </cell>
          <cell r="R27" t="str">
            <v>XXXXX</v>
          </cell>
          <cell r="S27" t="str">
            <v>XXXXX</v>
          </cell>
          <cell r="T27" t="str">
            <v>XXXXX</v>
          </cell>
          <cell r="U27" t="str">
            <v>XXXXX</v>
          </cell>
          <cell r="V27" t="str">
            <v>XXXXX</v>
          </cell>
          <cell r="W27">
            <v>0</v>
          </cell>
          <cell r="X27">
            <v>0</v>
          </cell>
          <cell r="Y27">
            <v>0</v>
          </cell>
        </row>
        <row r="28">
          <cell r="F28">
            <v>0</v>
          </cell>
          <cell r="H28">
            <v>4</v>
          </cell>
          <cell r="I28">
            <v>12</v>
          </cell>
          <cell r="K28">
            <v>0</v>
          </cell>
          <cell r="L28">
            <v>0</v>
          </cell>
          <cell r="M28">
            <v>0</v>
          </cell>
          <cell r="N28">
            <v>1.9949608262249175E-3</v>
          </cell>
          <cell r="O28">
            <v>1.9949608262249175E-3</v>
          </cell>
          <cell r="P28">
            <v>1.9949608262249175E-3</v>
          </cell>
          <cell r="Q28">
            <v>1.9949608262249175E-3</v>
          </cell>
          <cell r="R28">
            <v>1.9949608262249175E-3</v>
          </cell>
          <cell r="S28">
            <v>1.9949608262249175E-3</v>
          </cell>
          <cell r="T28">
            <v>1.9949608262249175E-3</v>
          </cell>
          <cell r="U28">
            <v>1.9949608262249175E-3</v>
          </cell>
          <cell r="V28">
            <v>1.9949608262249175E-3</v>
          </cell>
          <cell r="W28">
            <v>0</v>
          </cell>
          <cell r="X28">
            <v>0</v>
          </cell>
          <cell r="Y28">
            <v>0</v>
          </cell>
        </row>
        <row r="29">
          <cell r="B29" t="str">
            <v>Hormigón sobrecimientos h-15(20-40-5)</v>
          </cell>
          <cell r="C29">
            <v>3.972</v>
          </cell>
          <cell r="D29">
            <v>953.28</v>
          </cell>
          <cell r="E29">
            <v>190.65600000000001</v>
          </cell>
          <cell r="F29">
            <v>1216.0039999999999</v>
          </cell>
          <cell r="G29">
            <v>1.718453952764604E-2</v>
          </cell>
          <cell r="J29">
            <v>63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 t="str">
            <v>XXXXX</v>
          </cell>
          <cell r="P29" t="str">
            <v>XXXXX</v>
          </cell>
          <cell r="Q29" t="str">
            <v>XXXXX</v>
          </cell>
          <cell r="R29" t="str">
            <v>XXXXX</v>
          </cell>
          <cell r="S29" t="str">
            <v>XXXXX</v>
          </cell>
          <cell r="T29" t="str">
            <v>XXXXX</v>
          </cell>
          <cell r="U29" t="str">
            <v>XXXXX</v>
          </cell>
          <cell r="V29" t="str">
            <v>XXXXX</v>
          </cell>
          <cell r="W29" t="str">
            <v>XXXXX</v>
          </cell>
          <cell r="X29">
            <v>0</v>
          </cell>
          <cell r="Y29">
            <v>0</v>
          </cell>
        </row>
        <row r="30">
          <cell r="F30">
            <v>0</v>
          </cell>
          <cell r="H30">
            <v>5</v>
          </cell>
          <cell r="I30">
            <v>13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1.9093932808495601E-3</v>
          </cell>
          <cell r="P30">
            <v>1.9093932808495601E-3</v>
          </cell>
          <cell r="Q30">
            <v>1.9093932808495601E-3</v>
          </cell>
          <cell r="R30">
            <v>1.9093932808495601E-3</v>
          </cell>
          <cell r="S30">
            <v>1.9093932808495601E-3</v>
          </cell>
          <cell r="T30">
            <v>1.9093932808495601E-3</v>
          </cell>
          <cell r="U30">
            <v>1.9093932808495601E-3</v>
          </cell>
          <cell r="V30">
            <v>1.9093932808495601E-3</v>
          </cell>
          <cell r="W30">
            <v>1.9093932808495601E-3</v>
          </cell>
          <cell r="X30">
            <v>0</v>
          </cell>
          <cell r="Y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J31">
            <v>70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</row>
        <row r="32">
          <cell r="F32">
            <v>0</v>
          </cell>
          <cell r="H32">
            <v>3</v>
          </cell>
          <cell r="I32">
            <v>12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</row>
        <row r="33">
          <cell r="A33" t="str">
            <v>A.L.</v>
          </cell>
          <cell r="B33" t="str">
            <v>Albañileria de hormigon celular</v>
          </cell>
          <cell r="C33">
            <v>11.586</v>
          </cell>
          <cell r="D33">
            <v>2780.64</v>
          </cell>
          <cell r="E33">
            <v>556.12800000000004</v>
          </cell>
          <cell r="F33">
            <v>3546.9839999999999</v>
          </cell>
          <cell r="G33">
            <v>5.0125893296344474E-2</v>
          </cell>
          <cell r="J33">
            <v>91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XXXXX</v>
          </cell>
          <cell r="Q33" t="str">
            <v>XXXXX</v>
          </cell>
          <cell r="R33" t="str">
            <v>XXXXX</v>
          </cell>
          <cell r="S33" t="str">
            <v>XXXXX</v>
          </cell>
          <cell r="T33" t="str">
            <v>XXXXX</v>
          </cell>
          <cell r="U33" t="str">
            <v>XXXXX</v>
          </cell>
          <cell r="V33" t="str">
            <v>XXXXX</v>
          </cell>
          <cell r="W33" t="str">
            <v>XXXXX</v>
          </cell>
          <cell r="X33" t="str">
            <v>XXXXX</v>
          </cell>
          <cell r="Y33" t="str">
            <v>XXXXX</v>
          </cell>
        </row>
        <row r="34">
          <cell r="F34">
            <v>0</v>
          </cell>
          <cell r="H34">
            <v>6</v>
          </cell>
          <cell r="I34">
            <v>18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3.8558379458726519E-3</v>
          </cell>
          <cell r="Q34">
            <v>3.8558379458726519E-3</v>
          </cell>
          <cell r="R34">
            <v>3.8558379458726519E-3</v>
          </cell>
          <cell r="S34">
            <v>3.8558379458726519E-3</v>
          </cell>
          <cell r="T34">
            <v>3.8558379458726519E-3</v>
          </cell>
          <cell r="U34">
            <v>3.8558379458726519E-3</v>
          </cell>
          <cell r="V34">
            <v>3.8558379458726519E-3</v>
          </cell>
          <cell r="W34">
            <v>3.8558379458726519E-3</v>
          </cell>
          <cell r="X34">
            <v>3.8558379458726519E-3</v>
          </cell>
          <cell r="Y34">
            <v>3.8558379458726519E-3</v>
          </cell>
        </row>
        <row r="35">
          <cell r="B35" t="str">
            <v>estuco bloque hormigon celular</v>
          </cell>
          <cell r="C35">
            <v>6.1320000000000006</v>
          </cell>
          <cell r="D35">
            <v>1471.68</v>
          </cell>
          <cell r="E35">
            <v>294.33600000000001</v>
          </cell>
          <cell r="F35">
            <v>1877.2750000000001</v>
          </cell>
          <cell r="G35">
            <v>2.6529605529062177E-2</v>
          </cell>
          <cell r="J35">
            <v>105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 t="str">
            <v>XXXXX</v>
          </cell>
          <cell r="T35" t="str">
            <v>XXXXX</v>
          </cell>
          <cell r="U35" t="str">
            <v>XXXXX</v>
          </cell>
          <cell r="V35" t="str">
            <v>XXXXX</v>
          </cell>
          <cell r="W35" t="str">
            <v>XXXXX</v>
          </cell>
          <cell r="X35" t="str">
            <v>XXXXX</v>
          </cell>
          <cell r="Y35" t="str">
            <v>XXXXX</v>
          </cell>
        </row>
        <row r="36">
          <cell r="F36">
            <v>0</v>
          </cell>
          <cell r="H36">
            <v>9</v>
          </cell>
          <cell r="I36">
            <v>23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1.7686403686041452E-3</v>
          </cell>
          <cell r="T36">
            <v>1.7686403686041452E-3</v>
          </cell>
          <cell r="U36">
            <v>1.7686403686041452E-3</v>
          </cell>
          <cell r="V36">
            <v>1.7686403686041452E-3</v>
          </cell>
          <cell r="W36">
            <v>1.7686403686041452E-3</v>
          </cell>
          <cell r="X36">
            <v>1.7686403686041452E-3</v>
          </cell>
          <cell r="Y36">
            <v>1.7686403686041452E-3</v>
          </cell>
        </row>
        <row r="37">
          <cell r="A37" t="str">
            <v>H.A.</v>
          </cell>
          <cell r="B37" t="str">
            <v>Acero pilares, cadenas y vigas 1º piso</v>
          </cell>
          <cell r="C37">
            <v>1.008</v>
          </cell>
          <cell r="D37">
            <v>241.92</v>
          </cell>
          <cell r="E37">
            <v>48.384</v>
          </cell>
          <cell r="F37">
            <v>308.59300000000002</v>
          </cell>
          <cell r="G37">
            <v>4.3610289163973767E-3</v>
          </cell>
          <cell r="J37">
            <v>84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 t="str">
            <v>XXXXX</v>
          </cell>
          <cell r="T37" t="str">
            <v>XXXXX</v>
          </cell>
          <cell r="U37" t="str">
            <v>XXXXX</v>
          </cell>
          <cell r="V37" t="str">
            <v>XXXXX</v>
          </cell>
          <cell r="W37" t="str">
            <v>XXXXX</v>
          </cell>
          <cell r="X37" t="str">
            <v>XXXXX</v>
          </cell>
          <cell r="Y37" t="str">
            <v>XXXXX</v>
          </cell>
        </row>
        <row r="38">
          <cell r="F38">
            <v>0</v>
          </cell>
          <cell r="H38">
            <v>9</v>
          </cell>
          <cell r="I38">
            <v>20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3.6341907636644808E-4</v>
          </cell>
          <cell r="T38">
            <v>3.6341907636644808E-4</v>
          </cell>
          <cell r="U38">
            <v>3.6341907636644808E-4</v>
          </cell>
          <cell r="V38">
            <v>3.6341907636644808E-4</v>
          </cell>
          <cell r="W38">
            <v>3.6341907636644808E-4</v>
          </cell>
          <cell r="X38">
            <v>3.6341907636644808E-4</v>
          </cell>
          <cell r="Y38">
            <v>3.6341907636644808E-4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J39">
            <v>77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</row>
        <row r="40">
          <cell r="F40">
            <v>0</v>
          </cell>
          <cell r="H40">
            <v>11</v>
          </cell>
          <cell r="I40">
            <v>21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J41">
            <v>77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</row>
        <row r="42">
          <cell r="F42">
            <v>0</v>
          </cell>
          <cell r="H42">
            <v>8</v>
          </cell>
          <cell r="I42">
            <v>18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J43">
            <v>77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</row>
        <row r="44">
          <cell r="F44">
            <v>0</v>
          </cell>
          <cell r="H44">
            <v>8</v>
          </cell>
          <cell r="I44">
            <v>18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</row>
        <row r="45">
          <cell r="B45" t="str">
            <v>Moldajes pilares, cadena y vigas 1º piso</v>
          </cell>
          <cell r="C45">
            <v>2.7269999999999999</v>
          </cell>
          <cell r="D45">
            <v>654.48</v>
          </cell>
          <cell r="E45">
            <v>130.89599999999999</v>
          </cell>
          <cell r="F45">
            <v>834.85500000000002</v>
          </cell>
          <cell r="G45">
            <v>1.1798150949629225E-2</v>
          </cell>
          <cell r="J45">
            <v>84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 t="str">
            <v>XXXXX</v>
          </cell>
          <cell r="S45" t="str">
            <v>XXXXX</v>
          </cell>
          <cell r="T45" t="str">
            <v>XXXXX</v>
          </cell>
          <cell r="U45" t="str">
            <v>XXXXX</v>
          </cell>
          <cell r="V45" t="str">
            <v>XXXXX</v>
          </cell>
          <cell r="W45" t="str">
            <v>XXXXX</v>
          </cell>
          <cell r="X45" t="str">
            <v>XXXXX</v>
          </cell>
          <cell r="Y45" t="str">
            <v>XXXXX</v>
          </cell>
        </row>
        <row r="46">
          <cell r="F46">
            <v>0</v>
          </cell>
          <cell r="H46">
            <v>8</v>
          </cell>
          <cell r="I46">
            <v>19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9.831792458024353E-4</v>
          </cell>
          <cell r="S46">
            <v>9.831792458024353E-4</v>
          </cell>
          <cell r="T46">
            <v>9.831792458024353E-4</v>
          </cell>
          <cell r="U46">
            <v>9.831792458024353E-4</v>
          </cell>
          <cell r="V46">
            <v>9.831792458024353E-4</v>
          </cell>
          <cell r="W46">
            <v>9.831792458024353E-4</v>
          </cell>
          <cell r="X46">
            <v>9.831792458024353E-4</v>
          </cell>
          <cell r="Y46">
            <v>9.831792458024353E-4</v>
          </cell>
        </row>
        <row r="47">
          <cell r="B47" t="str">
            <v>estructura de entrepiso arm52,38</v>
          </cell>
          <cell r="C47">
            <v>12.295999999999999</v>
          </cell>
          <cell r="D47">
            <v>2951.04</v>
          </cell>
          <cell r="E47">
            <v>590.20799999999997</v>
          </cell>
          <cell r="F47">
            <v>3764.3470000000002</v>
          </cell>
          <cell r="G47">
            <v>5.3197662028476714E-2</v>
          </cell>
          <cell r="J47">
            <v>84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 t="str">
            <v>XXXXX</v>
          </cell>
          <cell r="T47" t="str">
            <v>XXXXX</v>
          </cell>
          <cell r="U47" t="str">
            <v>XXXXX</v>
          </cell>
          <cell r="V47" t="str">
            <v>XXXXX</v>
          </cell>
          <cell r="W47" t="str">
            <v>XXXXX</v>
          </cell>
          <cell r="X47" t="str">
            <v>XXXXX</v>
          </cell>
          <cell r="Y47" t="str">
            <v>XXXXX</v>
          </cell>
        </row>
        <row r="48">
          <cell r="F48">
            <v>0</v>
          </cell>
          <cell r="H48">
            <v>9</v>
          </cell>
          <cell r="I48">
            <v>20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4.4331385023730595E-3</v>
          </cell>
          <cell r="T48">
            <v>4.4331385023730595E-3</v>
          </cell>
          <cell r="U48">
            <v>4.4331385023730595E-3</v>
          </cell>
          <cell r="V48">
            <v>4.4331385023730595E-3</v>
          </cell>
          <cell r="W48">
            <v>4.4331385023730595E-3</v>
          </cell>
          <cell r="X48">
            <v>4.4331385023730595E-3</v>
          </cell>
          <cell r="Y48">
            <v>4.4331385023730595E-3</v>
          </cell>
        </row>
        <row r="49">
          <cell r="B49" t="str">
            <v>hormigon para cadena y vigas 1 piso</v>
          </cell>
          <cell r="C49">
            <v>3.27</v>
          </cell>
          <cell r="D49">
            <v>784.8</v>
          </cell>
          <cell r="E49">
            <v>156.96</v>
          </cell>
          <cell r="F49">
            <v>1001.091</v>
          </cell>
          <cell r="G49">
            <v>1.414739413708401E-2</v>
          </cell>
          <cell r="J49">
            <v>77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 t="str">
            <v>XXXXX</v>
          </cell>
          <cell r="S49" t="str">
            <v>XXXXX</v>
          </cell>
          <cell r="T49" t="str">
            <v>XXXXX</v>
          </cell>
          <cell r="U49" t="str">
            <v>XXXXX</v>
          </cell>
          <cell r="V49" t="str">
            <v>XXXXX</v>
          </cell>
          <cell r="W49" t="str">
            <v>XXXXX</v>
          </cell>
          <cell r="X49" t="str">
            <v>XXXXX</v>
          </cell>
          <cell r="Y49" t="str">
            <v>XXXXX</v>
          </cell>
        </row>
        <row r="50">
          <cell r="F50">
            <v>0</v>
          </cell>
          <cell r="H50">
            <v>8</v>
          </cell>
          <cell r="I50">
            <v>18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1.2861267397349099E-3</v>
          </cell>
          <cell r="S50">
            <v>1.2861267397349099E-3</v>
          </cell>
          <cell r="T50">
            <v>1.2861267397349099E-3</v>
          </cell>
          <cell r="U50">
            <v>1.2861267397349099E-3</v>
          </cell>
          <cell r="V50">
            <v>1.2861267397349099E-3</v>
          </cell>
          <cell r="W50">
            <v>1.2861267397349099E-3</v>
          </cell>
          <cell r="X50">
            <v>1.2861267397349099E-3</v>
          </cell>
          <cell r="Y50">
            <v>1.2861267397349099E-3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J51">
            <v>77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</row>
        <row r="52">
          <cell r="F52">
            <v>0</v>
          </cell>
          <cell r="H52">
            <v>9</v>
          </cell>
          <cell r="I52">
            <v>19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J53">
            <v>77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</row>
        <row r="54">
          <cell r="F54">
            <v>0</v>
          </cell>
          <cell r="H54">
            <v>10</v>
          </cell>
          <cell r="I54">
            <v>20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J55">
            <v>77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</row>
        <row r="56">
          <cell r="F56">
            <v>0</v>
          </cell>
          <cell r="H56">
            <v>9</v>
          </cell>
          <cell r="I56">
            <v>19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</row>
        <row r="57">
          <cell r="A57" t="str">
            <v>R.R.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J57">
            <v>21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</row>
        <row r="58">
          <cell r="F58">
            <v>0</v>
          </cell>
          <cell r="H58">
            <v>2</v>
          </cell>
          <cell r="I58">
            <v>4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B59" t="str">
            <v>Relleno compacto</v>
          </cell>
          <cell r="C59">
            <v>0.59200000000000008</v>
          </cell>
          <cell r="D59">
            <v>142.08000000000001</v>
          </cell>
          <cell r="E59">
            <v>28.416</v>
          </cell>
          <cell r="F59">
            <v>181.23699999999999</v>
          </cell>
          <cell r="G59">
            <v>2.5612369616974827E-3</v>
          </cell>
          <cell r="J59">
            <v>63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 t="str">
            <v>XXXXX</v>
          </cell>
          <cell r="Q59" t="str">
            <v>XXXXX</v>
          </cell>
          <cell r="R59" t="str">
            <v>XXXXX</v>
          </cell>
          <cell r="S59" t="str">
            <v>XXXXX</v>
          </cell>
          <cell r="T59" t="str">
            <v>XXXXX</v>
          </cell>
          <cell r="U59" t="str">
            <v>XXXXX</v>
          </cell>
          <cell r="V59" t="str">
            <v>XXXXX</v>
          </cell>
          <cell r="W59" t="str">
            <v>XXXXX</v>
          </cell>
          <cell r="X59" t="str">
            <v>XXXXX</v>
          </cell>
          <cell r="Y59">
            <v>0</v>
          </cell>
        </row>
        <row r="60">
          <cell r="F60">
            <v>0</v>
          </cell>
          <cell r="H60">
            <v>6</v>
          </cell>
          <cell r="I60">
            <v>14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2.8458188463305361E-4</v>
          </cell>
          <cell r="Q60">
            <v>2.8458188463305361E-4</v>
          </cell>
          <cell r="R60">
            <v>2.8458188463305361E-4</v>
          </cell>
          <cell r="S60">
            <v>2.8458188463305361E-4</v>
          </cell>
          <cell r="T60">
            <v>2.8458188463305361E-4</v>
          </cell>
          <cell r="U60">
            <v>2.8458188463305361E-4</v>
          </cell>
          <cell r="V60">
            <v>2.8458188463305361E-4</v>
          </cell>
          <cell r="W60">
            <v>2.8458188463305361E-4</v>
          </cell>
          <cell r="X60">
            <v>2.8458188463305361E-4</v>
          </cell>
          <cell r="Y60">
            <v>0</v>
          </cell>
        </row>
        <row r="61">
          <cell r="B61" t="str">
            <v xml:space="preserve">Base ripio </v>
          </cell>
          <cell r="C61">
            <v>0.81199999999999994</v>
          </cell>
          <cell r="D61">
            <v>194.88</v>
          </cell>
          <cell r="E61">
            <v>38.975999999999999</v>
          </cell>
          <cell r="F61">
            <v>248.589</v>
          </cell>
          <cell r="G61">
            <v>3.5130538194265825E-3</v>
          </cell>
          <cell r="J61">
            <v>70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 t="str">
            <v>XXXXX</v>
          </cell>
          <cell r="Q61" t="str">
            <v>XXXXX</v>
          </cell>
          <cell r="R61" t="str">
            <v>XXXXX</v>
          </cell>
          <cell r="S61" t="str">
            <v>XXXXX</v>
          </cell>
          <cell r="T61" t="str">
            <v>XXXXX</v>
          </cell>
          <cell r="U61" t="str">
            <v>XXXXX</v>
          </cell>
          <cell r="V61" t="str">
            <v>XXXXX</v>
          </cell>
          <cell r="W61" t="str">
            <v>XXXXX</v>
          </cell>
          <cell r="X61" t="str">
            <v>XXXXX</v>
          </cell>
          <cell r="Y61" t="str">
            <v>XXXXX</v>
          </cell>
        </row>
        <row r="62">
          <cell r="F62">
            <v>0</v>
          </cell>
          <cell r="H62">
            <v>6</v>
          </cell>
          <cell r="I62">
            <v>15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3.5130538194265827E-4</v>
          </cell>
          <cell r="Q62">
            <v>3.5130538194265827E-4</v>
          </cell>
          <cell r="R62">
            <v>3.5130538194265827E-4</v>
          </cell>
          <cell r="S62">
            <v>3.5130538194265827E-4</v>
          </cell>
          <cell r="T62">
            <v>3.5130538194265827E-4</v>
          </cell>
          <cell r="U62">
            <v>3.5130538194265827E-4</v>
          </cell>
          <cell r="V62">
            <v>3.5130538194265827E-4</v>
          </cell>
          <cell r="W62">
            <v>3.5130538194265827E-4</v>
          </cell>
          <cell r="X62">
            <v>3.5130538194265827E-4</v>
          </cell>
          <cell r="Y62">
            <v>3.5130538194265827E-4</v>
          </cell>
        </row>
        <row r="63">
          <cell r="B63" t="str">
            <v xml:space="preserve">Radier </v>
          </cell>
          <cell r="C63">
            <v>6.1770000000000005</v>
          </cell>
          <cell r="D63">
            <v>1482.48</v>
          </cell>
          <cell r="E63">
            <v>296.49599999999998</v>
          </cell>
          <cell r="F63">
            <v>1891.0509999999999</v>
          </cell>
          <cell r="G63">
            <v>2.6724287632519772E-2</v>
          </cell>
          <cell r="J63">
            <v>70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XXXXX</v>
          </cell>
          <cell r="R63" t="str">
            <v>XXXXX</v>
          </cell>
          <cell r="S63" t="str">
            <v>XXXXX</v>
          </cell>
          <cell r="T63" t="str">
            <v>XXXXX</v>
          </cell>
          <cell r="U63" t="str">
            <v>XXXXX</v>
          </cell>
          <cell r="V63" t="str">
            <v>XXXXX</v>
          </cell>
          <cell r="W63" t="str">
            <v>XXXXX</v>
          </cell>
          <cell r="X63" t="str">
            <v>XXXXX</v>
          </cell>
          <cell r="Y63" t="str">
            <v>XXXXX</v>
          </cell>
        </row>
        <row r="64">
          <cell r="F64">
            <v>0</v>
          </cell>
          <cell r="H64">
            <v>7</v>
          </cell>
          <cell r="I64">
            <v>16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2.6724287632519774E-3</v>
          </cell>
          <cell r="R64">
            <v>2.6724287632519774E-3</v>
          </cell>
          <cell r="S64">
            <v>2.6724287632519774E-3</v>
          </cell>
          <cell r="T64">
            <v>2.6724287632519774E-3</v>
          </cell>
          <cell r="U64">
            <v>2.6724287632519774E-3</v>
          </cell>
          <cell r="V64">
            <v>2.6724287632519774E-3</v>
          </cell>
          <cell r="W64">
            <v>2.6724287632519774E-3</v>
          </cell>
          <cell r="X64">
            <v>2.6724287632519774E-3</v>
          </cell>
          <cell r="Y64">
            <v>2.6724287632519774E-3</v>
          </cell>
        </row>
        <row r="65">
          <cell r="B65" t="str">
            <v>Afinado radier en fresco</v>
          </cell>
          <cell r="C65">
            <v>1.3049999999999999</v>
          </cell>
          <cell r="D65">
            <v>313.2</v>
          </cell>
          <cell r="E65">
            <v>62.64</v>
          </cell>
          <cell r="F65">
            <v>399.51799999999997</v>
          </cell>
          <cell r="G65">
            <v>5.6459788479364306E-3</v>
          </cell>
          <cell r="J65">
            <v>70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XXXXX</v>
          </cell>
          <cell r="R65" t="str">
            <v>XXXXX</v>
          </cell>
          <cell r="S65" t="str">
            <v>XXXXX</v>
          </cell>
          <cell r="T65" t="str">
            <v>XXXXX</v>
          </cell>
          <cell r="U65" t="str">
            <v>XXXXX</v>
          </cell>
          <cell r="V65" t="str">
            <v>XXXXX</v>
          </cell>
          <cell r="W65" t="str">
            <v>XXXXX</v>
          </cell>
          <cell r="X65" t="str">
            <v>XXXXX</v>
          </cell>
          <cell r="Y65" t="str">
            <v>XXXXX</v>
          </cell>
        </row>
        <row r="66">
          <cell r="F66">
            <v>0</v>
          </cell>
          <cell r="H66">
            <v>7</v>
          </cell>
          <cell r="I66">
            <v>16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5.645978847936431E-4</v>
          </cell>
          <cell r="R66">
            <v>5.645978847936431E-4</v>
          </cell>
          <cell r="S66">
            <v>5.645978847936431E-4</v>
          </cell>
          <cell r="T66">
            <v>5.645978847936431E-4</v>
          </cell>
          <cell r="U66">
            <v>5.645978847936431E-4</v>
          </cell>
          <cell r="V66">
            <v>5.645978847936431E-4</v>
          </cell>
          <cell r="W66">
            <v>5.645978847936431E-4</v>
          </cell>
          <cell r="X66">
            <v>5.645978847936431E-4</v>
          </cell>
          <cell r="Y66">
            <v>5.645978847936431E-4</v>
          </cell>
        </row>
        <row r="67">
          <cell r="A67" t="str">
            <v>E.C.</v>
          </cell>
          <cell r="B67" t="str">
            <v>Estructura Techumbre arm52,38</v>
          </cell>
          <cell r="C67">
            <v>9.32</v>
          </cell>
          <cell r="D67">
            <v>2236.8000000000002</v>
          </cell>
          <cell r="E67">
            <v>447.36</v>
          </cell>
          <cell r="F67">
            <v>2853.2620000000002</v>
          </cell>
          <cell r="G67">
            <v>4.0322230536848892E-2</v>
          </cell>
          <cell r="J67">
            <v>77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 t="str">
            <v>XXXXX</v>
          </cell>
          <cell r="V67" t="str">
            <v>XXXXX</v>
          </cell>
          <cell r="W67" t="str">
            <v>XXXXX</v>
          </cell>
          <cell r="X67" t="str">
            <v>XXXXX</v>
          </cell>
          <cell r="Y67" t="str">
            <v>XXXXX</v>
          </cell>
        </row>
        <row r="68">
          <cell r="F68">
            <v>0</v>
          </cell>
          <cell r="H68">
            <v>11</v>
          </cell>
          <cell r="I68">
            <v>21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3.6656573215317176E-3</v>
          </cell>
          <cell r="V68">
            <v>3.6656573215317176E-3</v>
          </cell>
          <cell r="W68">
            <v>3.6656573215317176E-3</v>
          </cell>
          <cell r="X68">
            <v>3.6656573215317176E-3</v>
          </cell>
          <cell r="Y68">
            <v>3.6656573215317176E-3</v>
          </cell>
        </row>
        <row r="69">
          <cell r="B69" t="str">
            <v>Cubierta</v>
          </cell>
          <cell r="C69">
            <v>6.5179999999999998</v>
          </cell>
          <cell r="D69">
            <v>1564.32</v>
          </cell>
          <cell r="E69">
            <v>312.86399999999998</v>
          </cell>
          <cell r="F69">
            <v>1995.4469999999999</v>
          </cell>
          <cell r="G69">
            <v>2.8199609414790338E-2</v>
          </cell>
          <cell r="J69">
            <v>84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 t="str">
            <v>XXXXX</v>
          </cell>
          <cell r="V69" t="str">
            <v>XXXXX</v>
          </cell>
          <cell r="W69" t="str">
            <v>XXXXX</v>
          </cell>
          <cell r="X69" t="str">
            <v>XXXXX</v>
          </cell>
          <cell r="Y69" t="str">
            <v>XXXXX</v>
          </cell>
        </row>
        <row r="70">
          <cell r="F70">
            <v>0</v>
          </cell>
          <cell r="H70">
            <v>11</v>
          </cell>
          <cell r="I70">
            <v>22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2.349967451232528E-3</v>
          </cell>
          <cell r="V70">
            <v>2.349967451232528E-3</v>
          </cell>
          <cell r="W70">
            <v>2.349967451232528E-3</v>
          </cell>
          <cell r="X70">
            <v>2.349967451232528E-3</v>
          </cell>
          <cell r="Y70">
            <v>2.349967451232528E-3</v>
          </cell>
        </row>
        <row r="71">
          <cell r="B71" t="str">
            <v>Caballetes zinc-alum</v>
          </cell>
          <cell r="C71">
            <v>0.53900000000000003</v>
          </cell>
          <cell r="D71">
            <v>129.36000000000001</v>
          </cell>
          <cell r="E71">
            <v>25.872</v>
          </cell>
          <cell r="F71">
            <v>165.012</v>
          </cell>
          <cell r="G71">
            <v>2.3319456486458339E-3</v>
          </cell>
          <cell r="J71">
            <v>56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XXXXX</v>
          </cell>
        </row>
        <row r="72">
          <cell r="F72">
            <v>0</v>
          </cell>
          <cell r="H72">
            <v>15</v>
          </cell>
          <cell r="I72">
            <v>22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2.9149320608072923E-4</v>
          </cell>
        </row>
        <row r="73">
          <cell r="B73" t="str">
            <v>bajadas de agua</v>
          </cell>
          <cell r="C73">
            <v>0.98799999999999999</v>
          </cell>
          <cell r="D73">
            <v>237.12</v>
          </cell>
          <cell r="E73">
            <v>47.423999999999999</v>
          </cell>
          <cell r="F73">
            <v>302.47000000000003</v>
          </cell>
          <cell r="G73">
            <v>4.274498826424172E-3</v>
          </cell>
          <cell r="J73">
            <v>77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 t="str">
            <v>XXXXX</v>
          </cell>
          <cell r="X73" t="str">
            <v>XXXXX</v>
          </cell>
          <cell r="Y73" t="str">
            <v>XXXXX</v>
          </cell>
        </row>
        <row r="74">
          <cell r="F74">
            <v>0</v>
          </cell>
          <cell r="H74">
            <v>13</v>
          </cell>
          <cell r="I74">
            <v>23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3.8859080240219744E-4</v>
          </cell>
          <cell r="X74">
            <v>3.8859080240219744E-4</v>
          </cell>
          <cell r="Y74">
            <v>3.8859080240219744E-4</v>
          </cell>
        </row>
        <row r="75">
          <cell r="B75" t="str">
            <v>canal de aguas lluvias d=33</v>
          </cell>
          <cell r="C75">
            <v>0.91900000000000004</v>
          </cell>
          <cell r="D75">
            <v>220.56</v>
          </cell>
          <cell r="E75">
            <v>44.112000000000002</v>
          </cell>
          <cell r="F75">
            <v>281.346</v>
          </cell>
          <cell r="G75">
            <v>3.9759749622082681E-3</v>
          </cell>
          <cell r="J75">
            <v>77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 t="str">
            <v>XXXXX</v>
          </cell>
          <cell r="X75" t="str">
            <v>XXXXX</v>
          </cell>
          <cell r="Y75" t="str">
            <v>XXXXX</v>
          </cell>
        </row>
        <row r="76">
          <cell r="F76">
            <v>0</v>
          </cell>
          <cell r="H76">
            <v>13</v>
          </cell>
          <cell r="I76">
            <v>23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3.6145226929166076E-4</v>
          </cell>
          <cell r="X76">
            <v>3.6145226929166076E-4</v>
          </cell>
          <cell r="Y76">
            <v>3.6145226929166076E-4</v>
          </cell>
        </row>
        <row r="77">
          <cell r="B77" t="str">
            <v>canal de aguas lluvias d=74cm</v>
          </cell>
          <cell r="C77">
            <v>2.2079999999999997</v>
          </cell>
          <cell r="D77">
            <v>529.91999999999996</v>
          </cell>
          <cell r="E77">
            <v>105.98399999999999</v>
          </cell>
          <cell r="F77">
            <v>675.96600000000001</v>
          </cell>
          <cell r="G77">
            <v>9.5527353909565967E-3</v>
          </cell>
          <cell r="J77">
            <v>84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 t="str">
            <v>XXXXX</v>
          </cell>
          <cell r="Y77" t="str">
            <v>XXXXX</v>
          </cell>
        </row>
        <row r="78">
          <cell r="F78">
            <v>0</v>
          </cell>
          <cell r="H78">
            <v>14</v>
          </cell>
          <cell r="I78">
            <v>25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7.9606128257971639E-4</v>
          </cell>
          <cell r="Y78">
            <v>7.9606128257971639E-4</v>
          </cell>
        </row>
        <row r="79">
          <cell r="A79" t="str">
            <v>A.R.</v>
          </cell>
          <cell r="B79" t="str">
            <v>Tapacán arm52,38</v>
          </cell>
          <cell r="C79">
            <v>1.143</v>
          </cell>
          <cell r="D79">
            <v>274.32</v>
          </cell>
          <cell r="E79">
            <v>54.863999999999997</v>
          </cell>
          <cell r="F79">
            <v>349.923</v>
          </cell>
          <cell r="G79">
            <v>4.9451034907224698E-3</v>
          </cell>
          <cell r="J79">
            <v>77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 t="str">
            <v>XXXXX</v>
          </cell>
          <cell r="W79" t="str">
            <v>XXXXX</v>
          </cell>
          <cell r="X79" t="str">
            <v>XXXXX</v>
          </cell>
          <cell r="Y79" t="str">
            <v>XXXXX</v>
          </cell>
        </row>
        <row r="80">
          <cell r="F80">
            <v>0</v>
          </cell>
          <cell r="H80">
            <v>12</v>
          </cell>
          <cell r="I80">
            <v>22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4.4955486279295179E-4</v>
          </cell>
          <cell r="W80">
            <v>4.4955486279295179E-4</v>
          </cell>
          <cell r="X80">
            <v>4.4955486279295179E-4</v>
          </cell>
          <cell r="Y80">
            <v>4.4955486279295179E-4</v>
          </cell>
        </row>
        <row r="81">
          <cell r="B81" t="str">
            <v xml:space="preserve">Revestimiento aleros </v>
          </cell>
          <cell r="C81">
            <v>1.611</v>
          </cell>
          <cell r="D81">
            <v>386.64</v>
          </cell>
          <cell r="E81">
            <v>77.328000000000003</v>
          </cell>
          <cell r="F81">
            <v>493.19799999999998</v>
          </cell>
          <cell r="G81">
            <v>6.9698623737717742E-3</v>
          </cell>
          <cell r="J81">
            <v>77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 t="str">
            <v>XXXXX</v>
          </cell>
          <cell r="W81" t="str">
            <v>XXXXX</v>
          </cell>
          <cell r="X81" t="str">
            <v>XXXXX</v>
          </cell>
          <cell r="Y81" t="str">
            <v>XXXXX</v>
          </cell>
        </row>
        <row r="82">
          <cell r="F82">
            <v>0</v>
          </cell>
          <cell r="H82">
            <v>12</v>
          </cell>
          <cell r="I82">
            <v>22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6.3362385216107037E-4</v>
          </cell>
          <cell r="W82">
            <v>6.3362385216107037E-4</v>
          </cell>
          <cell r="X82">
            <v>6.3362385216107037E-4</v>
          </cell>
          <cell r="Y82">
            <v>6.3362385216107037E-4</v>
          </cell>
        </row>
        <row r="83">
          <cell r="B83" t="str">
            <v>Revestimiento vinil siding</v>
          </cell>
          <cell r="C83">
            <v>6.7169999999999996</v>
          </cell>
          <cell r="D83">
            <v>1612.08</v>
          </cell>
          <cell r="E83">
            <v>322.416</v>
          </cell>
          <cell r="F83">
            <v>2056.3690000000001</v>
          </cell>
          <cell r="G83">
            <v>2.9060557665867848E-2</v>
          </cell>
          <cell r="J83">
            <v>77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 t="str">
            <v>XXXXX</v>
          </cell>
          <cell r="T83" t="str">
            <v>XXXXX</v>
          </cell>
          <cell r="U83" t="str">
            <v>XXXXX</v>
          </cell>
          <cell r="V83" t="str">
            <v>XXXXX</v>
          </cell>
          <cell r="W83" t="str">
            <v>XXXXX</v>
          </cell>
          <cell r="X83" t="str">
            <v>XXXXX</v>
          </cell>
          <cell r="Y83" t="str">
            <v>XXXXX</v>
          </cell>
        </row>
        <row r="84">
          <cell r="F84">
            <v>0</v>
          </cell>
          <cell r="H84">
            <v>9</v>
          </cell>
          <cell r="I84">
            <v>19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2.6418688787152589E-3</v>
          </cell>
          <cell r="T84">
            <v>2.6418688787152589E-3</v>
          </cell>
          <cell r="U84">
            <v>2.6418688787152589E-3</v>
          </cell>
          <cell r="V84">
            <v>2.4418688787152588E-3</v>
          </cell>
          <cell r="W84">
            <v>2.6418688787152589E-3</v>
          </cell>
          <cell r="X84">
            <v>2.6418688787152589E-3</v>
          </cell>
          <cell r="Y84">
            <v>2.6418688787152589E-3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J85">
            <v>77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</row>
        <row r="86">
          <cell r="F86">
            <v>0</v>
          </cell>
          <cell r="H86">
            <v>13</v>
          </cell>
          <cell r="I86">
            <v>23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J87">
            <v>77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</row>
        <row r="88">
          <cell r="F88">
            <v>0</v>
          </cell>
          <cell r="H88">
            <v>14</v>
          </cell>
          <cell r="I88">
            <v>24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</row>
        <row r="89">
          <cell r="A89" t="str">
            <v>R.O.G.</v>
          </cell>
          <cell r="B89" t="str">
            <v>encintado de cielo</v>
          </cell>
          <cell r="C89">
            <v>3.0300000000000002</v>
          </cell>
          <cell r="D89">
            <v>727.2</v>
          </cell>
          <cell r="E89">
            <v>145.44</v>
          </cell>
          <cell r="F89">
            <v>927.61599999999999</v>
          </cell>
          <cell r="G89">
            <v>1.3109047189381705E-2</v>
          </cell>
          <cell r="J89">
            <v>63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XXXXX</v>
          </cell>
          <cell r="V89" t="str">
            <v>XXXXX</v>
          </cell>
          <cell r="W89" t="str">
            <v>XXXXX</v>
          </cell>
          <cell r="X89" t="str">
            <v>XXXXX</v>
          </cell>
          <cell r="Y89" t="str">
            <v>XXXXX</v>
          </cell>
        </row>
        <row r="90">
          <cell r="F90">
            <v>0</v>
          </cell>
          <cell r="H90">
            <v>11</v>
          </cell>
          <cell r="I90">
            <v>19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1.4565607988201894E-3</v>
          </cell>
          <cell r="V90">
            <v>1.4565607988201894E-3</v>
          </cell>
          <cell r="W90">
            <v>1.4565607988201894E-3</v>
          </cell>
          <cell r="X90">
            <v>1.4565607988201894E-3</v>
          </cell>
          <cell r="Y90">
            <v>1.4565607988201894E-3</v>
          </cell>
        </row>
        <row r="91">
          <cell r="B91" t="str">
            <v>revestimimiento volcanita cielo 2do nivel</v>
          </cell>
          <cell r="C91">
            <v>3.1819999999999999</v>
          </cell>
          <cell r="D91">
            <v>763.68</v>
          </cell>
          <cell r="E91">
            <v>152.73599999999999</v>
          </cell>
          <cell r="F91">
            <v>974.15</v>
          </cell>
          <cell r="G91">
            <v>1.3766664567597139E-2</v>
          </cell>
          <cell r="J91">
            <v>70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 t="str">
            <v>XXXXX</v>
          </cell>
          <cell r="X91" t="str">
            <v>XXXXX</v>
          </cell>
          <cell r="Y91" t="str">
            <v>XXXXX</v>
          </cell>
        </row>
        <row r="92">
          <cell r="F92">
            <v>0</v>
          </cell>
          <cell r="H92">
            <v>13</v>
          </cell>
          <cell r="I92">
            <v>22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1.3766664567597139E-3</v>
          </cell>
          <cell r="X92">
            <v>1.3766664567597139E-3</v>
          </cell>
          <cell r="Y92">
            <v>1.3766664567597139E-3</v>
          </cell>
        </row>
        <row r="93">
          <cell r="B93" t="str">
            <v>fibrocemento cielo baño</v>
          </cell>
          <cell r="C93">
            <v>0.53400000000000003</v>
          </cell>
          <cell r="D93">
            <v>128.16</v>
          </cell>
          <cell r="E93">
            <v>25.632000000000001</v>
          </cell>
          <cell r="F93">
            <v>163.48099999999999</v>
          </cell>
          <cell r="G93">
            <v>2.310309593158495E-3</v>
          </cell>
          <cell r="J93">
            <v>70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 t="str">
            <v>XXXXX</v>
          </cell>
          <cell r="Y93" t="str">
            <v>XXXXX</v>
          </cell>
        </row>
        <row r="94">
          <cell r="F94">
            <v>0</v>
          </cell>
          <cell r="H94">
            <v>14</v>
          </cell>
          <cell r="I94">
            <v>23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2.3103095931584948E-4</v>
          </cell>
          <cell r="Y94">
            <v>2.3103095931584948E-4</v>
          </cell>
        </row>
        <row r="95">
          <cell r="B95" t="str">
            <v>aislacion techumbre</v>
          </cell>
          <cell r="C95">
            <v>5.7050000000000001</v>
          </cell>
          <cell r="D95">
            <v>1369.2</v>
          </cell>
          <cell r="E95">
            <v>273.83999999999997</v>
          </cell>
          <cell r="F95">
            <v>1746.5519999999999</v>
          </cell>
          <cell r="G95">
            <v>2.4682231210661518E-2</v>
          </cell>
          <cell r="J95">
            <v>77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</row>
        <row r="96">
          <cell r="F96">
            <v>0</v>
          </cell>
          <cell r="H96">
            <v>18</v>
          </cell>
          <cell r="I96">
            <v>28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</row>
        <row r="97">
          <cell r="B97" t="str">
            <v xml:space="preserve">aislacion paneles </v>
          </cell>
          <cell r="C97">
            <v>1.5620000000000001</v>
          </cell>
          <cell r="D97">
            <v>374.88</v>
          </cell>
          <cell r="E97">
            <v>74.975999999999999</v>
          </cell>
          <cell r="F97">
            <v>478.197</v>
          </cell>
          <cell r="G97">
            <v>6.7578685995290759E-3</v>
          </cell>
          <cell r="J97">
            <v>98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 t="str">
            <v>XXXXX</v>
          </cell>
          <cell r="X97" t="str">
            <v>XXXXX</v>
          </cell>
          <cell r="Y97" t="str">
            <v>XXXXX</v>
          </cell>
        </row>
        <row r="98">
          <cell r="F98">
            <v>0</v>
          </cell>
          <cell r="H98">
            <v>13</v>
          </cell>
          <cell r="I98">
            <v>26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4.8270489996636259E-4</v>
          </cell>
          <cell r="X98">
            <v>4.8270489996636259E-4</v>
          </cell>
          <cell r="Y98">
            <v>4.8270489996636259E-4</v>
          </cell>
        </row>
        <row r="99">
          <cell r="A99" t="str">
            <v>C.A.</v>
          </cell>
          <cell r="B99" t="str">
            <v>escaleras</v>
          </cell>
          <cell r="C99">
            <v>4.9260000000000002</v>
          </cell>
          <cell r="D99">
            <v>1182.24</v>
          </cell>
          <cell r="E99">
            <v>236.44800000000001</v>
          </cell>
          <cell r="F99">
            <v>1508.0650000000001</v>
          </cell>
          <cell r="G99">
            <v>2.131193861431338E-2</v>
          </cell>
          <cell r="J99">
            <v>77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 t="str">
            <v>XXXXX</v>
          </cell>
          <cell r="X99" t="str">
            <v>XXXXX</v>
          </cell>
          <cell r="Y99" t="str">
            <v>XXXXX</v>
          </cell>
        </row>
        <row r="100">
          <cell r="F100">
            <v>0</v>
          </cell>
          <cell r="H100">
            <v>13</v>
          </cell>
          <cell r="I100">
            <v>23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1.93744896493758E-3</v>
          </cell>
          <cell r="X100">
            <v>1.93744896493758E-3</v>
          </cell>
          <cell r="Y100">
            <v>1.93744896493758E-3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J101">
            <v>84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</row>
        <row r="102">
          <cell r="F102">
            <v>0</v>
          </cell>
          <cell r="H102">
            <v>13</v>
          </cell>
          <cell r="I102">
            <v>24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J103">
            <v>77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</row>
        <row r="104">
          <cell r="F104">
            <v>0</v>
          </cell>
          <cell r="H104">
            <v>14</v>
          </cell>
          <cell r="I104">
            <v>24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</row>
        <row r="105">
          <cell r="A105" t="str">
            <v>T.A.</v>
          </cell>
          <cell r="B105" t="str">
            <v>Estructura de madera</v>
          </cell>
          <cell r="C105">
            <v>27.872</v>
          </cell>
          <cell r="D105">
            <v>6689.28</v>
          </cell>
          <cell r="E105">
            <v>1337.856</v>
          </cell>
          <cell r="F105">
            <v>8532.8459999999995</v>
          </cell>
          <cell r="G105">
            <v>0.12058597617303594</v>
          </cell>
          <cell r="J105">
            <v>91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 t="str">
            <v>XXXXX</v>
          </cell>
          <cell r="W105" t="str">
            <v>XXXXX</v>
          </cell>
          <cell r="X105" t="str">
            <v>XXXXX</v>
          </cell>
          <cell r="Y105" t="str">
            <v>XXXXX</v>
          </cell>
        </row>
        <row r="106">
          <cell r="F106">
            <v>0</v>
          </cell>
          <cell r="H106">
            <v>12</v>
          </cell>
          <cell r="I106">
            <v>24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9.0758443210027639E-3</v>
          </cell>
          <cell r="W106">
            <v>9.2758443210027644E-3</v>
          </cell>
          <cell r="X106">
            <v>9.2758443210027644E-3</v>
          </cell>
          <cell r="Y106">
            <v>9.2758443210027644E-3</v>
          </cell>
        </row>
        <row r="107">
          <cell r="B107" t="str">
            <v>Forro planchas de fibrocemento</v>
          </cell>
          <cell r="C107">
            <v>2.661</v>
          </cell>
          <cell r="D107">
            <v>638.64</v>
          </cell>
          <cell r="E107">
            <v>127.72799999999999</v>
          </cell>
          <cell r="F107">
            <v>814.649</v>
          </cell>
          <cell r="G107">
            <v>1.1512600239520035E-2</v>
          </cell>
          <cell r="J107">
            <v>84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 t="str">
            <v>XXXXX</v>
          </cell>
          <cell r="X107" t="str">
            <v>XXXXX</v>
          </cell>
          <cell r="Y107" t="str">
            <v>XXXXX</v>
          </cell>
        </row>
        <row r="108">
          <cell r="F108">
            <v>0</v>
          </cell>
          <cell r="H108">
            <v>13</v>
          </cell>
          <cell r="I108">
            <v>24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9.5938335329333628E-4</v>
          </cell>
          <cell r="X108">
            <v>9.5938335329333628E-4</v>
          </cell>
          <cell r="Y108">
            <v>9.5938335329333628E-4</v>
          </cell>
        </row>
        <row r="109">
          <cell r="B109" t="str">
            <v>Forro planchas de yeso-cartón</v>
          </cell>
          <cell r="C109">
            <v>8.0500000000000007</v>
          </cell>
          <cell r="D109">
            <v>1932</v>
          </cell>
          <cell r="E109">
            <v>386.4</v>
          </cell>
          <cell r="F109">
            <v>2464.4589999999998</v>
          </cell>
          <cell r="G109">
            <v>3.4827675813371532E-2</v>
          </cell>
          <cell r="J109">
            <v>84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 t="str">
            <v>XXXXX</v>
          </cell>
          <cell r="Y109" t="str">
            <v>XXXXX</v>
          </cell>
        </row>
        <row r="110">
          <cell r="F110">
            <v>0</v>
          </cell>
          <cell r="H110">
            <v>14</v>
          </cell>
          <cell r="I110">
            <v>25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2.9023063177809612E-3</v>
          </cell>
          <cell r="Y110">
            <v>2.9023063177809612E-3</v>
          </cell>
        </row>
        <row r="111"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J111">
            <v>84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</row>
        <row r="112">
          <cell r="F112">
            <v>0</v>
          </cell>
          <cell r="H112">
            <v>14</v>
          </cell>
          <cell r="I112">
            <v>25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</row>
        <row r="113">
          <cell r="A113" t="str">
            <v>V.M.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J113">
            <v>70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</row>
        <row r="114">
          <cell r="F114">
            <v>0</v>
          </cell>
          <cell r="H114">
            <v>15</v>
          </cell>
          <cell r="I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</row>
        <row r="115">
          <cell r="B115" t="str">
            <v xml:space="preserve">Ventanas de  PVC </v>
          </cell>
          <cell r="C115">
            <v>8.1399999999999988</v>
          </cell>
          <cell r="D115">
            <v>1953.6</v>
          </cell>
          <cell r="E115">
            <v>390.72</v>
          </cell>
          <cell r="F115">
            <v>2492.0120000000002</v>
          </cell>
          <cell r="G115">
            <v>3.521705415226288E-2</v>
          </cell>
          <cell r="J115">
            <v>77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</row>
        <row r="116">
          <cell r="F116">
            <v>0</v>
          </cell>
          <cell r="H116">
            <v>16</v>
          </cell>
          <cell r="I116">
            <v>26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J117">
            <v>77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</row>
        <row r="118">
          <cell r="F118">
            <v>0</v>
          </cell>
          <cell r="H118">
            <v>16</v>
          </cell>
          <cell r="I118">
            <v>26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</row>
        <row r="119">
          <cell r="A119" t="str">
            <v>V.D.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J119">
            <v>77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</row>
        <row r="120">
          <cell r="F120">
            <v>0</v>
          </cell>
          <cell r="H120">
            <v>16</v>
          </cell>
          <cell r="I120">
            <v>26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J121">
            <v>77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</row>
        <row r="122">
          <cell r="F122">
            <v>0</v>
          </cell>
          <cell r="H122">
            <v>16</v>
          </cell>
          <cell r="I122">
            <v>26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</row>
        <row r="123">
          <cell r="A123" t="str">
            <v>P.T.</v>
          </cell>
          <cell r="B123" t="str">
            <v>Puertas arm 52,38</v>
          </cell>
          <cell r="C123">
            <v>5.3159999999999998</v>
          </cell>
          <cell r="D123">
            <v>1275.8399999999999</v>
          </cell>
          <cell r="E123">
            <v>255.16800000000001</v>
          </cell>
          <cell r="F123">
            <v>1627.462</v>
          </cell>
          <cell r="G123">
            <v>2.2999254170826645E-2</v>
          </cell>
          <cell r="J123">
            <v>105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 t="str">
            <v>XXXXX</v>
          </cell>
          <cell r="W123" t="str">
            <v>XXXXX</v>
          </cell>
          <cell r="X123" t="str">
            <v>XXXXX</v>
          </cell>
          <cell r="Y123" t="str">
            <v>XXXXX</v>
          </cell>
        </row>
        <row r="124">
          <cell r="F124">
            <v>0</v>
          </cell>
          <cell r="H124">
            <v>12</v>
          </cell>
          <cell r="I124">
            <v>26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1.533283611388443E-3</v>
          </cell>
          <cell r="W124">
            <v>1.533283611388443E-3</v>
          </cell>
          <cell r="X124">
            <v>1.533283611388443E-3</v>
          </cell>
          <cell r="Y124">
            <v>1.533283611388443E-3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J125">
            <v>105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</row>
        <row r="126">
          <cell r="F126">
            <v>0</v>
          </cell>
          <cell r="H126">
            <v>12</v>
          </cell>
          <cell r="I126">
            <v>26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J127">
            <v>105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</row>
        <row r="128">
          <cell r="F128">
            <v>0</v>
          </cell>
          <cell r="H128">
            <v>15</v>
          </cell>
          <cell r="I128">
            <v>29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J129">
            <v>105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</row>
        <row r="130">
          <cell r="F130">
            <v>0</v>
          </cell>
          <cell r="H130">
            <v>15</v>
          </cell>
          <cell r="I130">
            <v>29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</row>
        <row r="131">
          <cell r="A131" t="str">
            <v>R.Q.</v>
          </cell>
          <cell r="B131" t="str">
            <v>Elementos de remate y quincalleria</v>
          </cell>
          <cell r="C131">
            <v>1.345</v>
          </cell>
          <cell r="D131">
            <v>322.8</v>
          </cell>
          <cell r="E131">
            <v>64.56</v>
          </cell>
          <cell r="F131">
            <v>411.76400000000001</v>
          </cell>
          <cell r="G131">
            <v>5.8190390278828399E-3</v>
          </cell>
          <cell r="J131">
            <v>91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 t="str">
            <v>XXXXX</v>
          </cell>
          <cell r="Y131" t="str">
            <v>XXXXX</v>
          </cell>
        </row>
        <row r="132">
          <cell r="F132">
            <v>0</v>
          </cell>
          <cell r="H132">
            <v>14</v>
          </cell>
          <cell r="I132">
            <v>26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4.4761838676021847E-4</v>
          </cell>
          <cell r="Y132">
            <v>4.4761838676021847E-4</v>
          </cell>
        </row>
        <row r="133">
          <cell r="B133" t="str">
            <v>Quincalleria</v>
          </cell>
          <cell r="C133">
            <v>1.343</v>
          </cell>
          <cell r="D133">
            <v>322.32</v>
          </cell>
          <cell r="E133">
            <v>64.463999999999999</v>
          </cell>
          <cell r="F133">
            <v>411.15100000000001</v>
          </cell>
          <cell r="G133">
            <v>5.810376126502214E-3</v>
          </cell>
          <cell r="J133">
            <v>91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F134">
            <v>0</v>
          </cell>
          <cell r="H134">
            <v>16</v>
          </cell>
          <cell r="I134">
            <v>28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</row>
        <row r="135">
          <cell r="A135" t="str">
            <v>P.A.</v>
          </cell>
          <cell r="B135" t="str">
            <v>Pavimento Pisoflex 1.4 mm. 1º piso en cocina y baño</v>
          </cell>
          <cell r="C135">
            <v>1.6439999999999999</v>
          </cell>
          <cell r="D135">
            <v>394.56</v>
          </cell>
          <cell r="E135">
            <v>78.912000000000006</v>
          </cell>
          <cell r="F135">
            <v>503.30099999999999</v>
          </cell>
          <cell r="G135">
            <v>7.1126377288263688E-3</v>
          </cell>
          <cell r="J135">
            <v>42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</row>
        <row r="136">
          <cell r="F136">
            <v>0</v>
          </cell>
          <cell r="H136">
            <v>22</v>
          </cell>
          <cell r="I136">
            <v>27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</row>
        <row r="137">
          <cell r="B137" t="str">
            <v xml:space="preserve">Cubrepiso en  1er piso </v>
          </cell>
          <cell r="C137">
            <v>5.6159999999999997</v>
          </cell>
          <cell r="D137">
            <v>1347.84</v>
          </cell>
          <cell r="E137">
            <v>269.56799999999998</v>
          </cell>
          <cell r="F137">
            <v>1719.3050000000001</v>
          </cell>
          <cell r="G137">
            <v>2.4297177256472412E-2</v>
          </cell>
          <cell r="J137">
            <v>49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</row>
        <row r="138">
          <cell r="F138">
            <v>0</v>
          </cell>
          <cell r="H138">
            <v>22</v>
          </cell>
          <cell r="I138">
            <v>28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J139">
            <v>70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</row>
        <row r="140">
          <cell r="F140">
            <v>0</v>
          </cell>
          <cell r="H140">
            <v>9</v>
          </cell>
          <cell r="I140">
            <v>18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</row>
        <row r="141">
          <cell r="A141" t="str">
            <v>P.I.</v>
          </cell>
          <cell r="B141" t="str">
            <v>adiwall color</v>
          </cell>
          <cell r="C141">
            <v>2.6520000000000001</v>
          </cell>
          <cell r="D141">
            <v>636.48</v>
          </cell>
          <cell r="E141">
            <v>127.29600000000001</v>
          </cell>
          <cell r="F141">
            <v>811.89400000000001</v>
          </cell>
          <cell r="G141">
            <v>1.1473666645223745E-2</v>
          </cell>
          <cell r="J141">
            <v>105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 t="str">
            <v>XXXXX</v>
          </cell>
          <cell r="Y141" t="str">
            <v>XXXXX</v>
          </cell>
        </row>
        <row r="142">
          <cell r="F142">
            <v>0</v>
          </cell>
          <cell r="H142">
            <v>14</v>
          </cell>
          <cell r="I142">
            <v>28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7.64911109681583E-4</v>
          </cell>
          <cell r="Y142">
            <v>7.64911109681583E-4</v>
          </cell>
        </row>
        <row r="143">
          <cell r="B143" t="str">
            <v>barniz maderas</v>
          </cell>
          <cell r="C143">
            <v>0.78999999999999992</v>
          </cell>
          <cell r="D143">
            <v>189.6</v>
          </cell>
          <cell r="E143">
            <v>37.92</v>
          </cell>
          <cell r="F143">
            <v>241.85400000000001</v>
          </cell>
          <cell r="G143">
            <v>3.4178749600489028E-3</v>
          </cell>
          <cell r="J143">
            <v>140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 t="str">
            <v>XXXXX</v>
          </cell>
          <cell r="Y143" t="str">
            <v>XXXXX</v>
          </cell>
        </row>
        <row r="144">
          <cell r="F144">
            <v>0</v>
          </cell>
          <cell r="H144">
            <v>14</v>
          </cell>
          <cell r="I144">
            <v>33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1.7089374800244514E-4</v>
          </cell>
          <cell r="Y144">
            <v>1.7089374800244514E-4</v>
          </cell>
        </row>
        <row r="145">
          <cell r="B145" t="str">
            <v>latex vinilico</v>
          </cell>
          <cell r="C145">
            <v>3.577</v>
          </cell>
          <cell r="D145">
            <v>858.48</v>
          </cell>
          <cell r="E145">
            <v>171.696</v>
          </cell>
          <cell r="F145">
            <v>1095.076</v>
          </cell>
          <cell r="G145">
            <v>1.547558791564544E-2</v>
          </cell>
          <cell r="J145">
            <v>140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 t="str">
            <v>XXXXX</v>
          </cell>
          <cell r="Y145" t="str">
            <v>XXXXX</v>
          </cell>
        </row>
        <row r="146">
          <cell r="F146">
            <v>0</v>
          </cell>
          <cell r="H146">
            <v>14</v>
          </cell>
          <cell r="I146">
            <v>33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7.7377939578227202E-4</v>
          </cell>
          <cell r="Y146">
            <v>7.7377939578227202E-4</v>
          </cell>
        </row>
        <row r="147">
          <cell r="B147" t="str">
            <v>latex vinilico</v>
          </cell>
          <cell r="C147">
            <v>7.23</v>
          </cell>
          <cell r="D147">
            <v>1735.2</v>
          </cell>
          <cell r="E147">
            <v>347.04</v>
          </cell>
          <cell r="F147">
            <v>2213.4209999999998</v>
          </cell>
          <cell r="G147">
            <v>3.1280012784350893E-2</v>
          </cell>
          <cell r="J147">
            <v>154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 t="str">
            <v>XXXXX</v>
          </cell>
          <cell r="Y147" t="str">
            <v>XXXXX</v>
          </cell>
        </row>
        <row r="148">
          <cell r="F148">
            <v>0</v>
          </cell>
          <cell r="H148">
            <v>14</v>
          </cell>
          <cell r="I148">
            <v>35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1.4218187629250407E-3</v>
          </cell>
          <cell r="Y148">
            <v>1.4218187629250407E-3</v>
          </cell>
        </row>
        <row r="149">
          <cell r="B149" t="str">
            <v>oleo semibrillo</v>
          </cell>
          <cell r="C149">
            <v>5.4330000000000007</v>
          </cell>
          <cell r="D149">
            <v>1303.92</v>
          </cell>
          <cell r="E149">
            <v>260.78399999999999</v>
          </cell>
          <cell r="F149">
            <v>1663.28</v>
          </cell>
          <cell r="G149">
            <v>2.3505433292606855E-2</v>
          </cell>
          <cell r="J149">
            <v>147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 t="str">
            <v>XXXXX</v>
          </cell>
        </row>
        <row r="150">
          <cell r="F150">
            <v>0</v>
          </cell>
          <cell r="H150">
            <v>15</v>
          </cell>
          <cell r="I150">
            <v>35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1.119306347266993E-3</v>
          </cell>
        </row>
        <row r="151">
          <cell r="B151" t="str">
            <v>Anticorrosivo</v>
          </cell>
          <cell r="C151">
            <v>0.55000000000000004</v>
          </cell>
          <cell r="D151">
            <v>132</v>
          </cell>
          <cell r="E151">
            <v>26.4</v>
          </cell>
          <cell r="F151">
            <v>168.37899999999999</v>
          </cell>
          <cell r="G151">
            <v>2.3795280123465982E-3</v>
          </cell>
          <cell r="J151">
            <v>126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 t="str">
            <v>XXXXX</v>
          </cell>
          <cell r="X151" t="str">
            <v>XXXXX</v>
          </cell>
          <cell r="Y151" t="str">
            <v>XXXXX</v>
          </cell>
        </row>
        <row r="152">
          <cell r="F152">
            <v>0</v>
          </cell>
          <cell r="H152">
            <v>13</v>
          </cell>
          <cell r="I152">
            <v>30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1.3219600068592214E-4</v>
          </cell>
          <cell r="X152">
            <v>1.3219600068592214E-4</v>
          </cell>
          <cell r="Y152">
            <v>1.3219600068592214E-4</v>
          </cell>
        </row>
        <row r="153">
          <cell r="A153" t="str">
            <v>A.L.</v>
          </cell>
          <cell r="B153" t="str">
            <v>Planta alcantarillado hasta cámara de inspección</v>
          </cell>
          <cell r="C153">
            <v>1.514</v>
          </cell>
          <cell r="D153">
            <v>363.36</v>
          </cell>
          <cell r="E153">
            <v>72.671999999999997</v>
          </cell>
          <cell r="F153">
            <v>463.50200000000001</v>
          </cell>
          <cell r="G153">
            <v>6.5501992099886146E-3</v>
          </cell>
          <cell r="J153">
            <v>56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 t="str">
            <v>XXXXX</v>
          </cell>
          <cell r="R153" t="str">
            <v>XXXXX</v>
          </cell>
          <cell r="S153" t="str">
            <v>XXXXX</v>
          </cell>
          <cell r="T153" t="str">
            <v>XXXXX</v>
          </cell>
          <cell r="U153" t="str">
            <v>XXXXX</v>
          </cell>
          <cell r="V153" t="str">
            <v>XXXXX</v>
          </cell>
          <cell r="W153" t="str">
            <v>XXXXX</v>
          </cell>
          <cell r="X153" t="str">
            <v>XXXXX</v>
          </cell>
          <cell r="Y153">
            <v>0</v>
          </cell>
        </row>
        <row r="154">
          <cell r="F154">
            <v>0</v>
          </cell>
          <cell r="H154">
            <v>7</v>
          </cell>
          <cell r="I154">
            <v>14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8.1877490124857683E-4</v>
          </cell>
          <cell r="R154">
            <v>8.1877490124857683E-4</v>
          </cell>
          <cell r="S154">
            <v>8.1877490124857683E-4</v>
          </cell>
          <cell r="T154">
            <v>8.1877490124857683E-4</v>
          </cell>
          <cell r="U154">
            <v>8.1877490124857683E-4</v>
          </cell>
          <cell r="V154">
            <v>8.1877490124857683E-4</v>
          </cell>
          <cell r="W154">
            <v>8.1877490124857683E-4</v>
          </cell>
          <cell r="X154">
            <v>8.1877490124857683E-4</v>
          </cell>
          <cell r="Y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J155">
            <v>77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</row>
        <row r="156">
          <cell r="F156">
            <v>0</v>
          </cell>
          <cell r="H156">
            <v>10</v>
          </cell>
          <cell r="I156">
            <v>20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</row>
        <row r="157">
          <cell r="A157" t="str">
            <v>A.P.</v>
          </cell>
          <cell r="B157" t="str">
            <v>Agua potable interior</v>
          </cell>
          <cell r="C157">
            <v>1.871</v>
          </cell>
          <cell r="D157">
            <v>449.04</v>
          </cell>
          <cell r="E157">
            <v>89.808000000000007</v>
          </cell>
          <cell r="F157">
            <v>572.79399999999998</v>
          </cell>
          <cell r="G157">
            <v>8.0947111474949807E-3</v>
          </cell>
          <cell r="J157">
            <v>63</v>
          </cell>
          <cell r="Q157" t="str">
            <v>XXXXX</v>
          </cell>
          <cell r="R157" t="str">
            <v>XXXXX</v>
          </cell>
          <cell r="S157" t="str">
            <v>XXXXX</v>
          </cell>
          <cell r="T157" t="str">
            <v>XXXXX</v>
          </cell>
          <cell r="U157" t="str">
            <v>XXXXX</v>
          </cell>
          <cell r="V157" t="str">
            <v>XXXXX</v>
          </cell>
          <cell r="W157" t="str">
            <v>XXXXX</v>
          </cell>
          <cell r="X157" t="str">
            <v>XXXXX</v>
          </cell>
          <cell r="Y157" t="str">
            <v>XXXXX</v>
          </cell>
        </row>
        <row r="158">
          <cell r="F158">
            <v>0</v>
          </cell>
          <cell r="H158">
            <v>7</v>
          </cell>
          <cell r="I158">
            <v>15</v>
          </cell>
          <cell r="N158">
            <v>0</v>
          </cell>
          <cell r="O158">
            <v>0</v>
          </cell>
          <cell r="P158">
            <v>0</v>
          </cell>
          <cell r="Q158">
            <v>8.9941234972166454E-4</v>
          </cell>
          <cell r="R158">
            <v>8.9941234972166454E-4</v>
          </cell>
          <cell r="S158">
            <v>8.9941234972166454E-4</v>
          </cell>
          <cell r="T158">
            <v>8.9941234972166454E-4</v>
          </cell>
          <cell r="U158">
            <v>8.9941234972166454E-4</v>
          </cell>
          <cell r="V158">
            <v>8.9941234972166454E-4</v>
          </cell>
          <cell r="W158">
            <v>8.9941234972166454E-4</v>
          </cell>
          <cell r="X158">
            <v>8.9941234972166454E-4</v>
          </cell>
          <cell r="Y158">
            <v>8.9941234972166454E-4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J159">
            <v>35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</row>
        <row r="160">
          <cell r="F160">
            <v>0</v>
          </cell>
          <cell r="H160">
            <v>22</v>
          </cell>
          <cell r="I160">
            <v>26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</row>
        <row r="161">
          <cell r="A161" t="str">
            <v>G.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J161">
            <v>42</v>
          </cell>
        </row>
        <row r="162">
          <cell r="F162">
            <v>0</v>
          </cell>
          <cell r="H162">
            <v>22</v>
          </cell>
          <cell r="I162">
            <v>27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J163">
            <v>42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</row>
        <row r="164">
          <cell r="F164">
            <v>0</v>
          </cell>
          <cell r="H164">
            <v>21</v>
          </cell>
          <cell r="I164">
            <v>26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A165" t="str">
            <v>E.L.</v>
          </cell>
          <cell r="B165" t="str">
            <v>Tierra</v>
          </cell>
          <cell r="C165">
            <v>1.3530000000000002</v>
          </cell>
          <cell r="D165">
            <v>324.72000000000003</v>
          </cell>
          <cell r="E165">
            <v>64.944000000000003</v>
          </cell>
          <cell r="F165">
            <v>414.21300000000002</v>
          </cell>
          <cell r="G165">
            <v>5.8536482374768918E-3</v>
          </cell>
          <cell r="J165">
            <v>91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 t="str">
            <v>XXXXX</v>
          </cell>
          <cell r="T165" t="str">
            <v>XXXXX</v>
          </cell>
          <cell r="U165" t="str">
            <v>XXXXX</v>
          </cell>
          <cell r="V165" t="str">
            <v>XXXXX</v>
          </cell>
          <cell r="W165" t="str">
            <v>XXXXX</v>
          </cell>
          <cell r="X165" t="str">
            <v>XXXXX</v>
          </cell>
          <cell r="Y165" t="str">
            <v>XXXXX</v>
          </cell>
        </row>
        <row r="166">
          <cell r="F166">
            <v>0</v>
          </cell>
          <cell r="H166">
            <v>9</v>
          </cell>
          <cell r="I166">
            <v>21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4.5028063365206859E-4</v>
          </cell>
          <cell r="T166">
            <v>4.5028063365206859E-4</v>
          </cell>
          <cell r="U166">
            <v>4.5028063365206859E-4</v>
          </cell>
          <cell r="V166">
            <v>4.5028063365206859E-4</v>
          </cell>
          <cell r="W166">
            <v>4.5028063365206859E-4</v>
          </cell>
          <cell r="X166">
            <v>4.5028063365206859E-4</v>
          </cell>
          <cell r="Y166">
            <v>4.5028063365206859E-4</v>
          </cell>
        </row>
        <row r="167">
          <cell r="B167" t="str">
            <v>Tubería y cajas</v>
          </cell>
          <cell r="C167">
            <v>3.0739999999999998</v>
          </cell>
          <cell r="D167">
            <v>737.76</v>
          </cell>
          <cell r="E167">
            <v>147.55199999999999</v>
          </cell>
          <cell r="F167">
            <v>941.08699999999999</v>
          </cell>
          <cell r="G167">
            <v>1.3299419040113215E-2</v>
          </cell>
          <cell r="J167">
            <v>91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XXXXX</v>
          </cell>
          <cell r="U167" t="str">
            <v>XXXXX</v>
          </cell>
          <cell r="V167" t="str">
            <v>XXXXX</v>
          </cell>
          <cell r="W167" t="str">
            <v>XXXXX</v>
          </cell>
          <cell r="X167" t="str">
            <v>XXXXX</v>
          </cell>
          <cell r="Y167" t="str">
            <v>XXXXX</v>
          </cell>
        </row>
        <row r="168">
          <cell r="F168">
            <v>0</v>
          </cell>
          <cell r="H168">
            <v>10</v>
          </cell>
          <cell r="I168">
            <v>22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9.2303223385486262E-4</v>
          </cell>
          <cell r="U168">
            <v>1.0230322338548627E-3</v>
          </cell>
          <cell r="V168">
            <v>1.0230322338548627E-3</v>
          </cell>
          <cell r="W168">
            <v>1.0230322338548627E-3</v>
          </cell>
          <cell r="X168">
            <v>1.0230322338548627E-3</v>
          </cell>
          <cell r="Y168">
            <v>1.0230322338548627E-3</v>
          </cell>
        </row>
        <row r="169">
          <cell r="B169" t="str">
            <v>Alambrado</v>
          </cell>
          <cell r="C169">
            <v>1.8080000000000001</v>
          </cell>
          <cell r="D169">
            <v>433.92</v>
          </cell>
          <cell r="E169">
            <v>86.784000000000006</v>
          </cell>
          <cell r="F169">
            <v>553.50800000000004</v>
          </cell>
          <cell r="G169">
            <v>7.8221618554448064E-3</v>
          </cell>
          <cell r="J169">
            <v>91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 t="str">
            <v>XXXXX</v>
          </cell>
          <cell r="W169" t="str">
            <v>XXXXX</v>
          </cell>
          <cell r="X169" t="str">
            <v>XXXXX</v>
          </cell>
          <cell r="Y169" t="str">
            <v>XXXXX</v>
          </cell>
        </row>
        <row r="170">
          <cell r="F170">
            <v>0</v>
          </cell>
          <cell r="H170">
            <v>12</v>
          </cell>
          <cell r="I170">
            <v>24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6.0170475811113897E-4</v>
          </cell>
          <cell r="W170">
            <v>6.0170475811113897E-4</v>
          </cell>
          <cell r="X170">
            <v>6.0170475811113897E-4</v>
          </cell>
          <cell r="Y170">
            <v>6.0170475811113897E-4</v>
          </cell>
        </row>
        <row r="171">
          <cell r="B171" t="str">
            <v xml:space="preserve">Accesorios y tablero </v>
          </cell>
          <cell r="C171">
            <v>2.8029999999999999</v>
          </cell>
          <cell r="D171">
            <v>672.72</v>
          </cell>
          <cell r="E171">
            <v>134.54400000000001</v>
          </cell>
          <cell r="F171">
            <v>858.12199999999996</v>
          </cell>
          <cell r="G171">
            <v>1.2126959638736941E-2</v>
          </cell>
          <cell r="J171">
            <v>98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 t="str">
            <v>XXXXX</v>
          </cell>
        </row>
        <row r="172">
          <cell r="F172">
            <v>0</v>
          </cell>
          <cell r="H172">
            <v>15</v>
          </cell>
          <cell r="I172">
            <v>28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8.6621140276692439E-4</v>
          </cell>
        </row>
        <row r="173">
          <cell r="A173" t="str">
            <v>A.R.</v>
          </cell>
          <cell r="B173" t="str">
            <v>Lavatorio</v>
          </cell>
          <cell r="C173">
            <v>0.71299999999999997</v>
          </cell>
          <cell r="D173">
            <v>171.12</v>
          </cell>
          <cell r="E173">
            <v>34.223999999999997</v>
          </cell>
          <cell r="F173">
            <v>218.28100000000001</v>
          </cell>
          <cell r="G173">
            <v>3.0847418862389479E-3</v>
          </cell>
          <cell r="J173">
            <v>91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</row>
        <row r="174">
          <cell r="F174">
            <v>0</v>
          </cell>
          <cell r="H174">
            <v>23</v>
          </cell>
          <cell r="I174">
            <v>35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</row>
        <row r="175">
          <cell r="B175" t="str">
            <v>W.C.  Y estanque</v>
          </cell>
          <cell r="C175">
            <v>1.7510000000000001</v>
          </cell>
          <cell r="D175">
            <v>420.24</v>
          </cell>
          <cell r="E175">
            <v>84.048000000000002</v>
          </cell>
          <cell r="F175">
            <v>536.05799999999999</v>
          </cell>
          <cell r="G175">
            <v>7.5755588716080553E-3</v>
          </cell>
          <cell r="J175">
            <v>84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</row>
        <row r="176">
          <cell r="F176">
            <v>0</v>
          </cell>
          <cell r="H176">
            <v>24</v>
          </cell>
          <cell r="I176">
            <v>35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</row>
        <row r="177">
          <cell r="B177" t="str">
            <v>tina acero estam(incl. Barra de cortina)</v>
          </cell>
          <cell r="C177">
            <v>1.85</v>
          </cell>
          <cell r="D177">
            <v>444</v>
          </cell>
          <cell r="E177">
            <v>88.8</v>
          </cell>
          <cell r="F177">
            <v>566.36599999999999</v>
          </cell>
          <cell r="G177">
            <v>8.0038708047956899E-3</v>
          </cell>
          <cell r="J177">
            <v>98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</row>
        <row r="178">
          <cell r="F178">
            <v>0</v>
          </cell>
          <cell r="H178">
            <v>21</v>
          </cell>
          <cell r="I178">
            <v>34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</row>
        <row r="179">
          <cell r="B179" t="str">
            <v xml:space="preserve">Lavaplatos </v>
          </cell>
          <cell r="C179">
            <v>1.07</v>
          </cell>
          <cell r="D179">
            <v>256.8</v>
          </cell>
          <cell r="E179">
            <v>51.36</v>
          </cell>
          <cell r="F179">
            <v>327.57400000000001</v>
          </cell>
          <cell r="G179">
            <v>4.6292679557214649E-3</v>
          </cell>
          <cell r="J179">
            <v>49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</row>
        <row r="180">
          <cell r="F180">
            <v>0</v>
          </cell>
          <cell r="H180">
            <v>27</v>
          </cell>
          <cell r="I180">
            <v>33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</row>
        <row r="181">
          <cell r="B181" t="str">
            <v>Mueble de lavaplatos</v>
          </cell>
          <cell r="C181">
            <v>1.1140000000000001</v>
          </cell>
          <cell r="D181">
            <v>267.36</v>
          </cell>
          <cell r="E181">
            <v>53.472000000000001</v>
          </cell>
          <cell r="F181">
            <v>341.04399999999998</v>
          </cell>
          <cell r="G181">
            <v>4.8196256744768243E-3</v>
          </cell>
          <cell r="J181">
            <v>84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</row>
        <row r="182">
          <cell r="F182">
            <v>0</v>
          </cell>
          <cell r="H182">
            <v>22</v>
          </cell>
          <cell r="I182">
            <v>33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</row>
        <row r="183">
          <cell r="B183" t="str">
            <v>Fittings y grifería</v>
          </cell>
          <cell r="C183">
            <v>2.629</v>
          </cell>
          <cell r="D183">
            <v>630.96</v>
          </cell>
          <cell r="E183">
            <v>126.19199999999999</v>
          </cell>
          <cell r="F183">
            <v>804.85299999999995</v>
          </cell>
          <cell r="G183">
            <v>1.1374163401143828E-2</v>
          </cell>
          <cell r="J183">
            <v>119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</row>
        <row r="184">
          <cell r="F184">
            <v>0</v>
          </cell>
          <cell r="H184">
            <v>18</v>
          </cell>
          <cell r="I184">
            <v>34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J185">
            <v>91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</row>
        <row r="186">
          <cell r="F186">
            <v>0</v>
          </cell>
          <cell r="H186">
            <v>21</v>
          </cell>
          <cell r="I186">
            <v>33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J187">
            <v>98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</row>
        <row r="188">
          <cell r="F188">
            <v>0</v>
          </cell>
          <cell r="H188">
            <v>21</v>
          </cell>
          <cell r="I188">
            <v>34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J189">
            <v>77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</row>
        <row r="190">
          <cell r="F190">
            <v>0</v>
          </cell>
          <cell r="H190">
            <v>25</v>
          </cell>
          <cell r="I190">
            <v>35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</row>
        <row r="191">
          <cell r="A191" t="str">
            <v>O.E.</v>
          </cell>
          <cell r="B191" t="str">
            <v>Conformación de patios no incluye muros de contensión</v>
          </cell>
          <cell r="C191">
            <v>0.66799999999999993</v>
          </cell>
          <cell r="D191">
            <v>160.32</v>
          </cell>
          <cell r="E191">
            <v>32.064</v>
          </cell>
          <cell r="F191">
            <v>204.50399999999999</v>
          </cell>
          <cell r="G191">
            <v>2.8900456508051996E-3</v>
          </cell>
          <cell r="J191">
            <v>140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 t="str">
            <v>XXXXX</v>
          </cell>
        </row>
        <row r="192">
          <cell r="F192">
            <v>0</v>
          </cell>
          <cell r="H192">
            <v>15</v>
          </cell>
          <cell r="I192">
            <v>34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1.4450228254025998E-4</v>
          </cell>
        </row>
        <row r="193">
          <cell r="B193" t="str">
            <v>Cierro patio (incluido cierro esquina y porton)</v>
          </cell>
          <cell r="C193">
            <v>6.79</v>
          </cell>
          <cell r="D193">
            <v>1629.6</v>
          </cell>
          <cell r="E193">
            <v>325.92099999999999</v>
          </cell>
          <cell r="F193">
            <v>2078.7190000000001</v>
          </cell>
          <cell r="G193">
            <v>2.9376407332845002E-2</v>
          </cell>
          <cell r="J193">
            <v>70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</row>
        <row r="194">
          <cell r="F194">
            <v>0</v>
          </cell>
          <cell r="H194">
            <v>25</v>
          </cell>
          <cell r="I194">
            <v>34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B195" t="str">
            <v>Solerillas demarcatorias</v>
          </cell>
          <cell r="C195">
            <v>0.16699999999999998</v>
          </cell>
          <cell r="D195">
            <v>40.08</v>
          </cell>
          <cell r="E195">
            <v>8.016</v>
          </cell>
          <cell r="F195">
            <v>51.125999999999998</v>
          </cell>
          <cell r="G195">
            <v>7.225114127012999E-4</v>
          </cell>
          <cell r="J195">
            <v>42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</row>
        <row r="196">
          <cell r="F196">
            <v>0</v>
          </cell>
          <cell r="H196">
            <v>30</v>
          </cell>
          <cell r="I196">
            <v>35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</row>
        <row r="197">
          <cell r="B197" t="str">
            <v>pastelones de acceso</v>
          </cell>
          <cell r="C197">
            <v>0.69599999999999995</v>
          </cell>
          <cell r="D197">
            <v>167.04</v>
          </cell>
          <cell r="E197">
            <v>33.408000000000001</v>
          </cell>
          <cell r="F197">
            <v>213.07599999999999</v>
          </cell>
          <cell r="G197">
            <v>3.0111849503724557E-3</v>
          </cell>
          <cell r="J197">
            <v>56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 t="str">
            <v>XXXXX</v>
          </cell>
        </row>
        <row r="198">
          <cell r="F198">
            <v>0</v>
          </cell>
          <cell r="H198">
            <v>25</v>
          </cell>
          <cell r="I198">
            <v>32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1E-4</v>
          </cell>
        </row>
        <row r="199">
          <cell r="B199" t="str">
            <v>Número Municipal vivienda</v>
          </cell>
          <cell r="C199">
            <v>7.400000000000001E-2</v>
          </cell>
          <cell r="D199">
            <v>17.760000000000002</v>
          </cell>
          <cell r="E199">
            <v>3.552</v>
          </cell>
          <cell r="F199">
            <v>22.655000000000001</v>
          </cell>
          <cell r="G199">
            <v>3.2015991970324199E-4</v>
          </cell>
          <cell r="J199">
            <v>28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</row>
        <row r="200">
          <cell r="F200">
            <v>0</v>
          </cell>
          <cell r="H200">
            <v>30</v>
          </cell>
          <cell r="I200">
            <v>33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</row>
        <row r="201">
          <cell r="A201" t="str">
            <v>D.A.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J201">
            <v>28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</row>
        <row r="202">
          <cell r="F202">
            <v>0</v>
          </cell>
          <cell r="H202">
            <v>32</v>
          </cell>
          <cell r="I202">
            <v>35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</row>
        <row r="203">
          <cell r="B203" t="str">
            <v>Aseo final y entrega incluye gradas</v>
          </cell>
          <cell r="C203">
            <v>0.28599999999999998</v>
          </cell>
          <cell r="D203">
            <v>68.64</v>
          </cell>
          <cell r="E203">
            <v>13.728</v>
          </cell>
          <cell r="F203">
            <v>87.557000000000002</v>
          </cell>
          <cell r="G203">
            <v>1.237353435862139E-3</v>
          </cell>
          <cell r="J203">
            <v>49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</row>
        <row r="204">
          <cell r="F204">
            <v>0</v>
          </cell>
          <cell r="H204">
            <v>30</v>
          </cell>
          <cell r="I204">
            <v>36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J205">
            <v>28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</row>
        <row r="206">
          <cell r="F206">
            <v>0</v>
          </cell>
          <cell r="H206">
            <v>32</v>
          </cell>
          <cell r="I206">
            <v>35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</row>
        <row r="207">
          <cell r="E207">
            <v>0</v>
          </cell>
          <cell r="F207">
            <v>0</v>
          </cell>
        </row>
        <row r="208">
          <cell r="B208" t="str">
            <v>SUBTOTAL VIVIENDAS</v>
          </cell>
          <cell r="C208">
            <v>231.13800000000001</v>
          </cell>
          <cell r="D208">
            <v>55473.120000000003</v>
          </cell>
          <cell r="E208">
            <v>11094.624999999998</v>
          </cell>
          <cell r="F208">
            <v>70761.512000000017</v>
          </cell>
          <cell r="G208">
            <v>0.99999999999999967</v>
          </cell>
          <cell r="H208">
            <v>0.7279984280672831</v>
          </cell>
          <cell r="J208">
            <v>7546</v>
          </cell>
          <cell r="K208">
            <v>6.6468242415924248E-3</v>
          </cell>
          <cell r="L208">
            <v>6.7636373899604245E-3</v>
          </cell>
          <cell r="M208">
            <v>1.1018142391995365E-2</v>
          </cell>
          <cell r="N208">
            <v>7.4969171499143002E-3</v>
          </cell>
          <cell r="O208">
            <v>9.4063104307638597E-3</v>
          </cell>
          <cell r="P208">
            <v>1.3798035643212223E-2</v>
          </cell>
          <cell r="Q208">
            <v>1.8753249542228085E-2</v>
          </cell>
          <cell r="R208">
            <v>2.102255552776543E-2</v>
          </cell>
          <cell r="S208">
            <v>3.0679902987476412E-2</v>
          </cell>
          <cell r="T208">
            <v>3.1486122072963273E-2</v>
          </cell>
          <cell r="U208">
            <v>3.8797099263358781E-2</v>
          </cell>
          <cell r="V208">
            <v>4.6997814047969141E-2</v>
          </cell>
          <cell r="W208">
            <v>4.9910657795794552E-2</v>
          </cell>
          <cell r="X208">
            <v>5.5509684477773075E-2</v>
          </cell>
          <cell r="Y208">
            <v>5.6927840930546356E-2</v>
          </cell>
        </row>
        <row r="209">
          <cell r="B209" t="str">
            <v>AVANCE QUINCENAL</v>
          </cell>
          <cell r="K209" t="str">
            <v>E.P. 1</v>
          </cell>
          <cell r="L209">
            <v>1.341046163155285E-2</v>
          </cell>
          <cell r="M209" t="str">
            <v>E.P. 2</v>
          </cell>
          <cell r="N209">
            <v>1.8515059541909663E-2</v>
          </cell>
          <cell r="O209" t="str">
            <v>E.P. 3</v>
          </cell>
          <cell r="P209">
            <v>2.3204346073976083E-2</v>
          </cell>
          <cell r="Q209" t="str">
            <v>E.P. 4</v>
          </cell>
          <cell r="R209">
            <v>3.9775805069993515E-2</v>
          </cell>
          <cell r="S209" t="str">
            <v>E.P. 5</v>
          </cell>
          <cell r="T209">
            <v>6.2166025060439681E-2</v>
          </cell>
          <cell r="U209" t="str">
            <v>E.P. 6</v>
          </cell>
          <cell r="V209">
            <v>8.5794913311327922E-2</v>
          </cell>
          <cell r="W209" t="str">
            <v>E.P. 7</v>
          </cell>
          <cell r="X209">
            <v>0.10542034227356763</v>
          </cell>
          <cell r="Y209" t="str">
            <v>E.P. 8</v>
          </cell>
        </row>
        <row r="211">
          <cell r="B211" t="str">
            <v>OBRAS DE URBANIZACION</v>
          </cell>
        </row>
        <row r="212">
          <cell r="J212" t="str">
            <v>SEMANA</v>
          </cell>
          <cell r="K212" t="str">
            <v>1</v>
          </cell>
          <cell r="L212" t="str">
            <v>2</v>
          </cell>
          <cell r="M212" t="str">
            <v>3</v>
          </cell>
          <cell r="N212" t="str">
            <v>4</v>
          </cell>
          <cell r="O212" t="str">
            <v>5</v>
          </cell>
          <cell r="P212" t="str">
            <v>6</v>
          </cell>
          <cell r="Q212" t="str">
            <v>7</v>
          </cell>
          <cell r="R212" t="str">
            <v>8</v>
          </cell>
          <cell r="S212" t="str">
            <v>9</v>
          </cell>
          <cell r="T212" t="str">
            <v>10</v>
          </cell>
          <cell r="U212" t="str">
            <v>11</v>
          </cell>
          <cell r="V212" t="str">
            <v>12</v>
          </cell>
          <cell r="W212" t="str">
            <v>13</v>
          </cell>
          <cell r="X212" t="str">
            <v>14</v>
          </cell>
          <cell r="Y212" t="str">
            <v>15</v>
          </cell>
        </row>
        <row r="213">
          <cell r="B213" t="str">
            <v>ALCANTARILLADO PUBLICO</v>
          </cell>
          <cell r="C213">
            <v>3024.915</v>
          </cell>
          <cell r="D213">
            <v>3024.915</v>
          </cell>
          <cell r="E213">
            <v>604.98300000000006</v>
          </cell>
          <cell r="F213">
            <v>3858.5819999999999</v>
          </cell>
        </row>
        <row r="214">
          <cell r="B214" t="str">
            <v>SUBTOTAL MOVIMIENTO DE TIERRAS</v>
          </cell>
          <cell r="C214">
            <v>597.6</v>
          </cell>
          <cell r="D214">
            <v>597.6</v>
          </cell>
          <cell r="E214">
            <v>119.52</v>
          </cell>
          <cell r="F214">
            <v>762.29899999999998</v>
          </cell>
          <cell r="G214">
            <v>2.8832830148158128E-2</v>
          </cell>
          <cell r="J214">
            <v>105</v>
          </cell>
          <cell r="K214" t="str">
            <v>XXXXX</v>
          </cell>
          <cell r="L214" t="str">
            <v>XXXXX</v>
          </cell>
          <cell r="M214" t="str">
            <v>XXXXX</v>
          </cell>
          <cell r="N214" t="str">
            <v>XXXXX</v>
          </cell>
          <cell r="O214" t="str">
            <v>XXXXX</v>
          </cell>
          <cell r="P214" t="str">
            <v>XXXXX</v>
          </cell>
          <cell r="Q214" t="str">
            <v>XXXXX</v>
          </cell>
          <cell r="R214" t="str">
            <v>XXXXX</v>
          </cell>
          <cell r="S214" t="str">
            <v>XXXXX</v>
          </cell>
          <cell r="T214" t="str">
            <v>XXXXX</v>
          </cell>
          <cell r="U214" t="str">
            <v>XXXXX</v>
          </cell>
          <cell r="V214" t="str">
            <v>XXXXX</v>
          </cell>
          <cell r="W214" t="str">
            <v>XXXXX</v>
          </cell>
          <cell r="X214" t="str">
            <v>XXXXX</v>
          </cell>
          <cell r="Y214" t="str">
            <v>XXXXX</v>
          </cell>
        </row>
        <row r="215">
          <cell r="F215">
            <v>0</v>
          </cell>
          <cell r="H215">
            <v>1</v>
          </cell>
          <cell r="I215">
            <v>15</v>
          </cell>
          <cell r="K215">
            <v>1.9221886765438752E-3</v>
          </cell>
          <cell r="L215">
            <v>1.9221886765438752E-3</v>
          </cell>
          <cell r="M215">
            <v>1.9221886765438752E-3</v>
          </cell>
          <cell r="N215">
            <v>1.9221886765438752E-3</v>
          </cell>
          <cell r="O215">
            <v>1.9221886765438752E-3</v>
          </cell>
          <cell r="P215">
            <v>1.9221886765438752E-3</v>
          </cell>
          <cell r="Q215">
            <v>1.9221886765438752E-3</v>
          </cell>
          <cell r="R215">
            <v>1.9221886765438752E-3</v>
          </cell>
          <cell r="S215">
            <v>1.9221886765438752E-3</v>
          </cell>
          <cell r="T215">
            <v>1.9221886765438752E-3</v>
          </cell>
          <cell r="U215">
            <v>1.9221886765438752E-3</v>
          </cell>
          <cell r="V215">
            <v>1.9221886765438752E-3</v>
          </cell>
          <cell r="W215">
            <v>1.9221886765438752E-3</v>
          </cell>
          <cell r="X215">
            <v>1.9221886765438752E-3</v>
          </cell>
          <cell r="Y215">
            <v>1.9221886765438752E-3</v>
          </cell>
        </row>
        <row r="216">
          <cell r="B216" t="str">
            <v>SUBTOTAL COLECTORES</v>
          </cell>
          <cell r="C216">
            <v>2057.27</v>
          </cell>
          <cell r="D216">
            <v>2057.27</v>
          </cell>
          <cell r="E216">
            <v>411.45400000000001</v>
          </cell>
          <cell r="F216">
            <v>2624.2539999999999</v>
          </cell>
          <cell r="G216">
            <v>9.9258519095032999E-2</v>
          </cell>
          <cell r="J216">
            <v>77</v>
          </cell>
          <cell r="K216">
            <v>0</v>
          </cell>
          <cell r="L216" t="str">
            <v>XXXXX</v>
          </cell>
          <cell r="M216" t="str">
            <v>XXXXX</v>
          </cell>
          <cell r="N216" t="str">
            <v>XXXXX</v>
          </cell>
          <cell r="O216" t="str">
            <v>XXXXX</v>
          </cell>
          <cell r="P216" t="str">
            <v>XXXXX</v>
          </cell>
          <cell r="Q216" t="str">
            <v>XXXXX</v>
          </cell>
          <cell r="R216" t="str">
            <v>XXXXX</v>
          </cell>
          <cell r="S216" t="str">
            <v>XXXXX</v>
          </cell>
          <cell r="T216" t="str">
            <v>XXXXX</v>
          </cell>
          <cell r="U216" t="str">
            <v>XXXXX</v>
          </cell>
          <cell r="V216" t="str">
            <v>XXXXX</v>
          </cell>
          <cell r="W216">
            <v>0</v>
          </cell>
          <cell r="X216">
            <v>0</v>
          </cell>
          <cell r="Y216">
            <v>0</v>
          </cell>
        </row>
        <row r="217">
          <cell r="F217">
            <v>0</v>
          </cell>
          <cell r="H217">
            <v>2</v>
          </cell>
          <cell r="I217">
            <v>12</v>
          </cell>
          <cell r="K217">
            <v>0</v>
          </cell>
          <cell r="L217">
            <v>9.0235017359120914E-3</v>
          </cell>
          <cell r="M217">
            <v>9.0235017359120914E-3</v>
          </cell>
          <cell r="N217">
            <v>9.0235017359120914E-3</v>
          </cell>
          <cell r="O217">
            <v>9.0235017359120914E-3</v>
          </cell>
          <cell r="P217">
            <v>9.0235017359120914E-3</v>
          </cell>
          <cell r="Q217">
            <v>9.0235017359120914E-3</v>
          </cell>
          <cell r="R217">
            <v>9.0235017359120914E-3</v>
          </cell>
          <cell r="S217">
            <v>9.0235017359120914E-3</v>
          </cell>
          <cell r="T217">
            <v>9.0235017359120914E-3</v>
          </cell>
          <cell r="U217">
            <v>9.0235017359120914E-3</v>
          </cell>
          <cell r="V217">
            <v>9.0235017359120914E-3</v>
          </cell>
          <cell r="W217">
            <v>0</v>
          </cell>
          <cell r="X217">
            <v>0</v>
          </cell>
          <cell r="Y217">
            <v>0</v>
          </cell>
        </row>
        <row r="218">
          <cell r="B218" t="str">
            <v>SUBTOTAL OBRAS DE HORMIGON</v>
          </cell>
          <cell r="C218">
            <v>370.04499999999996</v>
          </cell>
          <cell r="D218">
            <v>370.04499999999996</v>
          </cell>
          <cell r="E218">
            <v>74.009</v>
          </cell>
          <cell r="F218">
            <v>472.029</v>
          </cell>
          <cell r="G218">
            <v>1.7853797502036514E-2</v>
          </cell>
          <cell r="J218">
            <v>63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 t="str">
            <v>XXXXX</v>
          </cell>
          <cell r="P218" t="str">
            <v>XXXXX</v>
          </cell>
          <cell r="Q218" t="str">
            <v>XXXXX</v>
          </cell>
          <cell r="R218" t="str">
            <v>XXXXX</v>
          </cell>
          <cell r="S218" t="str">
            <v>XXXXX</v>
          </cell>
          <cell r="T218" t="str">
            <v>XXXXX</v>
          </cell>
          <cell r="U218" t="str">
            <v>XXXXX</v>
          </cell>
          <cell r="V218" t="str">
            <v>XXXXX</v>
          </cell>
          <cell r="W218" t="str">
            <v>XXXXX</v>
          </cell>
          <cell r="X218">
            <v>0</v>
          </cell>
          <cell r="Y218">
            <v>0</v>
          </cell>
        </row>
        <row r="219">
          <cell r="F219">
            <v>0</v>
          </cell>
          <cell r="H219">
            <v>5</v>
          </cell>
          <cell r="I219">
            <v>13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1.9837552780040571E-3</v>
          </cell>
          <cell r="P219">
            <v>1.9837552780040571E-3</v>
          </cell>
          <cell r="Q219">
            <v>1.9837552780040571E-3</v>
          </cell>
          <cell r="R219">
            <v>1.9837552780040571E-3</v>
          </cell>
          <cell r="S219">
            <v>1.9837552780040571E-3</v>
          </cell>
          <cell r="T219">
            <v>1.9837552780040571E-3</v>
          </cell>
          <cell r="U219">
            <v>1.9837552780040571E-3</v>
          </cell>
          <cell r="V219">
            <v>1.9837552780040571E-3</v>
          </cell>
          <cell r="W219">
            <v>1.9837552780040571E-3</v>
          </cell>
          <cell r="X219">
            <v>0</v>
          </cell>
          <cell r="Y219">
            <v>0</v>
          </cell>
        </row>
        <row r="220">
          <cell r="B220" t="str">
            <v>RED DE AGUA POTABLE PUBLICO</v>
          </cell>
          <cell r="C220">
            <v>1944.11</v>
          </cell>
          <cell r="D220">
            <v>1944.11</v>
          </cell>
          <cell r="E220">
            <v>388.82</v>
          </cell>
          <cell r="F220">
            <v>2479.9050000000002</v>
          </cell>
        </row>
        <row r="221">
          <cell r="B221" t="str">
            <v>SUBTOTAL MOVIMIENTO DE TIERRAS</v>
          </cell>
          <cell r="C221">
            <v>282.39600000000002</v>
          </cell>
          <cell r="D221">
            <v>282.39600000000002</v>
          </cell>
          <cell r="E221">
            <v>56.479199999999999</v>
          </cell>
          <cell r="F221">
            <v>360.22399999999999</v>
          </cell>
          <cell r="G221">
            <v>1.362493904267238E-2</v>
          </cell>
          <cell r="J221">
            <v>140</v>
          </cell>
          <cell r="K221" t="str">
            <v>XXXXX</v>
          </cell>
          <cell r="L221" t="str">
            <v>XXXXX</v>
          </cell>
          <cell r="M221" t="str">
            <v>XXXXX</v>
          </cell>
          <cell r="N221" t="str">
            <v>XXXXX</v>
          </cell>
          <cell r="O221" t="str">
            <v>XXXXX</v>
          </cell>
          <cell r="P221" t="str">
            <v>XXXXX</v>
          </cell>
          <cell r="Q221" t="str">
            <v>XXXXX</v>
          </cell>
          <cell r="R221" t="str">
            <v>XXXXX</v>
          </cell>
          <cell r="S221" t="str">
            <v>XXXXX</v>
          </cell>
          <cell r="T221" t="str">
            <v>XXXXX</v>
          </cell>
          <cell r="U221" t="str">
            <v>XXXXX</v>
          </cell>
          <cell r="V221" t="str">
            <v>XXXXX</v>
          </cell>
          <cell r="W221" t="str">
            <v>XXXXX</v>
          </cell>
          <cell r="X221" t="str">
            <v>XXXXX</v>
          </cell>
          <cell r="Y221" t="str">
            <v>XXXXX</v>
          </cell>
        </row>
        <row r="222">
          <cell r="F222">
            <v>0</v>
          </cell>
          <cell r="H222">
            <v>1</v>
          </cell>
          <cell r="I222">
            <v>20</v>
          </cell>
          <cell r="K222">
            <v>6.8124695213361906E-4</v>
          </cell>
          <cell r="L222">
            <v>6.8124695213361906E-4</v>
          </cell>
          <cell r="M222">
            <v>6.8124695213361906E-4</v>
          </cell>
          <cell r="N222">
            <v>6.8124695213361906E-4</v>
          </cell>
          <cell r="O222">
            <v>6.8124695213361906E-4</v>
          </cell>
          <cell r="P222">
            <v>6.8124695213361906E-4</v>
          </cell>
          <cell r="Q222">
            <v>6.8124695213361906E-4</v>
          </cell>
          <cell r="R222">
            <v>6.8124695213361906E-4</v>
          </cell>
          <cell r="S222">
            <v>6.8124695213361906E-4</v>
          </cell>
          <cell r="T222">
            <v>6.8124695213361906E-4</v>
          </cell>
          <cell r="U222">
            <v>6.8124695213361906E-4</v>
          </cell>
          <cell r="V222">
            <v>6.8124695213361906E-4</v>
          </cell>
          <cell r="W222">
            <v>6.8124695213361906E-4</v>
          </cell>
          <cell r="X222">
            <v>6.8124695213361906E-4</v>
          </cell>
          <cell r="Y222">
            <v>6.8124695213361906E-4</v>
          </cell>
        </row>
        <row r="223">
          <cell r="B223" t="str">
            <v>SUBTOTAL  COLOC. Y PRUEBA DE CAÑERIA</v>
          </cell>
          <cell r="C223">
            <v>1396.434</v>
          </cell>
          <cell r="D223">
            <v>1396.434</v>
          </cell>
          <cell r="E223">
            <v>279.28480000000002</v>
          </cell>
          <cell r="F223">
            <v>1781.289</v>
          </cell>
          <cell r="G223">
            <v>6.7374617022693775E-2</v>
          </cell>
          <cell r="J223">
            <v>98</v>
          </cell>
          <cell r="K223">
            <v>0</v>
          </cell>
          <cell r="L223">
            <v>0</v>
          </cell>
          <cell r="M223">
            <v>0</v>
          </cell>
          <cell r="N223" t="str">
            <v>XXXXX</v>
          </cell>
          <cell r="O223" t="str">
            <v>XXXXX</v>
          </cell>
          <cell r="P223" t="str">
            <v>XXXXX</v>
          </cell>
          <cell r="Q223" t="str">
            <v>XXXXX</v>
          </cell>
          <cell r="R223" t="str">
            <v>XXXXX</v>
          </cell>
          <cell r="S223" t="str">
            <v>XXXXX</v>
          </cell>
          <cell r="T223" t="str">
            <v>XXXXX</v>
          </cell>
          <cell r="U223" t="str">
            <v>XXXXX</v>
          </cell>
          <cell r="V223" t="str">
            <v>XXXXX</v>
          </cell>
          <cell r="W223" t="str">
            <v>XXXXX</v>
          </cell>
          <cell r="X223" t="str">
            <v>XXXXX</v>
          </cell>
          <cell r="Y223" t="str">
            <v>XXXXX</v>
          </cell>
        </row>
        <row r="224">
          <cell r="F224">
            <v>0</v>
          </cell>
          <cell r="H224">
            <v>4</v>
          </cell>
          <cell r="I224">
            <v>17</v>
          </cell>
          <cell r="K224">
            <v>0</v>
          </cell>
          <cell r="L224">
            <v>0</v>
          </cell>
          <cell r="M224">
            <v>0</v>
          </cell>
          <cell r="N224">
            <v>4.812472644478127E-3</v>
          </cell>
          <cell r="O224">
            <v>4.812472644478127E-3</v>
          </cell>
          <cell r="P224">
            <v>4.812472644478127E-3</v>
          </cell>
          <cell r="Q224">
            <v>4.812472644478127E-3</v>
          </cell>
          <cell r="R224">
            <v>4.812472644478127E-3</v>
          </cell>
          <cell r="S224">
            <v>4.812472644478127E-3</v>
          </cell>
          <cell r="T224">
            <v>4.812472644478127E-3</v>
          </cell>
          <cell r="U224">
            <v>4.812472644478127E-3</v>
          </cell>
          <cell r="V224">
            <v>4.812472644478127E-3</v>
          </cell>
          <cell r="W224">
            <v>4.812472644478127E-3</v>
          </cell>
          <cell r="X224">
            <v>4.812472644478127E-3</v>
          </cell>
          <cell r="Y224">
            <v>4.812472644478127E-3</v>
          </cell>
        </row>
        <row r="225">
          <cell r="B225" t="str">
            <v>SUBTOTAL PIEZAS ESPECIALES</v>
          </cell>
          <cell r="C225">
            <v>265.27999999999997</v>
          </cell>
          <cell r="D225">
            <v>265.27999999999997</v>
          </cell>
          <cell r="E225">
            <v>53.055999999999997</v>
          </cell>
          <cell r="F225">
            <v>338.39100000000002</v>
          </cell>
          <cell r="G225">
            <v>1.2799138168442276E-2</v>
          </cell>
          <cell r="J225">
            <v>112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 t="str">
            <v>XXXXX</v>
          </cell>
          <cell r="R225" t="str">
            <v>XXXXX</v>
          </cell>
          <cell r="S225" t="str">
            <v>XXXXX</v>
          </cell>
          <cell r="T225" t="str">
            <v>XXXXX</v>
          </cell>
          <cell r="U225" t="str">
            <v>XXXXX</v>
          </cell>
          <cell r="V225" t="str">
            <v>XXXXX</v>
          </cell>
          <cell r="W225" t="str">
            <v>XXXXX</v>
          </cell>
          <cell r="X225" t="str">
            <v>XXXXX</v>
          </cell>
          <cell r="Y225" t="str">
            <v>XXXXX</v>
          </cell>
        </row>
        <row r="226">
          <cell r="F226">
            <v>0</v>
          </cell>
          <cell r="H226">
            <v>7</v>
          </cell>
          <cell r="I226">
            <v>22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7.9994613552764222E-4</v>
          </cell>
          <cell r="R226">
            <v>7.9994613552764222E-4</v>
          </cell>
          <cell r="S226">
            <v>7.9994613552764222E-4</v>
          </cell>
          <cell r="T226">
            <v>7.9994613552764222E-4</v>
          </cell>
          <cell r="U226">
            <v>7.9994613552764222E-4</v>
          </cell>
          <cell r="V226">
            <v>7.9994613552764222E-4</v>
          </cell>
          <cell r="W226">
            <v>7.9994613552764222E-4</v>
          </cell>
          <cell r="X226">
            <v>7.9994613552764222E-4</v>
          </cell>
          <cell r="Y226">
            <v>7.9994613552764222E-4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J227">
            <v>7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</row>
        <row r="228">
          <cell r="F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</row>
        <row r="230">
          <cell r="F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</row>
        <row r="231">
          <cell r="B231" t="str">
            <v>OBRAS DE PAVIMENTACION Y SOL. AGUAS LLUVIAS</v>
          </cell>
          <cell r="C231">
            <v>10852.024000000001</v>
          </cell>
          <cell r="D231">
            <v>10852.024000000001</v>
          </cell>
          <cell r="E231">
            <v>2170.4048000000003</v>
          </cell>
          <cell r="F231">
            <v>13842.842000000001</v>
          </cell>
        </row>
        <row r="232"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J232">
            <v>154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</row>
        <row r="233">
          <cell r="F233">
            <v>0</v>
          </cell>
          <cell r="H233">
            <v>8</v>
          </cell>
          <cell r="I233">
            <v>29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</row>
        <row r="234">
          <cell r="B234" t="str">
            <v>SUB TOTAL BASES DE HORMIGON</v>
          </cell>
          <cell r="C234">
            <v>9166.6660000000011</v>
          </cell>
          <cell r="D234">
            <v>9166.6660000000011</v>
          </cell>
          <cell r="E234">
            <v>1833.3332</v>
          </cell>
          <cell r="F234">
            <v>11692.999</v>
          </cell>
          <cell r="G234">
            <v>0.44227036122254237</v>
          </cell>
          <cell r="J234">
            <v>154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 t="str">
            <v>XXXXX</v>
          </cell>
          <cell r="S234" t="str">
            <v>XXXXX</v>
          </cell>
          <cell r="T234" t="str">
            <v>XXXXX</v>
          </cell>
          <cell r="U234" t="str">
            <v>XXXXX</v>
          </cell>
          <cell r="V234" t="str">
            <v>XXXXX</v>
          </cell>
          <cell r="W234" t="str">
            <v>XXXXX</v>
          </cell>
          <cell r="X234" t="str">
            <v>XXXXX</v>
          </cell>
          <cell r="Y234" t="str">
            <v>XXXXX</v>
          </cell>
        </row>
        <row r="235">
          <cell r="F235">
            <v>0</v>
          </cell>
          <cell r="H235">
            <v>8</v>
          </cell>
          <cell r="I235">
            <v>29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2.0103198237388289E-2</v>
          </cell>
          <cell r="S235">
            <v>2.0103198237388289E-2</v>
          </cell>
          <cell r="T235">
            <v>2.0103198237388289E-2</v>
          </cell>
          <cell r="U235">
            <v>2.0103198237388289E-2</v>
          </cell>
          <cell r="V235">
            <v>2.0103198237388289E-2</v>
          </cell>
          <cell r="W235">
            <v>2.0103198237388289E-2</v>
          </cell>
          <cell r="X235">
            <v>2.0103198237388289E-2</v>
          </cell>
          <cell r="Y235">
            <v>2.0103198237388289E-2</v>
          </cell>
        </row>
        <row r="236">
          <cell r="B236" t="str">
            <v>SUB TOTAL SOLERAS</v>
          </cell>
          <cell r="C236">
            <v>554.55399999999997</v>
          </cell>
          <cell r="D236">
            <v>554.55399999999997</v>
          </cell>
          <cell r="E236">
            <v>110.91079999999999</v>
          </cell>
          <cell r="F236">
            <v>707.38900000000001</v>
          </cell>
          <cell r="G236">
            <v>2.6755940760351819E-2</v>
          </cell>
          <cell r="J236">
            <v>147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 t="str">
            <v>XXXXX</v>
          </cell>
          <cell r="P236" t="str">
            <v>XXXXX</v>
          </cell>
          <cell r="Q236" t="str">
            <v>XXXXX</v>
          </cell>
          <cell r="R236" t="str">
            <v>XXXXX</v>
          </cell>
          <cell r="S236" t="str">
            <v>XXXXX</v>
          </cell>
          <cell r="T236" t="str">
            <v>XXXXX</v>
          </cell>
          <cell r="U236" t="str">
            <v>XXXXX</v>
          </cell>
          <cell r="V236" t="str">
            <v>XXXXX</v>
          </cell>
          <cell r="W236" t="str">
            <v>XXXXX</v>
          </cell>
          <cell r="X236" t="str">
            <v>XXXXX</v>
          </cell>
          <cell r="Y236" t="str">
            <v>XXXXX</v>
          </cell>
        </row>
        <row r="237">
          <cell r="F237">
            <v>0</v>
          </cell>
          <cell r="H237">
            <v>5</v>
          </cell>
          <cell r="I237">
            <v>25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1.2740924171596103E-3</v>
          </cell>
          <cell r="P237">
            <v>1.2740924171596103E-3</v>
          </cell>
          <cell r="Q237">
            <v>1.2740924171596103E-3</v>
          </cell>
          <cell r="R237">
            <v>1.2740924171596103E-3</v>
          </cell>
          <cell r="S237">
            <v>1.2740924171596103E-3</v>
          </cell>
          <cell r="T237">
            <v>1.2740924171596103E-3</v>
          </cell>
          <cell r="U237">
            <v>1.2740924171596103E-3</v>
          </cell>
          <cell r="V237">
            <v>1.2740924171596103E-3</v>
          </cell>
          <cell r="W237">
            <v>1.2740924171596103E-3</v>
          </cell>
          <cell r="X237">
            <v>1.2740924171596103E-3</v>
          </cell>
          <cell r="Y237">
            <v>1.2740924171596103E-3</v>
          </cell>
        </row>
        <row r="238"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J238">
            <v>133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</row>
        <row r="239">
          <cell r="F239">
            <v>0</v>
          </cell>
          <cell r="H239">
            <v>7</v>
          </cell>
          <cell r="I239">
            <v>25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</row>
        <row r="240">
          <cell r="B240" t="str">
            <v>SUBTOTAL AGUAS LLUVIAS</v>
          </cell>
          <cell r="C240">
            <v>1130.8040000000001</v>
          </cell>
          <cell r="D240">
            <v>1130.8040000000001</v>
          </cell>
          <cell r="E240">
            <v>226.16079999999999</v>
          </cell>
          <cell r="F240">
            <v>1442.454</v>
          </cell>
          <cell r="G240">
            <v>5.4558685212142848E-2</v>
          </cell>
          <cell r="J240">
            <v>91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 t="str">
            <v>XXXXX</v>
          </cell>
          <cell r="S240" t="str">
            <v>XXXXX</v>
          </cell>
          <cell r="T240" t="str">
            <v>XXXXX</v>
          </cell>
          <cell r="U240" t="str">
            <v>XXXXX</v>
          </cell>
          <cell r="V240" t="str">
            <v>XXXXX</v>
          </cell>
          <cell r="W240" t="str">
            <v>XXXXX</v>
          </cell>
          <cell r="X240" t="str">
            <v>XXXXX</v>
          </cell>
          <cell r="Y240" t="str">
            <v>XXXXX</v>
          </cell>
        </row>
        <row r="241">
          <cell r="F241">
            <v>0</v>
          </cell>
          <cell r="H241">
            <v>8</v>
          </cell>
          <cell r="I241">
            <v>20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4.1968219393956037E-3</v>
          </cell>
          <cell r="S241">
            <v>4.1968219393956037E-3</v>
          </cell>
          <cell r="T241">
            <v>4.1968219393956037E-3</v>
          </cell>
          <cell r="U241">
            <v>4.1968219393956037E-3</v>
          </cell>
          <cell r="V241">
            <v>4.1968219393956037E-3</v>
          </cell>
          <cell r="W241">
            <v>4.1968219393956037E-3</v>
          </cell>
          <cell r="X241">
            <v>4.1968219393956037E-3</v>
          </cell>
          <cell r="Y241">
            <v>4.0968219393956035E-3</v>
          </cell>
        </row>
        <row r="242">
          <cell r="B242" t="str">
            <v>ELECTRIFICACION</v>
          </cell>
          <cell r="C242">
            <v>475.95330960854091</v>
          </cell>
          <cell r="D242">
            <v>475.95330960854091</v>
          </cell>
          <cell r="E242">
            <v>95.190659999999994</v>
          </cell>
          <cell r="F242">
            <v>607.12599999999998</v>
          </cell>
        </row>
        <row r="243">
          <cell r="B243" t="str">
            <v xml:space="preserve">TOTAL ELECTRIFICACION </v>
          </cell>
          <cell r="C243">
            <v>475.95330960854091</v>
          </cell>
          <cell r="D243">
            <v>475.95330960854091</v>
          </cell>
          <cell r="E243">
            <v>95.190659999999994</v>
          </cell>
          <cell r="F243">
            <v>607.12599999999998</v>
          </cell>
          <cell r="G243">
            <v>2.296364134877607E-2</v>
          </cell>
          <cell r="J243">
            <v>84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</row>
        <row r="244">
          <cell r="F244">
            <v>0</v>
          </cell>
          <cell r="H244">
            <v>22</v>
          </cell>
          <cell r="I244">
            <v>33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</row>
        <row r="245"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J245">
            <v>7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</row>
        <row r="246">
          <cell r="F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</row>
        <row r="247">
          <cell r="B247" t="str">
            <v>OTRAS PARTIDAS DE URBANIZACION</v>
          </cell>
          <cell r="C247">
            <v>4429.3829750889672</v>
          </cell>
          <cell r="D247">
            <v>4429.3829750889672</v>
          </cell>
          <cell r="E247">
            <v>885.87759999999992</v>
          </cell>
          <cell r="F247">
            <v>5650.1220000000003</v>
          </cell>
        </row>
        <row r="248">
          <cell r="B248" t="str">
            <v>Excavacion y Extraccion de material Loteo</v>
          </cell>
          <cell r="C248">
            <v>494.7245551601423</v>
          </cell>
          <cell r="D248">
            <v>494.7245551601423</v>
          </cell>
          <cell r="E248">
            <v>98.944909999999993</v>
          </cell>
          <cell r="F248">
            <v>631.07100000000003</v>
          </cell>
          <cell r="G248">
            <v>2.3869325493577058E-2</v>
          </cell>
          <cell r="J248">
            <v>35</v>
          </cell>
          <cell r="K248" t="str">
            <v>XXXXX</v>
          </cell>
          <cell r="L248" t="str">
            <v>XXXXX</v>
          </cell>
          <cell r="M248" t="str">
            <v>XXXXX</v>
          </cell>
          <cell r="N248" t="str">
            <v>XXXXX</v>
          </cell>
          <cell r="O248" t="str">
            <v>XXXXX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</row>
        <row r="249">
          <cell r="F249">
            <v>0</v>
          </cell>
          <cell r="H249">
            <v>1</v>
          </cell>
          <cell r="I249">
            <v>5</v>
          </cell>
          <cell r="K249">
            <v>4.7738650987154112E-3</v>
          </cell>
          <cell r="L249">
            <v>4.7738650987154112E-3</v>
          </cell>
          <cell r="M249">
            <v>4.7738650987154112E-3</v>
          </cell>
          <cell r="N249">
            <v>4.7738650987154112E-3</v>
          </cell>
          <cell r="O249">
            <v>4.7738650987154112E-3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</row>
        <row r="250">
          <cell r="B250" t="str">
            <v>Relleno estabilizado Loteo</v>
          </cell>
          <cell r="C250">
            <v>2302.9750889679713</v>
          </cell>
          <cell r="D250">
            <v>2302.9750889679713</v>
          </cell>
          <cell r="E250">
            <v>460.59501999999998</v>
          </cell>
          <cell r="F250">
            <v>2937.6750000000002</v>
          </cell>
          <cell r="G250">
            <v>0.111113204012455</v>
          </cell>
          <cell r="J250">
            <v>49</v>
          </cell>
          <cell r="K250">
            <v>0</v>
          </cell>
          <cell r="L250" t="str">
            <v>XXXXX</v>
          </cell>
          <cell r="M250" t="str">
            <v>XXXXX</v>
          </cell>
          <cell r="N250" t="str">
            <v>XXXXX</v>
          </cell>
          <cell r="O250" t="str">
            <v>XXXXX</v>
          </cell>
          <cell r="P250" t="str">
            <v>XXXXX</v>
          </cell>
          <cell r="Q250" t="str">
            <v>XXXXX</v>
          </cell>
          <cell r="R250" t="str">
            <v>XXXXX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</row>
        <row r="251">
          <cell r="F251">
            <v>0</v>
          </cell>
          <cell r="H251">
            <v>2</v>
          </cell>
          <cell r="I251">
            <v>8</v>
          </cell>
          <cell r="K251">
            <v>0</v>
          </cell>
          <cell r="L251">
            <v>1.5873314858922145E-2</v>
          </cell>
          <cell r="M251">
            <v>1.5873314858922145E-2</v>
          </cell>
          <cell r="N251">
            <v>1.5873314858922145E-2</v>
          </cell>
          <cell r="O251">
            <v>1.5873314858922145E-2</v>
          </cell>
          <cell r="P251">
            <v>1.5873314858922145E-2</v>
          </cell>
          <cell r="Q251">
            <v>1.5873314858922145E-2</v>
          </cell>
          <cell r="R251">
            <v>1.5873314858922145E-2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</row>
        <row r="252">
          <cell r="B252" t="str">
            <v>Trazdos y niveles urbanos</v>
          </cell>
          <cell r="C252">
            <v>119.23131672597866</v>
          </cell>
          <cell r="D252">
            <v>119.23131672597866</v>
          </cell>
          <cell r="E252">
            <v>23.846260000000001</v>
          </cell>
          <cell r="F252">
            <v>152.09100000000001</v>
          </cell>
          <cell r="G252">
            <v>5.7526167160963327E-3</v>
          </cell>
          <cell r="J252">
            <v>21</v>
          </cell>
          <cell r="K252">
            <v>0</v>
          </cell>
          <cell r="L252" t="str">
            <v>XXXXX</v>
          </cell>
          <cell r="M252" t="str">
            <v>XXXXX</v>
          </cell>
          <cell r="N252" t="str">
            <v>XXXXX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</row>
        <row r="253">
          <cell r="F253">
            <v>0</v>
          </cell>
          <cell r="H253">
            <v>2</v>
          </cell>
          <cell r="I253">
            <v>4</v>
          </cell>
          <cell r="K253">
            <v>0</v>
          </cell>
          <cell r="L253">
            <v>1.9175389053654442E-3</v>
          </cell>
          <cell r="M253">
            <v>1.9175389053654442E-3</v>
          </cell>
          <cell r="N253">
            <v>1.9175389053654442E-3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B254" t="str">
            <v>Areas verdes y esparcimiento</v>
          </cell>
          <cell r="C254">
            <v>496.78567971530242</v>
          </cell>
          <cell r="D254">
            <v>496.78567971530242</v>
          </cell>
          <cell r="E254">
            <v>99.357140000000001</v>
          </cell>
          <cell r="F254">
            <v>633.70000000000005</v>
          </cell>
          <cell r="G254">
            <v>2.3968763523089767E-2</v>
          </cell>
          <cell r="J254">
            <v>77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</row>
        <row r="255">
          <cell r="F255">
            <v>0</v>
          </cell>
          <cell r="H255">
            <v>22</v>
          </cell>
          <cell r="I255">
            <v>32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</row>
        <row r="256">
          <cell r="B256" t="str">
            <v>Cert. recepción org, fiscalizadores entregado al Mandante</v>
          </cell>
          <cell r="C256">
            <v>993.26348754448395</v>
          </cell>
          <cell r="D256">
            <v>993.26348754448395</v>
          </cell>
          <cell r="E256">
            <v>198.65270000000001</v>
          </cell>
          <cell r="F256">
            <v>1267.0070000000001</v>
          </cell>
          <cell r="G256">
            <v>4.7622662403502283E-2</v>
          </cell>
          <cell r="J256">
            <v>63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F257">
            <v>0</v>
          </cell>
          <cell r="H257">
            <v>28</v>
          </cell>
          <cell r="I257">
            <v>36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</row>
        <row r="258">
          <cell r="B258" t="str">
            <v>Señalizacion Urbanas</v>
          </cell>
          <cell r="C258">
            <v>22.40284697508897</v>
          </cell>
          <cell r="D258">
            <v>22.40284697508897</v>
          </cell>
          <cell r="E258">
            <v>4.4815700000000005</v>
          </cell>
          <cell r="F258">
            <v>28.577999999999999</v>
          </cell>
          <cell r="G258">
            <v>1.0809205049121971E-3</v>
          </cell>
          <cell r="J258">
            <v>28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</row>
        <row r="259">
          <cell r="H259">
            <v>30</v>
          </cell>
          <cell r="I259">
            <v>33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</row>
        <row r="260">
          <cell r="B260" t="str">
            <v>SUBTOTAL URBANIZACION</v>
          </cell>
          <cell r="C260">
            <v>20726.38528469751</v>
          </cell>
          <cell r="D260">
            <v>20726.38528469751</v>
          </cell>
          <cell r="E260">
            <v>4145.2760600000001</v>
          </cell>
          <cell r="F260">
            <v>26438.576999999997</v>
          </cell>
          <cell r="G260">
            <v>0.9996999621764816</v>
          </cell>
          <cell r="H260">
            <v>0.27200157193271701</v>
          </cell>
          <cell r="K260">
            <v>7.3773007273929053E-3</v>
          </cell>
          <cell r="L260">
            <v>3.4191656227592584E-2</v>
          </cell>
          <cell r="M260">
            <v>3.4191656227592584E-2</v>
          </cell>
          <cell r="N260">
            <v>3.900412887207072E-2</v>
          </cell>
          <cell r="O260">
            <v>4.0344437661868932E-2</v>
          </cell>
          <cell r="P260">
            <v>3.5570572563153519E-2</v>
          </cell>
          <cell r="Q260">
            <v>3.6370518698681159E-2</v>
          </cell>
          <cell r="R260">
            <v>6.0670538875465058E-2</v>
          </cell>
          <cell r="S260">
            <v>4.4797224016542909E-2</v>
          </cell>
          <cell r="T260">
            <v>4.4797224016542909E-2</v>
          </cell>
          <cell r="U260">
            <v>4.4797224016542909E-2</v>
          </cell>
          <cell r="V260">
            <v>4.4797224016542909E-2</v>
          </cell>
          <cell r="W260">
            <v>3.5773722280630825E-2</v>
          </cell>
          <cell r="X260">
            <v>3.3789967002626764E-2</v>
          </cell>
          <cell r="Y260">
            <v>3.3689967002626761E-2</v>
          </cell>
        </row>
        <row r="261">
          <cell r="B261" t="str">
            <v>AVANCE QUINCENAL</v>
          </cell>
          <cell r="D261">
            <v>0</v>
          </cell>
          <cell r="K261" t="str">
            <v>E.P. 1</v>
          </cell>
          <cell r="L261">
            <v>4.1568956954985491E-2</v>
          </cell>
          <cell r="M261" t="str">
            <v>E.P. 2</v>
          </cell>
          <cell r="N261">
            <v>7.3195785099663305E-2</v>
          </cell>
          <cell r="O261" t="str">
            <v>E.P. 3</v>
          </cell>
          <cell r="P261">
            <v>7.591501022502245E-2</v>
          </cell>
          <cell r="Q261" t="str">
            <v>E.P. 4</v>
          </cell>
          <cell r="R261">
            <v>9.7041057574146217E-2</v>
          </cell>
          <cell r="S261" t="str">
            <v>E.P. 5</v>
          </cell>
          <cell r="T261">
            <v>8.9594448033085819E-2</v>
          </cell>
          <cell r="U261" t="str">
            <v>E.P. 6</v>
          </cell>
          <cell r="V261">
            <v>8.9594448033085819E-2</v>
          </cell>
          <cell r="W261" t="str">
            <v>E.P. 7</v>
          </cell>
          <cell r="X261">
            <v>6.9563689283257596E-2</v>
          </cell>
          <cell r="Y261" t="str">
            <v>E.P. 8</v>
          </cell>
        </row>
        <row r="263">
          <cell r="B263" t="str">
            <v>TOTAL PRESUPUESTO DE OBRA</v>
          </cell>
          <cell r="F263">
            <v>97200.089000000007</v>
          </cell>
          <cell r="H263">
            <v>0.7279984280672831</v>
          </cell>
        </row>
        <row r="264">
          <cell r="H264">
            <v>1</v>
          </cell>
        </row>
        <row r="265">
          <cell r="B265" t="str">
            <v>AVANCE SEMANAL</v>
          </cell>
          <cell r="F265" t="str">
            <v>VIVIENDA</v>
          </cell>
          <cell r="K265">
            <v>4.8388775995187967E-3</v>
          </cell>
          <cell r="L265">
            <v>4.9239173879082904E-3</v>
          </cell>
          <cell r="M265">
            <v>8.1211903415941197E-3</v>
          </cell>
          <cell r="N265">
            <v>5.5577439004882668E-3</v>
          </cell>
          <cell r="O265">
            <v>6.947779207508979E-3</v>
          </cell>
          <cell r="P265">
            <v>1.0044948258674842E-2</v>
          </cell>
          <cell r="Q265">
            <v>1.3652336187895542E-2</v>
          </cell>
          <cell r="R265">
            <v>1.5304387378170406E-2</v>
          </cell>
          <cell r="S265">
            <v>2.2334921148139571E-2</v>
          </cell>
          <cell r="T265">
            <v>2.2921847375051849E-2</v>
          </cell>
          <cell r="U265">
            <v>2.8244227277295541E-2</v>
          </cell>
          <cell r="V265">
            <v>3.4214334749520008E-2</v>
          </cell>
          <cell r="W265">
            <v>3.6334880419142526E-2</v>
          </cell>
          <cell r="X265">
            <v>4.0410963042329662E-2</v>
          </cell>
          <cell r="Y265">
            <v>4.1443378710702083E-2</v>
          </cell>
        </row>
        <row r="266">
          <cell r="F266" t="str">
            <v>URBANIZACION</v>
          </cell>
          <cell r="K266">
            <v>2.0066373944712468E-3</v>
          </cell>
          <cell r="L266">
            <v>9.3001842408882568E-3</v>
          </cell>
          <cell r="M266">
            <v>9.3001842408882568E-3</v>
          </cell>
          <cell r="N266">
            <v>1.0609184365069508E-2</v>
          </cell>
          <cell r="O266">
            <v>1.097375046276986E-2</v>
          </cell>
          <cell r="P266">
            <v>9.6752516517245313E-3</v>
          </cell>
          <cell r="Q266">
            <v>9.8928382580495532E-3</v>
          </cell>
          <cell r="R266">
            <v>1.6502481944131512E-2</v>
          </cell>
          <cell r="S266">
            <v>1.2184915350721734E-2</v>
          </cell>
          <cell r="T266">
            <v>1.2184915350721734E-2</v>
          </cell>
          <cell r="U266">
            <v>1.2184915350721734E-2</v>
          </cell>
          <cell r="V266">
            <v>1.2184915350721734E-2</v>
          </cell>
          <cell r="W266">
            <v>9.7305086942160463E-3</v>
          </cell>
          <cell r="X266">
            <v>9.1909241402691189E-3</v>
          </cell>
          <cell r="Y266">
            <v>9.163723983075845E-3</v>
          </cell>
        </row>
        <row r="267">
          <cell r="B267" t="str">
            <v xml:space="preserve">AVANCE SEMANAL </v>
          </cell>
          <cell r="F267" t="str">
            <v>TOTAL</v>
          </cell>
          <cell r="K267">
            <v>6.8455149939900435E-3</v>
          </cell>
          <cell r="L267">
            <v>1.4224101628796547E-2</v>
          </cell>
          <cell r="M267">
            <v>1.7421374582482378E-2</v>
          </cell>
          <cell r="N267">
            <v>1.6166928265557774E-2</v>
          </cell>
          <cell r="O267">
            <v>1.7921529670278838E-2</v>
          </cell>
          <cell r="P267">
            <v>1.9720199910399375E-2</v>
          </cell>
          <cell r="Q267">
            <v>2.3545174445945095E-2</v>
          </cell>
          <cell r="R267">
            <v>3.1806869322301916E-2</v>
          </cell>
          <cell r="S267">
            <v>3.4519836498861305E-2</v>
          </cell>
          <cell r="T267">
            <v>3.510676272577358E-2</v>
          </cell>
          <cell r="U267">
            <v>4.0429142628017278E-2</v>
          </cell>
          <cell r="V267">
            <v>4.6399250100241742E-2</v>
          </cell>
          <cell r="W267">
            <v>4.6065389113358571E-2</v>
          </cell>
          <cell r="X267">
            <v>4.9601887182598781E-2</v>
          </cell>
          <cell r="Y267">
            <v>5.0607102693777925E-2</v>
          </cell>
        </row>
        <row r="268">
          <cell r="B268" t="str">
            <v>AVANCE QUINCENAL</v>
          </cell>
          <cell r="F268" t="str">
            <v>VIVIENDA</v>
          </cell>
          <cell r="L268">
            <v>9.7627949874270863E-3</v>
          </cell>
          <cell r="N268">
            <v>1.3678934242082386E-2</v>
          </cell>
          <cell r="P268">
            <v>1.699272746618382E-2</v>
          </cell>
          <cell r="R268">
            <v>2.8956723566065948E-2</v>
          </cell>
          <cell r="T268">
            <v>4.5256768523191424E-2</v>
          </cell>
          <cell r="V268">
            <v>6.2458562026815545E-2</v>
          </cell>
          <cell r="X268">
            <v>7.6745843461472188E-2</v>
          </cell>
        </row>
        <row r="269">
          <cell r="F269" t="str">
            <v>URBANIZACION</v>
          </cell>
          <cell r="L269">
            <v>1.1306821635359503E-2</v>
          </cell>
          <cell r="N269">
            <v>1.9909368605957767E-2</v>
          </cell>
          <cell r="P269">
            <v>2.0649002114494393E-2</v>
          </cell>
          <cell r="R269">
            <v>2.6395320202181063E-2</v>
          </cell>
          <cell r="T269">
            <v>2.4369830701443468E-2</v>
          </cell>
          <cell r="V269">
            <v>2.4369830701443468E-2</v>
          </cell>
          <cell r="X269">
            <v>1.8921432834485163E-2</v>
          </cell>
        </row>
        <row r="270">
          <cell r="B270" t="str">
            <v>AVANCE QUINCENAL</v>
          </cell>
          <cell r="F270" t="str">
            <v>TOTAL</v>
          </cell>
          <cell r="L270">
            <v>2.1069616622786589E-2</v>
          </cell>
          <cell r="N270">
            <v>3.3588302848040152E-2</v>
          </cell>
          <cell r="P270">
            <v>3.7641729580678213E-2</v>
          </cell>
          <cell r="R270">
            <v>5.5352043768247011E-2</v>
          </cell>
          <cell r="T270">
            <v>6.9626599224634891E-2</v>
          </cell>
          <cell r="V270">
            <v>8.6828392728259013E-2</v>
          </cell>
          <cell r="X270">
            <v>9.5667276295957351E-2</v>
          </cell>
        </row>
        <row r="271">
          <cell r="B271" t="str">
            <v>AVANCE QUINCENAL ACUMULADO</v>
          </cell>
          <cell r="F271" t="str">
            <v>VIVIENDA</v>
          </cell>
          <cell r="L271">
            <v>9.7627949874270863E-3</v>
          </cell>
          <cell r="N271">
            <v>2.3441729229509472E-2</v>
          </cell>
          <cell r="P271">
            <v>3.0671661708266205E-2</v>
          </cell>
          <cell r="R271">
            <v>4.5949451032249768E-2</v>
          </cell>
          <cell r="T271">
            <v>7.4213492089257371E-2</v>
          </cell>
          <cell r="V271">
            <v>0.10771533055000697</v>
          </cell>
          <cell r="X271">
            <v>0.13920440548828772</v>
          </cell>
        </row>
        <row r="272">
          <cell r="F272" t="str">
            <v>URBANIZACION</v>
          </cell>
          <cell r="L272">
            <v>1.1306821635359503E-2</v>
          </cell>
          <cell r="N272">
            <v>3.121619024131727E-2</v>
          </cell>
          <cell r="P272">
            <v>4.055837072045216E-2</v>
          </cell>
          <cell r="R272">
            <v>4.7044322316675456E-2</v>
          </cell>
          <cell r="T272">
            <v>5.0765150903624531E-2</v>
          </cell>
          <cell r="V272">
            <v>4.8739661402886936E-2</v>
          </cell>
          <cell r="X272">
            <v>4.3291263535928631E-2</v>
          </cell>
        </row>
        <row r="273">
          <cell r="B273" t="str">
            <v>AVANCE QUINCENAL ACUMULADO</v>
          </cell>
          <cell r="F273" t="str">
            <v>TOTAL</v>
          </cell>
          <cell r="K273" t="str">
            <v>E.P. 1</v>
          </cell>
          <cell r="L273">
            <v>2.1069616622786589E-2</v>
          </cell>
          <cell r="M273" t="str">
            <v>E.P. 2</v>
          </cell>
          <cell r="N273">
            <v>5.4657919470826738E-2</v>
          </cell>
          <cell r="O273" t="str">
            <v>E.P. 3</v>
          </cell>
          <cell r="P273">
            <v>9.2299649051504951E-2</v>
          </cell>
          <cell r="Q273" t="str">
            <v>E.P. 4</v>
          </cell>
          <cell r="R273">
            <v>0.14765169281975196</v>
          </cell>
          <cell r="S273" t="str">
            <v>E.P. 5</v>
          </cell>
          <cell r="T273">
            <v>0.21727829204438687</v>
          </cell>
          <cell r="U273" t="str">
            <v>E.P. 6</v>
          </cell>
          <cell r="V273">
            <v>0.30410668477264591</v>
          </cell>
          <cell r="W273" t="str">
            <v>E.P. 7</v>
          </cell>
          <cell r="X273">
            <v>0.39977396106860325</v>
          </cell>
          <cell r="Y273" t="str">
            <v>E.P. 8</v>
          </cell>
        </row>
        <row r="274">
          <cell r="J274" t="str">
            <v>FECHA</v>
          </cell>
          <cell r="K274" t="str">
            <v>QUINCENA1</v>
          </cell>
          <cell r="M274" t="str">
            <v>QUINCENA2</v>
          </cell>
          <cell r="O274" t="str">
            <v>QUINCENA3</v>
          </cell>
          <cell r="Q274" t="str">
            <v>QUINCENA4</v>
          </cell>
          <cell r="S274" t="str">
            <v>QUINCENA5</v>
          </cell>
          <cell r="U274" t="str">
            <v>QUINCENA6</v>
          </cell>
          <cell r="W274" t="str">
            <v>QUINCENA7</v>
          </cell>
          <cell r="Y274" t="str">
            <v>QUINCENA8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."/>
      <sheetName val="G.G"/>
      <sheetName val="A.P.U."/>
      <sheetName val="IMPORTAR"/>
      <sheetName val="INFORMES"/>
      <sheetName val="APOYO"/>
      <sheetName val="CLIENTE"/>
      <sheetName val="PRESTO"/>
      <sheetName val="PU_VENTA"/>
      <sheetName val="PRE_VENTA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o"/>
      <sheetName val="Mensual"/>
      <sheetName val="Mini"/>
      <sheetName val="Diario"/>
      <sheetName val="Configuracion"/>
    </sheetNames>
    <sheetDataSet>
      <sheetData sheetId="0">
        <row r="1">
          <cell r="B1">
            <v>42005</v>
          </cell>
        </row>
      </sheetData>
      <sheetData sheetId="1" refreshError="1"/>
      <sheetData sheetId="2" refreshError="1"/>
      <sheetData sheetId="3">
        <row r="2">
          <cell r="F2">
            <v>1</v>
          </cell>
        </row>
        <row r="3">
          <cell r="F3">
            <v>0</v>
          </cell>
        </row>
        <row r="4">
          <cell r="F4">
            <v>0</v>
          </cell>
        </row>
        <row r="5">
          <cell r="F5">
            <v>0</v>
          </cell>
        </row>
        <row r="6">
          <cell r="F6">
            <v>0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  <row r="26">
          <cell r="F26">
            <v>0</v>
          </cell>
        </row>
        <row r="27">
          <cell r="F27">
            <v>0</v>
          </cell>
        </row>
        <row r="28">
          <cell r="F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41">
          <cell r="F41">
            <v>0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0</v>
          </cell>
        </row>
        <row r="46">
          <cell r="F46">
            <v>0</v>
          </cell>
        </row>
        <row r="47">
          <cell r="F47">
            <v>0</v>
          </cell>
        </row>
        <row r="48">
          <cell r="F48">
            <v>0</v>
          </cell>
        </row>
        <row r="49">
          <cell r="F49">
            <v>0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  <row r="64">
          <cell r="F64">
            <v>0</v>
          </cell>
        </row>
        <row r="65">
          <cell r="F65">
            <v>0</v>
          </cell>
        </row>
        <row r="66">
          <cell r="F66">
            <v>0</v>
          </cell>
        </row>
        <row r="67">
          <cell r="F67">
            <v>0</v>
          </cell>
        </row>
        <row r="68">
          <cell r="F68">
            <v>0</v>
          </cell>
        </row>
        <row r="69">
          <cell r="F69">
            <v>0</v>
          </cell>
        </row>
        <row r="70">
          <cell r="F70">
            <v>0</v>
          </cell>
        </row>
        <row r="71">
          <cell r="F71">
            <v>0</v>
          </cell>
        </row>
        <row r="72">
          <cell r="F72">
            <v>0</v>
          </cell>
        </row>
        <row r="73">
          <cell r="F73">
            <v>0</v>
          </cell>
        </row>
        <row r="74">
          <cell r="F74">
            <v>0</v>
          </cell>
        </row>
        <row r="75">
          <cell r="F75">
            <v>0</v>
          </cell>
        </row>
        <row r="76">
          <cell r="F76">
            <v>0</v>
          </cell>
        </row>
        <row r="77">
          <cell r="F77">
            <v>0</v>
          </cell>
        </row>
        <row r="78">
          <cell r="F78">
            <v>0</v>
          </cell>
        </row>
        <row r="79">
          <cell r="F79">
            <v>0</v>
          </cell>
        </row>
        <row r="80">
          <cell r="F80">
            <v>0</v>
          </cell>
        </row>
        <row r="81">
          <cell r="F81">
            <v>0</v>
          </cell>
        </row>
        <row r="82">
          <cell r="F82">
            <v>0</v>
          </cell>
        </row>
        <row r="83">
          <cell r="F83">
            <v>0</v>
          </cell>
        </row>
        <row r="84">
          <cell r="F84">
            <v>0</v>
          </cell>
        </row>
        <row r="85">
          <cell r="F85">
            <v>0</v>
          </cell>
        </row>
        <row r="86">
          <cell r="F86">
            <v>0</v>
          </cell>
        </row>
        <row r="87">
          <cell r="F87">
            <v>0</v>
          </cell>
        </row>
        <row r="88">
          <cell r="F88">
            <v>0</v>
          </cell>
        </row>
        <row r="89">
          <cell r="F89">
            <v>0</v>
          </cell>
        </row>
        <row r="90">
          <cell r="F90">
            <v>0</v>
          </cell>
        </row>
        <row r="91">
          <cell r="F91">
            <v>0</v>
          </cell>
        </row>
        <row r="92">
          <cell r="F92">
            <v>0</v>
          </cell>
        </row>
        <row r="93">
          <cell r="F93">
            <v>0</v>
          </cell>
        </row>
        <row r="94">
          <cell r="F94">
            <v>0</v>
          </cell>
        </row>
        <row r="95">
          <cell r="F95">
            <v>0</v>
          </cell>
        </row>
        <row r="96">
          <cell r="F96">
            <v>0</v>
          </cell>
        </row>
        <row r="97">
          <cell r="F97">
            <v>0</v>
          </cell>
        </row>
        <row r="98">
          <cell r="F98">
            <v>0</v>
          </cell>
        </row>
        <row r="99">
          <cell r="F99">
            <v>0</v>
          </cell>
        </row>
        <row r="100">
          <cell r="F100">
            <v>0</v>
          </cell>
        </row>
        <row r="101">
          <cell r="F101">
            <v>0</v>
          </cell>
        </row>
        <row r="102">
          <cell r="F102">
            <v>0</v>
          </cell>
        </row>
        <row r="103">
          <cell r="F103">
            <v>0</v>
          </cell>
        </row>
        <row r="104">
          <cell r="F104">
            <v>0</v>
          </cell>
        </row>
        <row r="105">
          <cell r="F105">
            <v>0</v>
          </cell>
        </row>
        <row r="106">
          <cell r="F106">
            <v>0</v>
          </cell>
        </row>
        <row r="107">
          <cell r="F107">
            <v>0</v>
          </cell>
        </row>
        <row r="108">
          <cell r="F108">
            <v>0</v>
          </cell>
        </row>
        <row r="109">
          <cell r="F109">
            <v>0</v>
          </cell>
        </row>
        <row r="110">
          <cell r="F110">
            <v>0</v>
          </cell>
        </row>
        <row r="111">
          <cell r="F111">
            <v>0</v>
          </cell>
        </row>
        <row r="112">
          <cell r="F112">
            <v>0</v>
          </cell>
        </row>
        <row r="113">
          <cell r="F113">
            <v>0</v>
          </cell>
        </row>
        <row r="114">
          <cell r="F114">
            <v>0</v>
          </cell>
        </row>
        <row r="115">
          <cell r="F115">
            <v>0</v>
          </cell>
        </row>
        <row r="116">
          <cell r="F116">
            <v>0</v>
          </cell>
        </row>
        <row r="117">
          <cell r="F117">
            <v>0</v>
          </cell>
        </row>
        <row r="118">
          <cell r="F118">
            <v>0</v>
          </cell>
        </row>
        <row r="119">
          <cell r="F119">
            <v>0</v>
          </cell>
        </row>
        <row r="120">
          <cell r="F120">
            <v>0</v>
          </cell>
        </row>
        <row r="121">
          <cell r="F121">
            <v>0</v>
          </cell>
        </row>
        <row r="122">
          <cell r="F122">
            <v>0</v>
          </cell>
        </row>
        <row r="123">
          <cell r="F123">
            <v>0</v>
          </cell>
        </row>
        <row r="124">
          <cell r="F124">
            <v>0</v>
          </cell>
        </row>
        <row r="125">
          <cell r="F125">
            <v>0</v>
          </cell>
        </row>
        <row r="126">
          <cell r="F126">
            <v>0</v>
          </cell>
        </row>
        <row r="127">
          <cell r="F127">
            <v>0</v>
          </cell>
        </row>
        <row r="128">
          <cell r="F128">
            <v>0</v>
          </cell>
        </row>
        <row r="129">
          <cell r="F129">
            <v>0</v>
          </cell>
        </row>
        <row r="130">
          <cell r="F130">
            <v>0</v>
          </cell>
        </row>
        <row r="131">
          <cell r="F131">
            <v>0</v>
          </cell>
        </row>
        <row r="132">
          <cell r="F132">
            <v>0</v>
          </cell>
        </row>
        <row r="133">
          <cell r="F133">
            <v>0</v>
          </cell>
        </row>
        <row r="134">
          <cell r="F134">
            <v>0</v>
          </cell>
        </row>
        <row r="135">
          <cell r="F135">
            <v>0</v>
          </cell>
        </row>
        <row r="136">
          <cell r="F136">
            <v>0</v>
          </cell>
        </row>
        <row r="137">
          <cell r="F137">
            <v>0</v>
          </cell>
        </row>
        <row r="138">
          <cell r="F138">
            <v>0</v>
          </cell>
        </row>
        <row r="139">
          <cell r="F139">
            <v>0</v>
          </cell>
        </row>
        <row r="140">
          <cell r="F140">
            <v>0</v>
          </cell>
        </row>
        <row r="141">
          <cell r="F141">
            <v>0</v>
          </cell>
        </row>
        <row r="142">
          <cell r="F142">
            <v>0</v>
          </cell>
        </row>
        <row r="143">
          <cell r="F143">
            <v>0</v>
          </cell>
        </row>
        <row r="144">
          <cell r="F144">
            <v>0</v>
          </cell>
        </row>
        <row r="145">
          <cell r="F145">
            <v>0</v>
          </cell>
        </row>
        <row r="146">
          <cell r="F146">
            <v>0</v>
          </cell>
        </row>
        <row r="147">
          <cell r="F147">
            <v>0</v>
          </cell>
        </row>
        <row r="148">
          <cell r="F148">
            <v>0</v>
          </cell>
        </row>
        <row r="149">
          <cell r="F149">
            <v>0</v>
          </cell>
        </row>
        <row r="150">
          <cell r="F150">
            <v>0</v>
          </cell>
        </row>
        <row r="151">
          <cell r="F151">
            <v>0</v>
          </cell>
        </row>
        <row r="152">
          <cell r="F152">
            <v>0</v>
          </cell>
        </row>
        <row r="153">
          <cell r="F153">
            <v>0</v>
          </cell>
        </row>
        <row r="154">
          <cell r="F154">
            <v>0</v>
          </cell>
        </row>
        <row r="155">
          <cell r="F155">
            <v>0</v>
          </cell>
        </row>
        <row r="156">
          <cell r="F156">
            <v>0</v>
          </cell>
        </row>
        <row r="157">
          <cell r="F157">
            <v>0</v>
          </cell>
        </row>
        <row r="158">
          <cell r="F158">
            <v>0</v>
          </cell>
        </row>
        <row r="159">
          <cell r="F159">
            <v>0</v>
          </cell>
        </row>
        <row r="160">
          <cell r="F160">
            <v>0</v>
          </cell>
        </row>
        <row r="161">
          <cell r="F161">
            <v>0</v>
          </cell>
        </row>
        <row r="162">
          <cell r="F162">
            <v>0</v>
          </cell>
        </row>
        <row r="163">
          <cell r="F163">
            <v>0</v>
          </cell>
        </row>
        <row r="164">
          <cell r="F164">
            <v>0</v>
          </cell>
        </row>
        <row r="165">
          <cell r="F165">
            <v>0</v>
          </cell>
        </row>
        <row r="166">
          <cell r="F166">
            <v>0</v>
          </cell>
        </row>
        <row r="167">
          <cell r="F167">
            <v>0</v>
          </cell>
        </row>
        <row r="168">
          <cell r="F168">
            <v>0</v>
          </cell>
        </row>
        <row r="169">
          <cell r="F169">
            <v>0</v>
          </cell>
        </row>
        <row r="170">
          <cell r="F170">
            <v>0</v>
          </cell>
        </row>
        <row r="171">
          <cell r="F171">
            <v>0</v>
          </cell>
        </row>
        <row r="172">
          <cell r="F172">
            <v>0</v>
          </cell>
        </row>
        <row r="173">
          <cell r="F173">
            <v>0</v>
          </cell>
        </row>
        <row r="174">
          <cell r="F174">
            <v>0</v>
          </cell>
        </row>
        <row r="175">
          <cell r="F175">
            <v>0</v>
          </cell>
        </row>
        <row r="176">
          <cell r="F176">
            <v>0</v>
          </cell>
        </row>
        <row r="177">
          <cell r="F177">
            <v>0</v>
          </cell>
        </row>
        <row r="178">
          <cell r="F178">
            <v>0</v>
          </cell>
        </row>
        <row r="179">
          <cell r="F179">
            <v>0</v>
          </cell>
        </row>
        <row r="180">
          <cell r="F180">
            <v>0</v>
          </cell>
        </row>
        <row r="181">
          <cell r="F181">
            <v>0</v>
          </cell>
        </row>
        <row r="182">
          <cell r="F182">
            <v>0</v>
          </cell>
        </row>
        <row r="183">
          <cell r="F183">
            <v>0</v>
          </cell>
        </row>
        <row r="184">
          <cell r="F184">
            <v>0</v>
          </cell>
        </row>
        <row r="185">
          <cell r="F185">
            <v>0</v>
          </cell>
        </row>
        <row r="186">
          <cell r="F186">
            <v>0</v>
          </cell>
        </row>
        <row r="187">
          <cell r="F187">
            <v>0</v>
          </cell>
        </row>
        <row r="188">
          <cell r="F188">
            <v>0</v>
          </cell>
        </row>
        <row r="189">
          <cell r="F189">
            <v>0</v>
          </cell>
        </row>
        <row r="190">
          <cell r="F190">
            <v>0</v>
          </cell>
        </row>
        <row r="191">
          <cell r="F191">
            <v>0</v>
          </cell>
        </row>
        <row r="192">
          <cell r="F192">
            <v>0</v>
          </cell>
        </row>
        <row r="193">
          <cell r="F193">
            <v>0</v>
          </cell>
        </row>
        <row r="194">
          <cell r="F194">
            <v>0</v>
          </cell>
        </row>
        <row r="195">
          <cell r="F195">
            <v>0</v>
          </cell>
        </row>
        <row r="196">
          <cell r="F196">
            <v>0</v>
          </cell>
        </row>
        <row r="197">
          <cell r="F197">
            <v>0</v>
          </cell>
        </row>
        <row r="198">
          <cell r="F198">
            <v>0</v>
          </cell>
        </row>
        <row r="199">
          <cell r="F199">
            <v>0</v>
          </cell>
        </row>
        <row r="200">
          <cell r="F200">
            <v>0</v>
          </cell>
        </row>
        <row r="201">
          <cell r="F201">
            <v>0</v>
          </cell>
        </row>
        <row r="202">
          <cell r="F202">
            <v>0</v>
          </cell>
        </row>
        <row r="203">
          <cell r="F203">
            <v>0</v>
          </cell>
        </row>
        <row r="204">
          <cell r="F204">
            <v>0</v>
          </cell>
        </row>
        <row r="205">
          <cell r="F205">
            <v>0</v>
          </cell>
        </row>
        <row r="206">
          <cell r="F206">
            <v>0</v>
          </cell>
        </row>
        <row r="207">
          <cell r="F207">
            <v>0</v>
          </cell>
        </row>
        <row r="208">
          <cell r="F208">
            <v>0</v>
          </cell>
        </row>
        <row r="209">
          <cell r="F209">
            <v>0</v>
          </cell>
        </row>
        <row r="210">
          <cell r="F210">
            <v>0</v>
          </cell>
        </row>
        <row r="211">
          <cell r="F211">
            <v>0</v>
          </cell>
        </row>
        <row r="212">
          <cell r="F212">
            <v>0</v>
          </cell>
        </row>
        <row r="213">
          <cell r="F213">
            <v>0</v>
          </cell>
        </row>
        <row r="214">
          <cell r="F214">
            <v>0</v>
          </cell>
        </row>
        <row r="215">
          <cell r="F215">
            <v>0</v>
          </cell>
        </row>
        <row r="216">
          <cell r="F216">
            <v>0</v>
          </cell>
        </row>
        <row r="217">
          <cell r="F217">
            <v>0</v>
          </cell>
        </row>
        <row r="218">
          <cell r="F218">
            <v>0</v>
          </cell>
        </row>
        <row r="219">
          <cell r="F219">
            <v>0</v>
          </cell>
        </row>
        <row r="220">
          <cell r="F220">
            <v>0</v>
          </cell>
        </row>
        <row r="221">
          <cell r="F221">
            <v>0</v>
          </cell>
        </row>
        <row r="222">
          <cell r="F222">
            <v>0</v>
          </cell>
        </row>
        <row r="223">
          <cell r="F223">
            <v>0</v>
          </cell>
        </row>
        <row r="224">
          <cell r="F224">
            <v>0</v>
          </cell>
        </row>
        <row r="225">
          <cell r="F225">
            <v>0</v>
          </cell>
        </row>
        <row r="226">
          <cell r="F226">
            <v>0</v>
          </cell>
        </row>
        <row r="227">
          <cell r="F227">
            <v>0</v>
          </cell>
        </row>
        <row r="228">
          <cell r="F228">
            <v>0</v>
          </cell>
        </row>
        <row r="229">
          <cell r="F229">
            <v>0</v>
          </cell>
        </row>
        <row r="230">
          <cell r="F230">
            <v>0</v>
          </cell>
        </row>
        <row r="231">
          <cell r="F231">
            <v>0</v>
          </cell>
        </row>
        <row r="232">
          <cell r="F232">
            <v>0</v>
          </cell>
        </row>
        <row r="233">
          <cell r="F233">
            <v>0</v>
          </cell>
        </row>
        <row r="234">
          <cell r="F234">
            <v>0</v>
          </cell>
        </row>
        <row r="235">
          <cell r="F235">
            <v>0</v>
          </cell>
        </row>
        <row r="236">
          <cell r="F236">
            <v>0</v>
          </cell>
        </row>
        <row r="237">
          <cell r="F237">
            <v>0</v>
          </cell>
        </row>
        <row r="238">
          <cell r="F238">
            <v>0</v>
          </cell>
        </row>
        <row r="239">
          <cell r="F239">
            <v>0</v>
          </cell>
        </row>
        <row r="240">
          <cell r="F240">
            <v>0</v>
          </cell>
        </row>
        <row r="241">
          <cell r="F241">
            <v>0</v>
          </cell>
        </row>
        <row r="242">
          <cell r="F242">
            <v>0</v>
          </cell>
        </row>
        <row r="243">
          <cell r="F243">
            <v>0</v>
          </cell>
        </row>
        <row r="244">
          <cell r="F244">
            <v>0</v>
          </cell>
        </row>
        <row r="245">
          <cell r="F245">
            <v>0</v>
          </cell>
        </row>
        <row r="246">
          <cell r="F246">
            <v>0</v>
          </cell>
        </row>
        <row r="247">
          <cell r="F247">
            <v>0</v>
          </cell>
        </row>
        <row r="248">
          <cell r="F248">
            <v>0</v>
          </cell>
        </row>
        <row r="249">
          <cell r="F249">
            <v>0</v>
          </cell>
        </row>
        <row r="250">
          <cell r="F250">
            <v>0</v>
          </cell>
        </row>
        <row r="251">
          <cell r="F251">
            <v>0</v>
          </cell>
        </row>
        <row r="252">
          <cell r="F252">
            <v>0</v>
          </cell>
        </row>
        <row r="253">
          <cell r="F253">
            <v>0</v>
          </cell>
        </row>
        <row r="254">
          <cell r="F254">
            <v>0</v>
          </cell>
        </row>
        <row r="255">
          <cell r="F255">
            <v>0</v>
          </cell>
        </row>
        <row r="256">
          <cell r="F256">
            <v>0</v>
          </cell>
        </row>
        <row r="257">
          <cell r="F257">
            <v>0</v>
          </cell>
        </row>
        <row r="258">
          <cell r="F258">
            <v>0</v>
          </cell>
        </row>
        <row r="259">
          <cell r="F259">
            <v>0</v>
          </cell>
        </row>
        <row r="260">
          <cell r="F260">
            <v>0</v>
          </cell>
        </row>
        <row r="261">
          <cell r="F261">
            <v>0</v>
          </cell>
        </row>
        <row r="262">
          <cell r="F262">
            <v>0</v>
          </cell>
        </row>
        <row r="263">
          <cell r="F263">
            <v>0</v>
          </cell>
        </row>
        <row r="264">
          <cell r="F264">
            <v>0</v>
          </cell>
        </row>
        <row r="265">
          <cell r="F265">
            <v>0</v>
          </cell>
        </row>
        <row r="266">
          <cell r="F266">
            <v>0</v>
          </cell>
        </row>
        <row r="267">
          <cell r="F267">
            <v>0</v>
          </cell>
        </row>
        <row r="268">
          <cell r="F268">
            <v>0</v>
          </cell>
        </row>
        <row r="269">
          <cell r="F269">
            <v>0</v>
          </cell>
        </row>
        <row r="270">
          <cell r="F270">
            <v>0</v>
          </cell>
        </row>
        <row r="271">
          <cell r="F271">
            <v>0</v>
          </cell>
        </row>
        <row r="272">
          <cell r="F272">
            <v>0</v>
          </cell>
        </row>
        <row r="273">
          <cell r="F273">
            <v>0</v>
          </cell>
        </row>
        <row r="274">
          <cell r="F274">
            <v>0</v>
          </cell>
        </row>
        <row r="275">
          <cell r="F275">
            <v>0</v>
          </cell>
        </row>
        <row r="276">
          <cell r="F276">
            <v>0</v>
          </cell>
        </row>
        <row r="277">
          <cell r="F277">
            <v>0</v>
          </cell>
        </row>
        <row r="278">
          <cell r="F278">
            <v>0</v>
          </cell>
        </row>
        <row r="279">
          <cell r="F279">
            <v>0</v>
          </cell>
        </row>
        <row r="280">
          <cell r="F280">
            <v>0</v>
          </cell>
        </row>
        <row r="281">
          <cell r="F281">
            <v>0</v>
          </cell>
        </row>
        <row r="282">
          <cell r="F282">
            <v>0</v>
          </cell>
        </row>
        <row r="283">
          <cell r="F283">
            <v>0</v>
          </cell>
        </row>
        <row r="284">
          <cell r="F284">
            <v>0</v>
          </cell>
        </row>
        <row r="285">
          <cell r="F285">
            <v>0</v>
          </cell>
        </row>
        <row r="286">
          <cell r="F286">
            <v>0</v>
          </cell>
        </row>
        <row r="287">
          <cell r="F287">
            <v>0</v>
          </cell>
        </row>
        <row r="288">
          <cell r="F288">
            <v>0</v>
          </cell>
        </row>
        <row r="289">
          <cell r="F289">
            <v>0</v>
          </cell>
        </row>
        <row r="290">
          <cell r="F290">
            <v>0</v>
          </cell>
        </row>
        <row r="291">
          <cell r="F291">
            <v>0</v>
          </cell>
        </row>
        <row r="292">
          <cell r="F292">
            <v>0</v>
          </cell>
        </row>
        <row r="293">
          <cell r="F293">
            <v>0</v>
          </cell>
        </row>
        <row r="294">
          <cell r="F294">
            <v>0</v>
          </cell>
        </row>
        <row r="295">
          <cell r="F295">
            <v>0</v>
          </cell>
        </row>
        <row r="296">
          <cell r="F296">
            <v>0</v>
          </cell>
        </row>
        <row r="297">
          <cell r="F297">
            <v>0</v>
          </cell>
        </row>
        <row r="298">
          <cell r="F298">
            <v>0</v>
          </cell>
        </row>
        <row r="299">
          <cell r="F299">
            <v>0</v>
          </cell>
        </row>
        <row r="300">
          <cell r="F300">
            <v>0</v>
          </cell>
        </row>
        <row r="301">
          <cell r="F301">
            <v>0</v>
          </cell>
        </row>
        <row r="302">
          <cell r="F302">
            <v>0</v>
          </cell>
        </row>
        <row r="303">
          <cell r="F303">
            <v>0</v>
          </cell>
        </row>
        <row r="304">
          <cell r="F304">
            <v>0</v>
          </cell>
        </row>
        <row r="305">
          <cell r="F305">
            <v>0</v>
          </cell>
        </row>
        <row r="306">
          <cell r="F306">
            <v>0</v>
          </cell>
        </row>
        <row r="307">
          <cell r="F307">
            <v>0</v>
          </cell>
        </row>
        <row r="308">
          <cell r="F308">
            <v>0</v>
          </cell>
        </row>
        <row r="309">
          <cell r="F309">
            <v>0</v>
          </cell>
        </row>
        <row r="310">
          <cell r="F310">
            <v>0</v>
          </cell>
        </row>
        <row r="311">
          <cell r="F311">
            <v>0</v>
          </cell>
        </row>
        <row r="312">
          <cell r="F312">
            <v>0</v>
          </cell>
        </row>
        <row r="313">
          <cell r="F313">
            <v>0</v>
          </cell>
        </row>
        <row r="314">
          <cell r="F314">
            <v>0</v>
          </cell>
        </row>
        <row r="315">
          <cell r="F315">
            <v>0</v>
          </cell>
        </row>
        <row r="316">
          <cell r="F316">
            <v>0</v>
          </cell>
        </row>
        <row r="317">
          <cell r="F317">
            <v>0</v>
          </cell>
        </row>
        <row r="318">
          <cell r="F318">
            <v>0</v>
          </cell>
        </row>
        <row r="319">
          <cell r="F319">
            <v>0</v>
          </cell>
        </row>
        <row r="320">
          <cell r="F320">
            <v>0</v>
          </cell>
        </row>
        <row r="321">
          <cell r="F321">
            <v>0</v>
          </cell>
        </row>
        <row r="322">
          <cell r="F322">
            <v>0</v>
          </cell>
        </row>
        <row r="323">
          <cell r="F323">
            <v>0</v>
          </cell>
        </row>
        <row r="324">
          <cell r="F324">
            <v>0</v>
          </cell>
        </row>
        <row r="325">
          <cell r="F325">
            <v>0</v>
          </cell>
        </row>
        <row r="326">
          <cell r="F326">
            <v>0</v>
          </cell>
        </row>
        <row r="327">
          <cell r="F327">
            <v>0</v>
          </cell>
        </row>
        <row r="328">
          <cell r="F328">
            <v>0</v>
          </cell>
        </row>
        <row r="329">
          <cell r="F329">
            <v>0</v>
          </cell>
        </row>
        <row r="330">
          <cell r="F330">
            <v>0</v>
          </cell>
        </row>
        <row r="331">
          <cell r="F331">
            <v>0</v>
          </cell>
        </row>
        <row r="332">
          <cell r="F332">
            <v>0</v>
          </cell>
        </row>
        <row r="333">
          <cell r="F333">
            <v>0</v>
          </cell>
        </row>
        <row r="334">
          <cell r="F334">
            <v>0</v>
          </cell>
        </row>
        <row r="335">
          <cell r="F335">
            <v>0</v>
          </cell>
        </row>
        <row r="336">
          <cell r="F336">
            <v>0</v>
          </cell>
        </row>
        <row r="337">
          <cell r="F337">
            <v>0</v>
          </cell>
        </row>
        <row r="338">
          <cell r="F338">
            <v>0</v>
          </cell>
        </row>
        <row r="339">
          <cell r="F339">
            <v>0</v>
          </cell>
        </row>
        <row r="340">
          <cell r="F340">
            <v>0</v>
          </cell>
        </row>
        <row r="341">
          <cell r="F341">
            <v>0</v>
          </cell>
        </row>
        <row r="342">
          <cell r="F342">
            <v>0</v>
          </cell>
        </row>
        <row r="343">
          <cell r="F343">
            <v>0</v>
          </cell>
        </row>
        <row r="344">
          <cell r="F344">
            <v>0</v>
          </cell>
        </row>
        <row r="345">
          <cell r="F345">
            <v>0</v>
          </cell>
        </row>
        <row r="346">
          <cell r="F346">
            <v>0</v>
          </cell>
        </row>
        <row r="347">
          <cell r="F347">
            <v>0</v>
          </cell>
        </row>
        <row r="348">
          <cell r="F348">
            <v>0</v>
          </cell>
        </row>
        <row r="349">
          <cell r="F349">
            <v>0</v>
          </cell>
        </row>
        <row r="350">
          <cell r="F350">
            <v>0</v>
          </cell>
        </row>
        <row r="351">
          <cell r="F351">
            <v>0</v>
          </cell>
        </row>
        <row r="352">
          <cell r="F352">
            <v>0</v>
          </cell>
        </row>
        <row r="353">
          <cell r="F353">
            <v>0</v>
          </cell>
        </row>
        <row r="354">
          <cell r="F354">
            <v>0</v>
          </cell>
        </row>
        <row r="355">
          <cell r="F355">
            <v>0</v>
          </cell>
        </row>
        <row r="356">
          <cell r="F356">
            <v>0</v>
          </cell>
        </row>
        <row r="357">
          <cell r="F357">
            <v>0</v>
          </cell>
        </row>
        <row r="358">
          <cell r="F358">
            <v>0</v>
          </cell>
        </row>
        <row r="359">
          <cell r="F359">
            <v>0</v>
          </cell>
        </row>
        <row r="360">
          <cell r="F360">
            <v>1</v>
          </cell>
        </row>
        <row r="361">
          <cell r="F361">
            <v>0</v>
          </cell>
        </row>
        <row r="362">
          <cell r="F362">
            <v>0</v>
          </cell>
        </row>
        <row r="363">
          <cell r="F363">
            <v>0</v>
          </cell>
        </row>
        <row r="364">
          <cell r="F364">
            <v>0</v>
          </cell>
        </row>
        <row r="365">
          <cell r="F365">
            <v>0</v>
          </cell>
        </row>
        <row r="366">
          <cell r="F366">
            <v>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"/>
      <sheetName val="CIERRE"/>
      <sheetName val="GG"/>
      <sheetName val="Justif GG"/>
      <sheetName val="OBS"/>
      <sheetName val="MATRIZ RIESGO"/>
      <sheetName val="K"/>
      <sheetName val="REM"/>
      <sheetName val="Sheet2"/>
      <sheetName val="Hoja1"/>
      <sheetName val="Hoja3"/>
      <sheetName val="Hoja2"/>
      <sheetName val="Recursos CD"/>
      <sheetName val="Sheet1"/>
      <sheetName val="MO OPUS"/>
      <sheetName val="Mov. y Desm."/>
      <sheetName val="Itemizado Opus"/>
      <sheetName val="CONFIG"/>
      <sheetName val="Nl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5">
          <cell r="D5">
            <v>9</v>
          </cell>
        </row>
        <row r="7">
          <cell r="D7">
            <v>693.04</v>
          </cell>
        </row>
        <row r="10">
          <cell r="D10">
            <v>22</v>
          </cell>
        </row>
        <row r="16">
          <cell r="D16">
            <v>581</v>
          </cell>
        </row>
      </sheetData>
      <sheetData sheetId="1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MapData"/>
      <sheetName val="SourceMap"/>
      <sheetName val="Control"/>
      <sheetName val="Data"/>
      <sheetName val="SourceMapBKP"/>
      <sheetName val="Hoja1"/>
    </sheetNames>
    <sheetDataSet>
      <sheetData sheetId="0" refreshError="1"/>
      <sheetData sheetId="1">
        <row r="2">
          <cell r="A2" t="str">
            <v>AL</v>
          </cell>
          <cell r="B2">
            <v>0.65400000000000003</v>
          </cell>
        </row>
        <row r="3">
          <cell r="A3" t="str">
            <v>AK</v>
          </cell>
          <cell r="B3">
            <v>0.64500000000000002</v>
          </cell>
        </row>
        <row r="4">
          <cell r="A4" t="str">
            <v>AZ</v>
          </cell>
          <cell r="B4">
            <v>0.59499999999999997</v>
          </cell>
        </row>
        <row r="5">
          <cell r="A5" t="str">
            <v>AR</v>
          </cell>
          <cell r="B5">
            <v>0.64700000000000002</v>
          </cell>
        </row>
        <row r="6">
          <cell r="A6" t="str">
            <v>CA</v>
          </cell>
          <cell r="B6">
            <v>0.59399999999999997</v>
          </cell>
        </row>
        <row r="7">
          <cell r="A7" t="str">
            <v>CO</v>
          </cell>
          <cell r="B7">
            <v>0.55000000000000004</v>
          </cell>
        </row>
        <row r="8">
          <cell r="A8" t="str">
            <v>CT</v>
          </cell>
          <cell r="B8">
            <v>0.58699999999999997</v>
          </cell>
        </row>
        <row r="9">
          <cell r="A9" t="str">
            <v>DE</v>
          </cell>
          <cell r="B9">
            <v>0.63900000000000001</v>
          </cell>
        </row>
        <row r="10">
          <cell r="A10" t="str">
            <v>DC</v>
          </cell>
          <cell r="B10">
            <v>0.55000000000000004</v>
          </cell>
        </row>
        <row r="11">
          <cell r="A11" t="str">
            <v>FL</v>
          </cell>
          <cell r="B11">
            <v>0.60799999999999998</v>
          </cell>
        </row>
        <row r="12">
          <cell r="A12" t="str">
            <v>GA</v>
          </cell>
          <cell r="B12">
            <v>0.63300000000000001</v>
          </cell>
        </row>
        <row r="13">
          <cell r="A13" t="str">
            <v>HI</v>
          </cell>
          <cell r="B13">
            <v>0.55300000000000005</v>
          </cell>
        </row>
        <row r="14">
          <cell r="A14" t="str">
            <v>ID</v>
          </cell>
          <cell r="B14">
            <v>0.61399999999999999</v>
          </cell>
        </row>
        <row r="15">
          <cell r="A15" t="str">
            <v>IL</v>
          </cell>
          <cell r="B15">
            <v>0.61799999999999999</v>
          </cell>
        </row>
        <row r="16">
          <cell r="A16" t="str">
            <v>IN</v>
          </cell>
          <cell r="B16">
            <v>0.628</v>
          </cell>
        </row>
        <row r="17">
          <cell r="A17" t="str">
            <v>IA</v>
          </cell>
          <cell r="B17">
            <v>0.63400000000000001</v>
          </cell>
        </row>
        <row r="18">
          <cell r="A18" t="str">
            <v>KS</v>
          </cell>
          <cell r="B18">
            <v>0.623</v>
          </cell>
        </row>
        <row r="19">
          <cell r="A19" t="str">
            <v>KY</v>
          </cell>
          <cell r="B19">
            <v>0.66800000000000004</v>
          </cell>
        </row>
        <row r="20">
          <cell r="A20" t="str">
            <v>LA</v>
          </cell>
          <cell r="B20">
            <v>0.64200000000000002</v>
          </cell>
        </row>
        <row r="21">
          <cell r="A21" t="str">
            <v>ME</v>
          </cell>
          <cell r="B21">
            <v>0.60799999999999998</v>
          </cell>
        </row>
        <row r="22">
          <cell r="A22" t="str">
            <v>MD</v>
          </cell>
          <cell r="B22">
            <v>0.61499999999999999</v>
          </cell>
        </row>
        <row r="23">
          <cell r="A23" t="str">
            <v>MA</v>
          </cell>
          <cell r="B23">
            <v>0.56799999999999995</v>
          </cell>
        </row>
        <row r="24">
          <cell r="A24" t="str">
            <v>MI</v>
          </cell>
          <cell r="B24">
            <v>0.63900000000000001</v>
          </cell>
        </row>
        <row r="25">
          <cell r="A25" t="str">
            <v>MN</v>
          </cell>
          <cell r="B25">
            <v>0.61899999999999999</v>
          </cell>
        </row>
        <row r="26">
          <cell r="A26" t="str">
            <v>MS</v>
          </cell>
          <cell r="B26">
            <v>0.67400000000000004</v>
          </cell>
        </row>
        <row r="27">
          <cell r="A27" t="str">
            <v>MO</v>
          </cell>
          <cell r="B27">
            <v>0.63300000000000001</v>
          </cell>
        </row>
        <row r="28">
          <cell r="A28" t="str">
            <v>MT</v>
          </cell>
          <cell r="B28">
            <v>0.59599999999999997</v>
          </cell>
        </row>
        <row r="29">
          <cell r="A29" t="str">
            <v>NE</v>
          </cell>
          <cell r="B29">
            <v>0.63900000000000001</v>
          </cell>
        </row>
        <row r="30">
          <cell r="A30" t="str">
            <v>NV</v>
          </cell>
          <cell r="B30">
            <v>0.61799999999999999</v>
          </cell>
        </row>
        <row r="31">
          <cell r="A31" t="str">
            <v>NH</v>
          </cell>
          <cell r="B31">
            <v>0.60799999999999998</v>
          </cell>
        </row>
        <row r="32">
          <cell r="A32" t="str">
            <v>NJ</v>
          </cell>
          <cell r="B32">
            <v>0.60499999999999998</v>
          </cell>
        </row>
        <row r="33">
          <cell r="A33" t="str">
            <v>NM</v>
          </cell>
          <cell r="B33">
            <v>0.60299999999999998</v>
          </cell>
        </row>
        <row r="34">
          <cell r="A34" t="str">
            <v>NY</v>
          </cell>
          <cell r="B34">
            <v>0.6</v>
          </cell>
        </row>
        <row r="35">
          <cell r="A35" t="str">
            <v>NC</v>
          </cell>
          <cell r="B35">
            <v>0.63400000000000001</v>
          </cell>
        </row>
        <row r="36">
          <cell r="A36" t="str">
            <v>ND</v>
          </cell>
          <cell r="B36">
            <v>0.64500000000000002</v>
          </cell>
        </row>
        <row r="37">
          <cell r="A37" t="str">
            <v>OH</v>
          </cell>
          <cell r="B37">
            <v>0.63300000000000001</v>
          </cell>
        </row>
        <row r="38">
          <cell r="A38" t="str">
            <v>OK</v>
          </cell>
          <cell r="B38">
            <v>0.64200000000000002</v>
          </cell>
        </row>
        <row r="39">
          <cell r="A39" t="str">
            <v>OR</v>
          </cell>
          <cell r="B39">
            <v>0.60799999999999998</v>
          </cell>
        </row>
        <row r="40">
          <cell r="A40" t="str">
            <v>PA</v>
          </cell>
          <cell r="B40">
            <v>0.61899999999999999</v>
          </cell>
        </row>
        <row r="41">
          <cell r="A41" t="str">
            <v>RI</v>
          </cell>
          <cell r="B41">
            <v>0.60399999999999998</v>
          </cell>
        </row>
        <row r="42">
          <cell r="A42" t="str">
            <v>SC</v>
          </cell>
          <cell r="B42">
            <v>0.65100000000000002</v>
          </cell>
        </row>
        <row r="43">
          <cell r="A43" t="str">
            <v>SD</v>
          </cell>
          <cell r="B43">
            <v>0.64200000000000002</v>
          </cell>
        </row>
        <row r="44">
          <cell r="A44" t="str">
            <v>TN</v>
          </cell>
          <cell r="B44">
            <v>0.65</v>
          </cell>
        </row>
        <row r="45">
          <cell r="A45" t="str">
            <v>TX</v>
          </cell>
          <cell r="B45">
            <v>0.64100000000000001</v>
          </cell>
        </row>
        <row r="46">
          <cell r="A46" t="str">
            <v>UT</v>
          </cell>
          <cell r="B46">
            <v>0.56399999999999995</v>
          </cell>
        </row>
        <row r="47">
          <cell r="A47" t="str">
            <v>VT</v>
          </cell>
          <cell r="B47">
            <v>0.56899999999999995</v>
          </cell>
        </row>
        <row r="48">
          <cell r="A48" t="str">
            <v>VA</v>
          </cell>
          <cell r="B48">
            <v>0.61599999999999999</v>
          </cell>
        </row>
        <row r="49">
          <cell r="A49" t="str">
            <v>WA</v>
          </cell>
          <cell r="B49">
            <v>0.60699999999999998</v>
          </cell>
        </row>
        <row r="50">
          <cell r="A50" t="str">
            <v>WV</v>
          </cell>
          <cell r="B50">
            <v>0.66800000000000004</v>
          </cell>
        </row>
        <row r="51">
          <cell r="A51" t="str">
            <v>WI</v>
          </cell>
          <cell r="B51">
            <v>0.624</v>
          </cell>
        </row>
        <row r="52">
          <cell r="A52" t="str">
            <v>WY</v>
          </cell>
          <cell r="B52">
            <v>0.61699999999999999</v>
          </cell>
        </row>
      </sheetData>
      <sheetData sheetId="2" refreshError="1"/>
      <sheetData sheetId="3">
        <row r="1">
          <cell r="A1" t="str">
            <v>Obese adults</v>
          </cell>
        </row>
        <row r="2">
          <cell r="A2" t="str">
            <v>Overweight (incl. obese) adults</v>
          </cell>
        </row>
        <row r="3">
          <cell r="A3" t="str">
            <v>Obese children and adolescents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__URBANIZACION"/>
      <sheetName val="PRESUP__VIVIENDA"/>
      <sheetName val="_GANTT__"/>
      <sheetName val="_FLUJO_"/>
      <sheetName val="PRESUP__URBANIZACION1"/>
      <sheetName val="PRESUP__VIVIENDA1"/>
      <sheetName val="_GANTT__1"/>
      <sheetName val="_FLUJO_1"/>
      <sheetName val="PRESUP__URBANIZACION2"/>
      <sheetName val="PRESUP__VIVIENDA2"/>
      <sheetName val="_GANTT__2"/>
      <sheetName val="_FLUJO_2"/>
      <sheetName val="PRESUP__URBANIZACION3"/>
      <sheetName val="PRESUP__VIVIENDA3"/>
      <sheetName val="_GANTT__3"/>
      <sheetName val="_FLUJO_3"/>
      <sheetName val="PRESUP__URBANIZACION4"/>
      <sheetName val="PRESUP__VIVIENDA4"/>
      <sheetName val="_GANTT__4"/>
      <sheetName val="_FLUJO_4"/>
      <sheetName val="PRESUP__URBANIZACION5"/>
      <sheetName val="PRESUP__VIVIENDA5"/>
      <sheetName val="_GANTT__5"/>
      <sheetName val="_FLUJO_5"/>
      <sheetName val="PRESUP. URBANIZACION"/>
      <sheetName val="PRESUP. VIVIENDA"/>
      <sheetName val=" GANTT  "/>
      <sheetName val=" FLUJO "/>
      <sheetName val="PRESUP__URBANIZACION30"/>
      <sheetName val="PRESUP__VIVIENDA30"/>
      <sheetName val="_GANTT__30"/>
      <sheetName val="_FLUJO_30"/>
      <sheetName val="PRESUP__URBANIZACION12"/>
      <sheetName val="PRESUP__VIVIENDA12"/>
      <sheetName val="_GANTT__12"/>
      <sheetName val="_FLUJO_12"/>
      <sheetName val="PRESUP__URBANIZACION6"/>
      <sheetName val="PRESUP__VIVIENDA6"/>
      <sheetName val="_GANTT__6"/>
      <sheetName val="_FLUJO_6"/>
      <sheetName val="PRESUP__URBANIZACION7"/>
      <sheetName val="PRESUP__VIVIENDA7"/>
      <sheetName val="_GANTT__7"/>
      <sheetName val="_FLUJO_7"/>
      <sheetName val="PRESUP__URBANIZACION8"/>
      <sheetName val="PRESUP__VIVIENDA8"/>
      <sheetName val="_GANTT__8"/>
      <sheetName val="_FLUJO_8"/>
      <sheetName val="PRESUP__URBANIZACION9"/>
      <sheetName val="PRESUP__VIVIENDA9"/>
      <sheetName val="_GANTT__9"/>
      <sheetName val="_FLUJO_9"/>
      <sheetName val="PRESUP__URBANIZACION10"/>
      <sheetName val="PRESUP__VIVIENDA10"/>
      <sheetName val="_GANTT__10"/>
      <sheetName val="_FLUJO_10"/>
      <sheetName val="PRESUP__URBANIZACION11"/>
      <sheetName val="PRESUP__VIVIENDA11"/>
      <sheetName val="_GANTT__11"/>
      <sheetName val="_FLUJO_11"/>
      <sheetName val="PRESUP__URBANIZACION27"/>
      <sheetName val="PRESUP__VIVIENDA27"/>
      <sheetName val="_GANTT__27"/>
      <sheetName val="_FLUJO_27"/>
      <sheetName val="PRESUP__URBANIZACION13"/>
      <sheetName val="PRESUP__VIVIENDA13"/>
      <sheetName val="_GANTT__13"/>
      <sheetName val="_FLUJO_13"/>
      <sheetName val="PRESUP__URBANIZACION14"/>
      <sheetName val="PRESUP__VIVIENDA14"/>
      <sheetName val="_GANTT__14"/>
      <sheetName val="_FLUJO_14"/>
      <sheetName val="PRESUP__URBANIZACION15"/>
      <sheetName val="PRESUP__VIVIENDA15"/>
      <sheetName val="_GANTT__15"/>
      <sheetName val="_FLUJO_15"/>
      <sheetName val="PRESUP__URBANIZACION16"/>
      <sheetName val="PRESUP__VIVIENDA16"/>
      <sheetName val="_GANTT__16"/>
      <sheetName val="_FLUJO_16"/>
      <sheetName val="PRESUP__URBANIZACION17"/>
      <sheetName val="PRESUP__VIVIENDA17"/>
      <sheetName val="_GANTT__17"/>
      <sheetName val="_FLUJO_17"/>
      <sheetName val="PRESUP__URBANIZACION18"/>
      <sheetName val="PRESUP__VIVIENDA18"/>
      <sheetName val="_GANTT__18"/>
      <sheetName val="_FLUJO_18"/>
      <sheetName val="PRESUP__URBANIZACION19"/>
      <sheetName val="PRESUP__VIVIENDA19"/>
      <sheetName val="_GANTT__19"/>
      <sheetName val="_FLUJO_19"/>
      <sheetName val="PRESUP__URBANIZACION20"/>
      <sheetName val="PRESUP__VIVIENDA20"/>
      <sheetName val="_GANTT__20"/>
      <sheetName val="_FLUJO_20"/>
      <sheetName val="PRESUP__URBANIZACION21"/>
      <sheetName val="PRESUP__VIVIENDA21"/>
      <sheetName val="_GANTT__21"/>
      <sheetName val="_FLUJO_21"/>
      <sheetName val="PRESUP__URBANIZACION22"/>
      <sheetName val="PRESUP__VIVIENDA22"/>
      <sheetName val="_GANTT__22"/>
      <sheetName val="_FLUJO_22"/>
      <sheetName val="PRESUP__URBANIZACION23"/>
      <sheetName val="PRESUP__VIVIENDA23"/>
      <sheetName val="_GANTT__23"/>
      <sheetName val="_FLUJO_23"/>
      <sheetName val="PRESUP__URBANIZACION24"/>
      <sheetName val="PRESUP__VIVIENDA24"/>
      <sheetName val="_GANTT__24"/>
      <sheetName val="_FLUJO_24"/>
      <sheetName val="PRESUP__URBANIZACION25"/>
      <sheetName val="PRESUP__VIVIENDA25"/>
      <sheetName val="_GANTT__25"/>
      <sheetName val="_FLUJO_25"/>
      <sheetName val="PRESUP__URBANIZACION26"/>
      <sheetName val="PRESUP__VIVIENDA26"/>
      <sheetName val="_GANTT__26"/>
      <sheetName val="_FLUJO_26"/>
      <sheetName val="PRESUP__URBANIZACION28"/>
      <sheetName val="PRESUP__VIVIENDA28"/>
      <sheetName val="_GANTT__28"/>
      <sheetName val="_FLUJO_28"/>
      <sheetName val="PRESUP__URBANIZACION29"/>
      <sheetName val="PRESUP__VIVIENDA29"/>
      <sheetName val="_GANTT__29"/>
      <sheetName val="_FLUJO_29"/>
      <sheetName val="PRESUP__URBANIZACION31"/>
      <sheetName val="PRESUP__VIVIENDA31"/>
      <sheetName val="_GANTT__31"/>
      <sheetName val="_FLUJO_31"/>
      <sheetName val="PRESUP__URBANIZACION32"/>
      <sheetName val="PRESUP__VIVIENDA32"/>
      <sheetName val="_GANTT__32"/>
      <sheetName val="_FLUJO_32"/>
      <sheetName val="PRESUP__URBANIZACION33"/>
      <sheetName val="PRESUP__VIVIENDA33"/>
      <sheetName val="_GANTT__33"/>
      <sheetName val="_FLUJO_33"/>
      <sheetName val="PRESUP__URBANIZACION34"/>
      <sheetName val="PRESUP__VIVIENDA34"/>
      <sheetName val="_GANTT__34"/>
      <sheetName val="_FLUJO_34"/>
      <sheetName val="PRESUP__URBANIZACION35"/>
      <sheetName val="PRESUP__VIVIENDA35"/>
      <sheetName val="_GANTT__35"/>
      <sheetName val="_FLUJO_35"/>
      <sheetName val="PRESUP__URBANIZACION36"/>
      <sheetName val="PRESUP__VIVIENDA36"/>
      <sheetName val="_GANTT__36"/>
      <sheetName val="_FLUJO_36"/>
      <sheetName val="PRESUP__URBANIZACION37"/>
      <sheetName val="PRESUP__VIVIENDA37"/>
      <sheetName val="_GANTT__37"/>
      <sheetName val="_FLUJO_37"/>
      <sheetName val="PRESUP__URBANIZACION38"/>
      <sheetName val="PRESUP__VIVIENDA38"/>
      <sheetName val="_GANTT__38"/>
      <sheetName val="_FLUJO_38"/>
      <sheetName val="PRESUP__URBANIZACION39"/>
      <sheetName val="PRESUP__VIVIENDA39"/>
      <sheetName val="_GANTT__39"/>
      <sheetName val="_FLUJO_39"/>
      <sheetName val="PRESUP__URBANIZACION42"/>
      <sheetName val="PRESUP__VIVIENDA42"/>
      <sheetName val="_GANTT__42"/>
      <sheetName val="_FLUJO_42"/>
      <sheetName val="PRESUP__URBANIZACION40"/>
      <sheetName val="PRESUP__VIVIENDA40"/>
      <sheetName val="_GANTT__40"/>
      <sheetName val="_FLUJO_40"/>
      <sheetName val="PRESUP__URBANIZACION41"/>
      <sheetName val="PRESUP__VIVIENDA41"/>
      <sheetName val="_GANTT__41"/>
      <sheetName val="_FLUJO_41"/>
      <sheetName val="PRESUP__URBANIZACION43"/>
      <sheetName val="PRESUP__VIVIENDA43"/>
      <sheetName val="_GANTT__43"/>
      <sheetName val="_FLUJO_43"/>
      <sheetName val="PRESUP__URBANIZACION44"/>
      <sheetName val="PRESUP__VIVIENDA44"/>
      <sheetName val="_GANTT__44"/>
      <sheetName val="_FLUJO_44"/>
      <sheetName val="PRESUP__URBANIZACION46"/>
      <sheetName val="PRESUP__VIVIENDA46"/>
      <sheetName val="_GANTT__46"/>
      <sheetName val="_FLUJO_46"/>
      <sheetName val="PRESUP__URBANIZACION45"/>
      <sheetName val="PRESUP__VIVIENDA45"/>
      <sheetName val="_GANTT__45"/>
      <sheetName val="_FLUJO_45"/>
      <sheetName val="PRESUP__URBANIZACION47"/>
      <sheetName val="PRESUP__VIVIENDA47"/>
      <sheetName val="_GANTT__47"/>
      <sheetName val="_FLUJO_47"/>
      <sheetName val="PRESUP__URBANIZACION49"/>
      <sheetName val="PRESUP__VIVIENDA49"/>
      <sheetName val="_GANTT__49"/>
      <sheetName val="_FLUJO_49"/>
      <sheetName val="PRESUP__URBANIZACION48"/>
      <sheetName val="PRESUP__VIVIENDA48"/>
      <sheetName val="_GANTT__48"/>
      <sheetName val="_FLUJO_48"/>
      <sheetName val="PRESUP__URBANIZACION50"/>
      <sheetName val="PRESUP__VIVIENDA50"/>
      <sheetName val="_GANTT__50"/>
      <sheetName val="_FLUJO_50"/>
    </sheetNames>
    <sheetDataSet>
      <sheetData sheetId="0">
        <row r="9">
          <cell r="A9" t="str">
            <v>COD</v>
          </cell>
        </row>
      </sheetData>
      <sheetData sheetId="1">
        <row r="1">
          <cell r="A1" t="str">
            <v>FUNDACION INVICA</v>
          </cell>
        </row>
      </sheetData>
      <sheetData sheetId="2">
        <row r="1">
          <cell r="B1" t="str">
            <v>EMPRESA CONSTRUCTORA BAYONA S.A.</v>
          </cell>
        </row>
      </sheetData>
      <sheetData sheetId="3"/>
      <sheetData sheetId="4">
        <row r="9">
          <cell r="A9" t="str">
            <v>COD</v>
          </cell>
        </row>
      </sheetData>
      <sheetData sheetId="5">
        <row r="1">
          <cell r="A1" t="str">
            <v>FUNDACION INVICA</v>
          </cell>
        </row>
      </sheetData>
      <sheetData sheetId="6">
        <row r="1">
          <cell r="B1" t="str">
            <v>EMPRESA CONSTRUCTORA BAYONA S.A.</v>
          </cell>
        </row>
      </sheetData>
      <sheetData sheetId="7"/>
      <sheetData sheetId="8">
        <row r="9">
          <cell r="A9" t="str">
            <v>COD</v>
          </cell>
        </row>
      </sheetData>
      <sheetData sheetId="9">
        <row r="1">
          <cell r="A1" t="str">
            <v>FUNDACION INVICA</v>
          </cell>
        </row>
      </sheetData>
      <sheetData sheetId="10">
        <row r="1">
          <cell r="B1" t="str">
            <v>EMPRESA CONSTRUCTORA BAYONA S.A.</v>
          </cell>
        </row>
      </sheetData>
      <sheetData sheetId="11"/>
      <sheetData sheetId="12">
        <row r="9">
          <cell r="A9" t="str">
            <v>COD</v>
          </cell>
        </row>
      </sheetData>
      <sheetData sheetId="13">
        <row r="1">
          <cell r="A1" t="str">
            <v>FUNDACION INVICA</v>
          </cell>
        </row>
      </sheetData>
      <sheetData sheetId="14">
        <row r="1">
          <cell r="B1" t="str">
            <v>EMPRESA CONSTRUCTORA BAYONA S.A.</v>
          </cell>
        </row>
      </sheetData>
      <sheetData sheetId="15"/>
      <sheetData sheetId="16">
        <row r="9">
          <cell r="A9" t="str">
            <v>COD</v>
          </cell>
        </row>
      </sheetData>
      <sheetData sheetId="17">
        <row r="1">
          <cell r="A1" t="str">
            <v>FUNDACION INVICA</v>
          </cell>
        </row>
      </sheetData>
      <sheetData sheetId="18">
        <row r="1">
          <cell r="B1" t="str">
            <v>EMPRESA CONSTRUCTORA BAYONA S.A.</v>
          </cell>
        </row>
      </sheetData>
      <sheetData sheetId="19"/>
      <sheetData sheetId="20">
        <row r="9">
          <cell r="A9" t="str">
            <v>COD</v>
          </cell>
        </row>
      </sheetData>
      <sheetData sheetId="21">
        <row r="1">
          <cell r="A1" t="str">
            <v>FUNDACION INVICA</v>
          </cell>
        </row>
      </sheetData>
      <sheetData sheetId="22">
        <row r="1">
          <cell r="B1" t="str">
            <v>EMPRESA CONSTRUCTORA BAYONA S.A.</v>
          </cell>
        </row>
      </sheetData>
      <sheetData sheetId="23"/>
      <sheetData sheetId="24">
        <row r="9">
          <cell r="A9" t="str">
            <v>COD</v>
          </cell>
        </row>
      </sheetData>
      <sheetData sheetId="25">
        <row r="1">
          <cell r="A1" t="str">
            <v>FUNDACION INVICA</v>
          </cell>
        </row>
        <row r="9">
          <cell r="B9" t="str">
            <v xml:space="preserve">    ITEM</v>
          </cell>
          <cell r="C9" t="str">
            <v>UN</v>
          </cell>
          <cell r="D9" t="str">
            <v>CANT.</v>
          </cell>
          <cell r="E9" t="str">
            <v>P.UNIT.</v>
          </cell>
          <cell r="F9" t="str">
            <v>P.TOTAL</v>
          </cell>
        </row>
      </sheetData>
      <sheetData sheetId="26">
        <row r="1">
          <cell r="B1" t="str">
            <v>EMPRESA CONSTRUCTORA BAYONA S.A.</v>
          </cell>
        </row>
      </sheetData>
      <sheetData sheetId="27"/>
      <sheetData sheetId="28">
        <row r="9">
          <cell r="A9" t="str">
            <v>COD</v>
          </cell>
        </row>
      </sheetData>
      <sheetData sheetId="29">
        <row r="1">
          <cell r="A1" t="str">
            <v>FUNDACION INVICA</v>
          </cell>
        </row>
      </sheetData>
      <sheetData sheetId="30">
        <row r="1">
          <cell r="B1" t="str">
            <v>EMPRESA CONSTRUCTORA BAYONA S.A.</v>
          </cell>
        </row>
      </sheetData>
      <sheetData sheetId="31"/>
      <sheetData sheetId="32">
        <row r="9">
          <cell r="A9" t="str">
            <v>COD</v>
          </cell>
        </row>
      </sheetData>
      <sheetData sheetId="33">
        <row r="1">
          <cell r="A1" t="str">
            <v>FUNDACION INVICA</v>
          </cell>
        </row>
      </sheetData>
      <sheetData sheetId="34">
        <row r="1">
          <cell r="B1" t="str">
            <v>EMPRESA CONSTRUCTORA BAYONA S.A.</v>
          </cell>
        </row>
      </sheetData>
      <sheetData sheetId="35"/>
      <sheetData sheetId="36">
        <row r="9">
          <cell r="A9" t="str">
            <v>COD</v>
          </cell>
        </row>
      </sheetData>
      <sheetData sheetId="37">
        <row r="1">
          <cell r="A1" t="str">
            <v>FUNDACION INVICA</v>
          </cell>
        </row>
      </sheetData>
      <sheetData sheetId="38">
        <row r="1">
          <cell r="B1" t="str">
            <v>EMPRESA CONSTRUCTORA BAYONA S.A.</v>
          </cell>
        </row>
      </sheetData>
      <sheetData sheetId="39"/>
      <sheetData sheetId="40">
        <row r="9">
          <cell r="A9" t="str">
            <v>COD</v>
          </cell>
        </row>
      </sheetData>
      <sheetData sheetId="41">
        <row r="1">
          <cell r="A1" t="str">
            <v>FUNDACION INVICA</v>
          </cell>
        </row>
      </sheetData>
      <sheetData sheetId="42">
        <row r="1">
          <cell r="B1" t="str">
            <v>EMPRESA CONSTRUCTORA BAYONA S.A.</v>
          </cell>
        </row>
      </sheetData>
      <sheetData sheetId="43"/>
      <sheetData sheetId="44">
        <row r="9">
          <cell r="A9" t="str">
            <v>COD</v>
          </cell>
        </row>
      </sheetData>
      <sheetData sheetId="45">
        <row r="1">
          <cell r="A1" t="str">
            <v>FUNDACION INVICA</v>
          </cell>
        </row>
      </sheetData>
      <sheetData sheetId="46">
        <row r="1">
          <cell r="B1" t="str">
            <v>EMPRESA CONSTRUCTORA BAYONA S.A.</v>
          </cell>
        </row>
      </sheetData>
      <sheetData sheetId="47"/>
      <sheetData sheetId="48">
        <row r="9">
          <cell r="A9" t="str">
            <v>COD</v>
          </cell>
        </row>
      </sheetData>
      <sheetData sheetId="49">
        <row r="1">
          <cell r="A1" t="str">
            <v>FUNDACION INVICA</v>
          </cell>
        </row>
      </sheetData>
      <sheetData sheetId="50">
        <row r="1">
          <cell r="B1" t="str">
            <v>EMPRESA CONSTRUCTORA BAYONA S.A.</v>
          </cell>
        </row>
      </sheetData>
      <sheetData sheetId="51"/>
      <sheetData sheetId="52">
        <row r="9">
          <cell r="A9" t="str">
            <v>COD</v>
          </cell>
        </row>
      </sheetData>
      <sheetData sheetId="53">
        <row r="1">
          <cell r="A1" t="str">
            <v>FUNDACION INVICA</v>
          </cell>
        </row>
      </sheetData>
      <sheetData sheetId="54">
        <row r="1">
          <cell r="B1" t="str">
            <v>EMPRESA CONSTRUCTORA BAYONA S.A.</v>
          </cell>
        </row>
      </sheetData>
      <sheetData sheetId="55"/>
      <sheetData sheetId="56">
        <row r="9">
          <cell r="A9" t="str">
            <v>COD</v>
          </cell>
        </row>
      </sheetData>
      <sheetData sheetId="57">
        <row r="1">
          <cell r="A1" t="str">
            <v>FUNDACION INVICA</v>
          </cell>
        </row>
      </sheetData>
      <sheetData sheetId="58">
        <row r="1">
          <cell r="B1" t="str">
            <v>EMPRESA CONSTRUCTORA BAYONA S.A.</v>
          </cell>
        </row>
      </sheetData>
      <sheetData sheetId="59"/>
      <sheetData sheetId="60">
        <row r="9">
          <cell r="A9" t="str">
            <v>COD</v>
          </cell>
        </row>
      </sheetData>
      <sheetData sheetId="61">
        <row r="1">
          <cell r="A1" t="str">
            <v>FUNDACION INVICA</v>
          </cell>
        </row>
      </sheetData>
      <sheetData sheetId="62">
        <row r="1">
          <cell r="B1" t="str">
            <v>EMPRESA CONSTRUCTORA BAYONA S.A.</v>
          </cell>
        </row>
      </sheetData>
      <sheetData sheetId="63"/>
      <sheetData sheetId="64">
        <row r="9">
          <cell r="A9" t="str">
            <v>COD</v>
          </cell>
        </row>
      </sheetData>
      <sheetData sheetId="65">
        <row r="1">
          <cell r="A1" t="str">
            <v>FUNDACION INVICA</v>
          </cell>
        </row>
      </sheetData>
      <sheetData sheetId="66">
        <row r="1">
          <cell r="B1" t="str">
            <v>EMPRESA CONSTRUCTORA BAYONA S.A.</v>
          </cell>
        </row>
      </sheetData>
      <sheetData sheetId="67"/>
      <sheetData sheetId="68">
        <row r="9">
          <cell r="A9" t="str">
            <v>COD</v>
          </cell>
        </row>
      </sheetData>
      <sheetData sheetId="69">
        <row r="1">
          <cell r="A1" t="str">
            <v>FUNDACION INVICA</v>
          </cell>
        </row>
      </sheetData>
      <sheetData sheetId="70">
        <row r="1">
          <cell r="B1" t="str">
            <v>EMPRESA CONSTRUCTORA BAYONA S.A.</v>
          </cell>
        </row>
      </sheetData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>
        <row r="9">
          <cell r="A9" t="str">
            <v>COD</v>
          </cell>
        </row>
      </sheetData>
      <sheetData sheetId="109">
        <row r="1">
          <cell r="A1" t="str">
            <v>FUNDACION INVICA</v>
          </cell>
        </row>
      </sheetData>
      <sheetData sheetId="110">
        <row r="1">
          <cell r="B1" t="str">
            <v>EMPRESA CONSTRUCTORA BAYONA S.A.</v>
          </cell>
        </row>
      </sheetData>
      <sheetData sheetId="111"/>
      <sheetData sheetId="112">
        <row r="9">
          <cell r="A9" t="str">
            <v>COD</v>
          </cell>
        </row>
      </sheetData>
      <sheetData sheetId="113">
        <row r="1">
          <cell r="A1" t="str">
            <v>FUNDACION INVICA</v>
          </cell>
        </row>
      </sheetData>
      <sheetData sheetId="114">
        <row r="1">
          <cell r="B1" t="str">
            <v>EMPRESA CONSTRUCTORA BAYONA S.A.</v>
          </cell>
        </row>
      </sheetData>
      <sheetData sheetId="115"/>
      <sheetData sheetId="116">
        <row r="9">
          <cell r="A9" t="str">
            <v>COD</v>
          </cell>
        </row>
      </sheetData>
      <sheetData sheetId="117">
        <row r="1">
          <cell r="A1" t="str">
            <v>FUNDACION INVICA</v>
          </cell>
        </row>
      </sheetData>
      <sheetData sheetId="118">
        <row r="1">
          <cell r="B1" t="str">
            <v>EMPRESA CONSTRUCTORA BAYONA S.A.</v>
          </cell>
        </row>
      </sheetData>
      <sheetData sheetId="119"/>
      <sheetData sheetId="120">
        <row r="9">
          <cell r="A9" t="str">
            <v>COD</v>
          </cell>
        </row>
      </sheetData>
      <sheetData sheetId="121">
        <row r="1">
          <cell r="A1" t="str">
            <v>FUNDACION INVICA</v>
          </cell>
        </row>
      </sheetData>
      <sheetData sheetId="122">
        <row r="1">
          <cell r="B1" t="str">
            <v>EMPRESA CONSTRUCTORA BAYONA S.A.</v>
          </cell>
        </row>
      </sheetData>
      <sheetData sheetId="123"/>
      <sheetData sheetId="124">
        <row r="9">
          <cell r="A9" t="str">
            <v>COD</v>
          </cell>
        </row>
      </sheetData>
      <sheetData sheetId="125">
        <row r="1">
          <cell r="A1" t="str">
            <v>FUNDACION INVICA</v>
          </cell>
        </row>
      </sheetData>
      <sheetData sheetId="126">
        <row r="1">
          <cell r="B1" t="str">
            <v>EMPRESA CONSTRUCTORA BAYONA S.A.</v>
          </cell>
        </row>
      </sheetData>
      <sheetData sheetId="127"/>
      <sheetData sheetId="128">
        <row r="9">
          <cell r="A9" t="str">
            <v>COD</v>
          </cell>
        </row>
      </sheetData>
      <sheetData sheetId="129">
        <row r="1">
          <cell r="A1" t="str">
            <v>FUNDACION INVICA</v>
          </cell>
        </row>
      </sheetData>
      <sheetData sheetId="130">
        <row r="1">
          <cell r="B1" t="str">
            <v>EMPRESA CONSTRUCTORA BAYONA S.A.</v>
          </cell>
        </row>
      </sheetData>
      <sheetData sheetId="131"/>
      <sheetData sheetId="132">
        <row r="9">
          <cell r="A9" t="str">
            <v>COD</v>
          </cell>
        </row>
      </sheetData>
      <sheetData sheetId="133">
        <row r="1">
          <cell r="A1" t="str">
            <v>FUNDACION INVICA</v>
          </cell>
        </row>
      </sheetData>
      <sheetData sheetId="134">
        <row r="1">
          <cell r="B1" t="str">
            <v>EMPRESA CONSTRUCTORA BAYONA S.A.</v>
          </cell>
        </row>
      </sheetData>
      <sheetData sheetId="135"/>
      <sheetData sheetId="136">
        <row r="9">
          <cell r="A9" t="str">
            <v>COD</v>
          </cell>
        </row>
      </sheetData>
      <sheetData sheetId="137">
        <row r="1">
          <cell r="A1" t="str">
            <v>FUNDACION INVICA</v>
          </cell>
        </row>
      </sheetData>
      <sheetData sheetId="138">
        <row r="1">
          <cell r="B1" t="str">
            <v>EMPRESA CONSTRUCTORA BAYONA S.A.</v>
          </cell>
        </row>
      </sheetData>
      <sheetData sheetId="139"/>
      <sheetData sheetId="140">
        <row r="9">
          <cell r="A9" t="str">
            <v>COD</v>
          </cell>
        </row>
      </sheetData>
      <sheetData sheetId="141">
        <row r="1">
          <cell r="A1" t="str">
            <v>FUNDACION INVICA</v>
          </cell>
        </row>
      </sheetData>
      <sheetData sheetId="142">
        <row r="1">
          <cell r="B1" t="str">
            <v>EMPRESA CONSTRUCTORA BAYONA S.A.</v>
          </cell>
        </row>
      </sheetData>
      <sheetData sheetId="143"/>
      <sheetData sheetId="144">
        <row r="9">
          <cell r="A9" t="str">
            <v>COD</v>
          </cell>
        </row>
      </sheetData>
      <sheetData sheetId="145">
        <row r="1">
          <cell r="A1" t="str">
            <v>FUNDACION INVICA</v>
          </cell>
        </row>
      </sheetData>
      <sheetData sheetId="146">
        <row r="1">
          <cell r="B1" t="str">
            <v>EMPRESA CONSTRUCTORA BAYONA S.A.</v>
          </cell>
        </row>
      </sheetData>
      <sheetData sheetId="147"/>
      <sheetData sheetId="148">
        <row r="9">
          <cell r="A9" t="str">
            <v>COD</v>
          </cell>
        </row>
      </sheetData>
      <sheetData sheetId="149">
        <row r="1">
          <cell r="A1" t="str">
            <v>FUNDACION INVICA</v>
          </cell>
        </row>
      </sheetData>
      <sheetData sheetId="150">
        <row r="1">
          <cell r="B1" t="str">
            <v>EMPRESA CONSTRUCTORA BAYONA S.A.</v>
          </cell>
        </row>
      </sheetData>
      <sheetData sheetId="151"/>
      <sheetData sheetId="152">
        <row r="9">
          <cell r="A9" t="str">
            <v>COD</v>
          </cell>
        </row>
      </sheetData>
      <sheetData sheetId="153">
        <row r="1">
          <cell r="A1" t="str">
            <v>FUNDACION INVICA</v>
          </cell>
        </row>
      </sheetData>
      <sheetData sheetId="154">
        <row r="1">
          <cell r="B1" t="str">
            <v>EMPRESA CONSTRUCTORA BAYONA S.A.</v>
          </cell>
        </row>
      </sheetData>
      <sheetData sheetId="155"/>
      <sheetData sheetId="156">
        <row r="9">
          <cell r="A9" t="str">
            <v>COD</v>
          </cell>
        </row>
      </sheetData>
      <sheetData sheetId="157">
        <row r="1">
          <cell r="A1" t="str">
            <v>FUNDACION INVICA</v>
          </cell>
        </row>
      </sheetData>
      <sheetData sheetId="158">
        <row r="1">
          <cell r="B1" t="str">
            <v>EMPRESA CONSTRUCTORA BAYONA S.A.</v>
          </cell>
        </row>
      </sheetData>
      <sheetData sheetId="159"/>
      <sheetData sheetId="160">
        <row r="9">
          <cell r="A9" t="str">
            <v>COD</v>
          </cell>
        </row>
      </sheetData>
      <sheetData sheetId="161">
        <row r="1">
          <cell r="A1" t="str">
            <v>FUNDACION INVICA</v>
          </cell>
        </row>
      </sheetData>
      <sheetData sheetId="162">
        <row r="1">
          <cell r="B1" t="str">
            <v>EMPRESA CONSTRUCTORA BAYONA S.A.</v>
          </cell>
        </row>
      </sheetData>
      <sheetData sheetId="163"/>
      <sheetData sheetId="164">
        <row r="9">
          <cell r="A9" t="str">
            <v>COD</v>
          </cell>
        </row>
      </sheetData>
      <sheetData sheetId="165">
        <row r="1">
          <cell r="A1" t="str">
            <v>FUNDACION INVICA</v>
          </cell>
        </row>
      </sheetData>
      <sheetData sheetId="166">
        <row r="1">
          <cell r="B1" t="str">
            <v>EMPRESA CONSTRUCTORA BAYONA S.A.</v>
          </cell>
        </row>
      </sheetData>
      <sheetData sheetId="167"/>
      <sheetData sheetId="168">
        <row r="9">
          <cell r="A9" t="str">
            <v>COD</v>
          </cell>
        </row>
      </sheetData>
      <sheetData sheetId="169">
        <row r="1">
          <cell r="A1" t="str">
            <v>FUNDACION INVICA</v>
          </cell>
        </row>
      </sheetData>
      <sheetData sheetId="170">
        <row r="1">
          <cell r="B1" t="str">
            <v>EMPRESA CONSTRUCTORA BAYONA S.A.</v>
          </cell>
        </row>
      </sheetData>
      <sheetData sheetId="171"/>
      <sheetData sheetId="172">
        <row r="9">
          <cell r="A9" t="str">
            <v>COD</v>
          </cell>
        </row>
      </sheetData>
      <sheetData sheetId="173">
        <row r="1">
          <cell r="A1" t="str">
            <v>FUNDACION INVICA</v>
          </cell>
        </row>
      </sheetData>
      <sheetData sheetId="174">
        <row r="1">
          <cell r="B1" t="str">
            <v>EMPRESA CONSTRUCTORA BAYONA S.A.</v>
          </cell>
        </row>
      </sheetData>
      <sheetData sheetId="175"/>
      <sheetData sheetId="176">
        <row r="9">
          <cell r="A9" t="str">
            <v>COD</v>
          </cell>
        </row>
      </sheetData>
      <sheetData sheetId="177">
        <row r="1">
          <cell r="A1" t="str">
            <v>FUNDACION INVICA</v>
          </cell>
        </row>
      </sheetData>
      <sheetData sheetId="178">
        <row r="1">
          <cell r="B1" t="str">
            <v>EMPRESA CONSTRUCTORA BAYONA S.A.</v>
          </cell>
        </row>
      </sheetData>
      <sheetData sheetId="179"/>
      <sheetData sheetId="180">
        <row r="9">
          <cell r="A9" t="str">
            <v>COD</v>
          </cell>
        </row>
      </sheetData>
      <sheetData sheetId="181">
        <row r="1">
          <cell r="A1" t="str">
            <v>FUNDACION INVICA</v>
          </cell>
        </row>
      </sheetData>
      <sheetData sheetId="182">
        <row r="1">
          <cell r="B1" t="str">
            <v>EMPRESA CONSTRUCTORA BAYONA S.A.</v>
          </cell>
        </row>
      </sheetData>
      <sheetData sheetId="183"/>
      <sheetData sheetId="184">
        <row r="9">
          <cell r="A9" t="str">
            <v>COD</v>
          </cell>
        </row>
      </sheetData>
      <sheetData sheetId="185">
        <row r="1">
          <cell r="A1" t="str">
            <v>FUNDACION INVICA</v>
          </cell>
        </row>
      </sheetData>
      <sheetData sheetId="186">
        <row r="1">
          <cell r="B1" t="str">
            <v>EMPRESA CONSTRUCTORA BAYONA S.A.</v>
          </cell>
        </row>
      </sheetData>
      <sheetData sheetId="187"/>
      <sheetData sheetId="188">
        <row r="9">
          <cell r="A9" t="str">
            <v>COD</v>
          </cell>
        </row>
      </sheetData>
      <sheetData sheetId="189">
        <row r="1">
          <cell r="A1" t="str">
            <v>FUNDACION INVICA</v>
          </cell>
        </row>
      </sheetData>
      <sheetData sheetId="190">
        <row r="1">
          <cell r="B1" t="str">
            <v>EMPRESA CONSTRUCTORA BAYONA S.A.</v>
          </cell>
        </row>
      </sheetData>
      <sheetData sheetId="191"/>
      <sheetData sheetId="192">
        <row r="9">
          <cell r="A9" t="str">
            <v>COD</v>
          </cell>
        </row>
      </sheetData>
      <sheetData sheetId="193">
        <row r="1">
          <cell r="A1" t="str">
            <v>FUNDACION INVICA</v>
          </cell>
        </row>
      </sheetData>
      <sheetData sheetId="194">
        <row r="1">
          <cell r="B1" t="str">
            <v>EMPRESA CONSTRUCTORA BAYONA S.A.</v>
          </cell>
        </row>
      </sheetData>
      <sheetData sheetId="195"/>
      <sheetData sheetId="196">
        <row r="9">
          <cell r="A9" t="str">
            <v>COD</v>
          </cell>
        </row>
      </sheetData>
      <sheetData sheetId="197">
        <row r="1">
          <cell r="A1" t="str">
            <v>FUNDACION INVICA</v>
          </cell>
        </row>
      </sheetData>
      <sheetData sheetId="198">
        <row r="1">
          <cell r="B1" t="str">
            <v>EMPRESA CONSTRUCTORA BAYONA S.A.</v>
          </cell>
        </row>
      </sheetData>
      <sheetData sheetId="199"/>
      <sheetData sheetId="200">
        <row r="9">
          <cell r="A9" t="str">
            <v>COD</v>
          </cell>
        </row>
      </sheetData>
      <sheetData sheetId="201">
        <row r="1">
          <cell r="A1" t="str">
            <v>FUNDACION INVICA</v>
          </cell>
        </row>
      </sheetData>
      <sheetData sheetId="202">
        <row r="1">
          <cell r="B1" t="str">
            <v>EMPRESA CONSTRUCTORA BAYONA S.A.</v>
          </cell>
        </row>
      </sheetData>
      <sheetData sheetId="203"/>
      <sheetData sheetId="204">
        <row r="9">
          <cell r="A9" t="str">
            <v>COD</v>
          </cell>
        </row>
      </sheetData>
      <sheetData sheetId="205">
        <row r="1">
          <cell r="A1" t="str">
            <v>FUNDACION INVICA</v>
          </cell>
        </row>
      </sheetData>
      <sheetData sheetId="206">
        <row r="1">
          <cell r="B1" t="str">
            <v>EMPRESA CONSTRUCTORA BAYONA S.A.</v>
          </cell>
        </row>
      </sheetData>
      <sheetData sheetId="20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ndart MOI"/>
      <sheetName val="Standart MOD"/>
      <sheetName val="Indirecto"/>
      <sheetName val="EPI Directo"/>
      <sheetName val="EPI Indirecto"/>
      <sheetName val="Hoja1"/>
      <sheetName val="Hoja2"/>
      <sheetName val="Hoja3"/>
      <sheetName val="MENU"/>
      <sheetName val="STATUS DP"/>
      <sheetName val="Flujo"/>
    </sheetNames>
    <sheetDataSet>
      <sheetData sheetId="0" refreshError="1"/>
      <sheetData sheetId="1" refreshError="1"/>
      <sheetData sheetId="2" refreshError="1"/>
      <sheetData sheetId="3" refreshError="1">
        <row r="47">
          <cell r="G47">
            <v>24897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os"/>
      <sheetName val="Gastos Generales"/>
      <sheetName val="Equipos"/>
      <sheetName val="Programa Mano de Obra"/>
      <sheetName val=" Resumen"/>
      <sheetName val="Curva MO Indirecta"/>
      <sheetName val="Genera Resumen"/>
      <sheetName val="Desglose GG  Presentacion"/>
      <sheetName val="Internet"/>
      <sheetName val="Sueldos y Zonas"/>
      <sheetName val="GG 1S 2005"/>
      <sheetName val="Inver-Const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_Original Segtaylor"/>
      <sheetName val="Bas_Defint. Segtaylor"/>
      <sheetName val="Bas_Original P&amp;P Ltda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0-Datos de la Obra"/>
      <sheetName val="1-TRASPASO"/>
      <sheetName val="2-Carta gantt-Desde Presto"/>
      <sheetName val="3-HHM x MES x Equipo"/>
      <sheetName val="CALENDARIO"/>
      <sheetName val="4-Equipos Mes x MES"/>
      <sheetName val="CURVA HORAS MAQUINA"/>
      <sheetName val="CURVA Equipos x MES "/>
      <sheetName val="Tablas-1"/>
      <sheetName val="Resumen de Personal (C)"/>
      <sheetName val="Base"/>
    </sheetNames>
    <sheetDataSet>
      <sheetData sheetId="0" refreshError="1">
        <row r="11">
          <cell r="F11">
            <v>405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0-Datos de la Obra"/>
      <sheetName val="APU"/>
      <sheetName val="Presupuesto Exportado"/>
      <sheetName val="PresupuestoGG+Ut.Prorrateado"/>
      <sheetName val="Tarifas H"/>
      <sheetName val="Base"/>
    </sheetNames>
    <sheetDataSet>
      <sheetData sheetId="0"/>
      <sheetData sheetId="1">
        <row r="3">
          <cell r="D3" t="str">
            <v xml:space="preserve">  Minera Escondida Ltda.</v>
          </cell>
        </row>
        <row r="7">
          <cell r="D7" t="str">
            <v xml:space="preserve">  Proyecto EBPE-II Rev. 1</v>
          </cell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0-Datos de la Obra"/>
      <sheetName val="1-TRASPASO"/>
      <sheetName val="2-Carta gantt-Desde Presto"/>
      <sheetName val="3-HH x MES x Recurso"/>
      <sheetName val="4-Hombres Mes x MES"/>
      <sheetName val="CALENDARIO"/>
      <sheetName val="Gráfico1"/>
      <sheetName val="Gráfico2"/>
      <sheetName val="CURVA HH DIRECTO"/>
      <sheetName val="Gráfico3"/>
      <sheetName val="CURVA PERSONAL DIRECTO"/>
      <sheetName val="Tablas-1"/>
      <sheetName val="CUBICACION MOD. ACERO"/>
      <sheetName val="FINAN R_P"/>
    </sheetNames>
    <sheetDataSet>
      <sheetData sheetId="0" refreshError="1">
        <row r="9">
          <cell r="F9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"/>
      <sheetName val="resumen"/>
      <sheetName val="GG"/>
      <sheetName val="programacion"/>
      <sheetName val="carta gantt"/>
      <sheetName val="RptPresupuestoDetallado"/>
      <sheetName val="seguimiento viviendas"/>
      <sheetName val="key"/>
      <sheetName val="Programación LAMU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índices PPTOS"/>
      <sheetName val="SUBCONTRATOS"/>
      <sheetName val="Esquema Materiales"/>
      <sheetName val="Hoja1 (2)"/>
      <sheetName val="Resumen M.Obra"/>
      <sheetName val="Resumen"/>
      <sheetName val="Gantt"/>
    </sheetNames>
    <sheetDataSet>
      <sheetData sheetId="0">
        <row r="5">
          <cell r="C5">
            <v>1</v>
          </cell>
          <cell r="D5">
            <v>38719</v>
          </cell>
          <cell r="E5">
            <v>38725</v>
          </cell>
        </row>
        <row r="6">
          <cell r="C6">
            <v>2</v>
          </cell>
          <cell r="D6">
            <v>38726</v>
          </cell>
          <cell r="E6">
            <v>38732</v>
          </cell>
        </row>
        <row r="7">
          <cell r="C7">
            <v>3</v>
          </cell>
          <cell r="D7">
            <v>38733</v>
          </cell>
          <cell r="E7">
            <v>38739</v>
          </cell>
        </row>
        <row r="8">
          <cell r="C8">
            <v>4</v>
          </cell>
          <cell r="D8">
            <v>38740</v>
          </cell>
          <cell r="E8">
            <v>38746</v>
          </cell>
        </row>
        <row r="9">
          <cell r="C9">
            <v>5</v>
          </cell>
          <cell r="D9">
            <v>38747</v>
          </cell>
          <cell r="E9">
            <v>38753</v>
          </cell>
        </row>
        <row r="10">
          <cell r="C10">
            <v>6</v>
          </cell>
          <cell r="D10">
            <v>38754</v>
          </cell>
          <cell r="E10">
            <v>38760</v>
          </cell>
        </row>
        <row r="11">
          <cell r="C11">
            <v>7</v>
          </cell>
          <cell r="D11">
            <v>38761</v>
          </cell>
          <cell r="E11">
            <v>38767</v>
          </cell>
        </row>
        <row r="12">
          <cell r="C12">
            <v>8</v>
          </cell>
          <cell r="D12">
            <v>38768</v>
          </cell>
          <cell r="E12">
            <v>38774</v>
          </cell>
        </row>
        <row r="13">
          <cell r="C13">
            <v>9</v>
          </cell>
          <cell r="D13">
            <v>38775</v>
          </cell>
          <cell r="E13">
            <v>38781</v>
          </cell>
        </row>
        <row r="14">
          <cell r="C14">
            <v>10</v>
          </cell>
          <cell r="D14">
            <v>38782</v>
          </cell>
          <cell r="E14">
            <v>38788</v>
          </cell>
        </row>
        <row r="15">
          <cell r="C15">
            <v>11</v>
          </cell>
          <cell r="D15">
            <v>38789</v>
          </cell>
          <cell r="E15">
            <v>38795</v>
          </cell>
        </row>
        <row r="16">
          <cell r="C16">
            <v>12</v>
          </cell>
          <cell r="D16">
            <v>38796</v>
          </cell>
          <cell r="E16">
            <v>38802</v>
          </cell>
        </row>
        <row r="17">
          <cell r="C17">
            <v>13</v>
          </cell>
          <cell r="D17">
            <v>38803</v>
          </cell>
          <cell r="E17">
            <v>38809</v>
          </cell>
        </row>
        <row r="18">
          <cell r="C18">
            <v>14</v>
          </cell>
          <cell r="D18">
            <v>38810</v>
          </cell>
          <cell r="E18">
            <v>38816</v>
          </cell>
        </row>
        <row r="19">
          <cell r="C19">
            <v>15</v>
          </cell>
          <cell r="D19">
            <v>38817</v>
          </cell>
          <cell r="E19">
            <v>38823</v>
          </cell>
        </row>
        <row r="20">
          <cell r="C20">
            <v>16</v>
          </cell>
          <cell r="D20">
            <v>38824</v>
          </cell>
          <cell r="E20">
            <v>38830</v>
          </cell>
        </row>
        <row r="21">
          <cell r="C21">
            <v>17</v>
          </cell>
          <cell r="D21">
            <v>38831</v>
          </cell>
          <cell r="E21">
            <v>38837</v>
          </cell>
        </row>
        <row r="22">
          <cell r="C22">
            <v>18</v>
          </cell>
          <cell r="D22">
            <v>38838</v>
          </cell>
          <cell r="E22">
            <v>38844</v>
          </cell>
        </row>
        <row r="23">
          <cell r="C23">
            <v>19</v>
          </cell>
          <cell r="D23">
            <v>38845</v>
          </cell>
          <cell r="E23">
            <v>38851</v>
          </cell>
        </row>
        <row r="24">
          <cell r="C24">
            <v>20</v>
          </cell>
          <cell r="D24">
            <v>38852</v>
          </cell>
          <cell r="E24">
            <v>38858</v>
          </cell>
        </row>
        <row r="25">
          <cell r="C25">
            <v>21</v>
          </cell>
          <cell r="D25">
            <v>38859</v>
          </cell>
          <cell r="E25">
            <v>38865</v>
          </cell>
        </row>
        <row r="26">
          <cell r="C26">
            <v>22</v>
          </cell>
          <cell r="D26">
            <v>38866</v>
          </cell>
          <cell r="E26">
            <v>38872</v>
          </cell>
        </row>
        <row r="27">
          <cell r="C27">
            <v>23</v>
          </cell>
          <cell r="D27">
            <v>38873</v>
          </cell>
          <cell r="E27">
            <v>38879</v>
          </cell>
        </row>
        <row r="28">
          <cell r="C28">
            <v>24</v>
          </cell>
          <cell r="D28">
            <v>38880</v>
          </cell>
          <cell r="E28">
            <v>38886</v>
          </cell>
        </row>
        <row r="29">
          <cell r="C29">
            <v>25</v>
          </cell>
          <cell r="D29">
            <v>38887</v>
          </cell>
          <cell r="E29">
            <v>38893</v>
          </cell>
        </row>
        <row r="30">
          <cell r="C30">
            <v>26</v>
          </cell>
          <cell r="D30">
            <v>38894</v>
          </cell>
          <cell r="E30">
            <v>38900</v>
          </cell>
        </row>
        <row r="31">
          <cell r="C31">
            <v>27</v>
          </cell>
          <cell r="D31">
            <v>38901</v>
          </cell>
          <cell r="E31">
            <v>38907</v>
          </cell>
        </row>
        <row r="32">
          <cell r="C32">
            <v>28</v>
          </cell>
          <cell r="D32">
            <v>38908</v>
          </cell>
          <cell r="E32">
            <v>38914</v>
          </cell>
        </row>
        <row r="33">
          <cell r="C33">
            <v>29</v>
          </cell>
          <cell r="D33">
            <v>38915</v>
          </cell>
          <cell r="E33">
            <v>38921</v>
          </cell>
        </row>
        <row r="34">
          <cell r="C34">
            <v>30</v>
          </cell>
          <cell r="D34">
            <v>38922</v>
          </cell>
          <cell r="E34">
            <v>38928</v>
          </cell>
        </row>
        <row r="35">
          <cell r="C35">
            <v>31</v>
          </cell>
          <cell r="D35">
            <v>38929</v>
          </cell>
          <cell r="E35">
            <v>38935</v>
          </cell>
        </row>
        <row r="36">
          <cell r="C36">
            <v>32</v>
          </cell>
          <cell r="D36">
            <v>38936</v>
          </cell>
          <cell r="E36">
            <v>38942</v>
          </cell>
        </row>
        <row r="37">
          <cell r="C37">
            <v>33</v>
          </cell>
          <cell r="D37">
            <v>38943</v>
          </cell>
          <cell r="E37">
            <v>38949</v>
          </cell>
        </row>
        <row r="38">
          <cell r="C38">
            <v>34</v>
          </cell>
          <cell r="D38">
            <v>38950</v>
          </cell>
          <cell r="E38">
            <v>38956</v>
          </cell>
        </row>
        <row r="39">
          <cell r="C39">
            <v>35</v>
          </cell>
          <cell r="D39">
            <v>38957</v>
          </cell>
          <cell r="E39">
            <v>38963</v>
          </cell>
        </row>
        <row r="40">
          <cell r="C40">
            <v>36</v>
          </cell>
          <cell r="D40">
            <v>38964</v>
          </cell>
          <cell r="E40">
            <v>38970</v>
          </cell>
        </row>
        <row r="41">
          <cell r="C41">
            <v>37</v>
          </cell>
          <cell r="D41">
            <v>38971</v>
          </cell>
          <cell r="E41">
            <v>38977</v>
          </cell>
        </row>
        <row r="42">
          <cell r="C42">
            <v>38</v>
          </cell>
          <cell r="D42">
            <v>38978</v>
          </cell>
          <cell r="E42">
            <v>38984</v>
          </cell>
        </row>
        <row r="43">
          <cell r="C43">
            <v>39</v>
          </cell>
          <cell r="D43">
            <v>38985</v>
          </cell>
          <cell r="E43">
            <v>38991</v>
          </cell>
        </row>
        <row r="44">
          <cell r="C44">
            <v>40</v>
          </cell>
          <cell r="D44">
            <v>38992</v>
          </cell>
          <cell r="E44">
            <v>38998</v>
          </cell>
        </row>
        <row r="45">
          <cell r="C45">
            <v>41</v>
          </cell>
          <cell r="D45">
            <v>38999</v>
          </cell>
          <cell r="E45">
            <v>39005</v>
          </cell>
        </row>
        <row r="46">
          <cell r="C46">
            <v>42</v>
          </cell>
          <cell r="D46">
            <v>39006</v>
          </cell>
          <cell r="E46">
            <v>39012</v>
          </cell>
        </row>
        <row r="47">
          <cell r="C47">
            <v>43</v>
          </cell>
          <cell r="D47">
            <v>39013</v>
          </cell>
          <cell r="E47">
            <v>39019</v>
          </cell>
        </row>
        <row r="48">
          <cell r="C48">
            <v>44</v>
          </cell>
          <cell r="D48">
            <v>39020</v>
          </cell>
          <cell r="E48">
            <v>39026</v>
          </cell>
        </row>
        <row r="49">
          <cell r="C49">
            <v>45</v>
          </cell>
          <cell r="D49">
            <v>39027</v>
          </cell>
          <cell r="E49">
            <v>39033</v>
          </cell>
        </row>
        <row r="50">
          <cell r="C50">
            <v>46</v>
          </cell>
          <cell r="D50">
            <v>39034</v>
          </cell>
          <cell r="E50">
            <v>39040</v>
          </cell>
        </row>
        <row r="51">
          <cell r="C51">
            <v>47</v>
          </cell>
          <cell r="D51">
            <v>39041</v>
          </cell>
          <cell r="E51">
            <v>39047</v>
          </cell>
        </row>
        <row r="52">
          <cell r="C52">
            <v>48</v>
          </cell>
          <cell r="D52">
            <v>39048</v>
          </cell>
          <cell r="E52">
            <v>39054</v>
          </cell>
        </row>
        <row r="53">
          <cell r="C53">
            <v>49</v>
          </cell>
          <cell r="D53">
            <v>39055</v>
          </cell>
          <cell r="E53">
            <v>39061</v>
          </cell>
        </row>
        <row r="54">
          <cell r="C54">
            <v>50</v>
          </cell>
          <cell r="D54">
            <v>39062</v>
          </cell>
          <cell r="E54">
            <v>39068</v>
          </cell>
        </row>
        <row r="55">
          <cell r="C55">
            <v>51</v>
          </cell>
          <cell r="D55">
            <v>39069</v>
          </cell>
          <cell r="E55">
            <v>39075</v>
          </cell>
        </row>
        <row r="56">
          <cell r="C56">
            <v>52</v>
          </cell>
          <cell r="D56">
            <v>39076</v>
          </cell>
          <cell r="E56">
            <v>39082</v>
          </cell>
        </row>
      </sheetData>
      <sheetData sheetId="1"/>
      <sheetData sheetId="2"/>
      <sheetData sheetId="3"/>
      <sheetData sheetId="4" refreshError="1"/>
      <sheetData sheetId="5"/>
      <sheetData sheetId="6"/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U"/>
      <sheetName val="TITULOS"/>
      <sheetName val="Plan-Resumo"/>
      <sheetName val="CONSUMO"/>
      <sheetName val="INSUMOS"/>
      <sheetName val="Cron_MO"/>
      <sheetName val="Cron_Eqpto"/>
      <sheetName val="HMO"/>
      <sheetName val="HEQ"/>
      <sheetName val="Equipe"/>
      <sheetName val="Indices"/>
      <sheetName val="CONTROLE"/>
      <sheetName val="Módulo1"/>
      <sheetName val="Diálog1"/>
      <sheetName val="Personal"/>
      <sheetName val="Maquinaria"/>
      <sheetName val="Actividades"/>
      <sheetName val="Hoja1"/>
      <sheetName val="Resumen-Tot"/>
      <sheetName val="ESTRUTURAS"/>
      <sheetName val="RESUMEN CUANTITATIVOS"/>
      <sheetName val="Setup"/>
      <sheetName val="Cierre"/>
      <sheetName val="Costos Indirectos"/>
      <sheetName val="CST_Maq"/>
      <sheetName val="Tablas"/>
      <sheetName val="RESUMEN"/>
      <sheetName val="Salary Schedules"/>
      <sheetName val="LCO mec"/>
      <sheetName val="Summary"/>
    </sheetNames>
    <sheetDataSet>
      <sheetData sheetId="0" refreshError="1">
        <row r="7">
          <cell r="E7">
            <v>192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UESTO "/>
      <sheetName val="Res. Gral"/>
      <sheetName val="M.O. Urba."/>
      <sheetName val="Maq y Eq."/>
      <sheetName val="COMB."/>
      <sheetName val="G.G"/>
      <sheetName val="Mat.Alc."/>
      <sheetName val="Mat.A.P"/>
      <sheetName val="Mat.Pav A.Ll"/>
      <sheetName val="Mat. A. Verdes"/>
      <sheetName val="Mat. Al. Público"/>
      <sheetName val="M. Tierra"/>
      <sheetName val="M.O.42.11"/>
      <sheetName val="M.O.50,86"/>
      <sheetName val="VIV. 42,11"/>
      <sheetName val="VIV. 50,86 "/>
      <sheetName val="Mat SS "/>
      <sheetName val="MO SS"/>
      <sheetName val="ENSAYOS"/>
      <sheetName val="Cierro Placa"/>
      <sheetName val="Respaldo Petroleo"/>
      <sheetName val="Respaldo Tratos Inst Faenas"/>
      <sheetName val="Combustible Urbanización"/>
      <sheetName val="VALOR VENTA_ADQ"/>
      <sheetName val="Sub. Kit Solar"/>
    </sheetNames>
    <sheetDataSet>
      <sheetData sheetId="0"/>
      <sheetData sheetId="1">
        <row r="8">
          <cell r="G8">
            <v>24400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 inicio"/>
      <sheetName val="Resumen General"/>
      <sheetName val="Gastos Grales"/>
      <sheetName val="maq y equip"/>
      <sheetName val="MO RAPEL"/>
      <sheetName val="MAT RAPEL C FOSA"/>
      <sheetName val="materiales radieres"/>
      <sheetName val="Respaldo Tratos Inst Faenas"/>
      <sheetName val="Respaldo Petroleo"/>
      <sheetName val="sub contrato radieres"/>
      <sheetName val="paquete industrial"/>
      <sheetName val="Beneficiarios"/>
      <sheetName val="Ficha_inicio"/>
      <sheetName val="Resumen_General"/>
      <sheetName val="Gastos_Grales"/>
      <sheetName val="maq_y_equip"/>
      <sheetName val="MO_RAPEL"/>
      <sheetName val="MAT_RAPEL_C_FOSA"/>
      <sheetName val="materiales_radieres"/>
      <sheetName val="Respaldo_Tratos_Inst_Faenas"/>
      <sheetName val="Respaldo_Petroleo"/>
      <sheetName val="sub_contrato_radieres"/>
      <sheetName val="paquete_industrial"/>
      <sheetName val="Ficha_inicio1"/>
      <sheetName val="Resumen_General1"/>
      <sheetName val="Gastos_Grales1"/>
      <sheetName val="maq_y_equip1"/>
      <sheetName val="MO_RAPEL1"/>
      <sheetName val="MAT_RAPEL_C_FOSA1"/>
      <sheetName val="materiales_radieres1"/>
      <sheetName val="Respaldo_Tratos_Inst_Faenas1"/>
      <sheetName val="Respaldo_Petroleo1"/>
      <sheetName val="sub_contrato_radieres1"/>
      <sheetName val="paquete_industrial1"/>
      <sheetName val="Ficha_inicio2"/>
      <sheetName val="Resumen_General2"/>
      <sheetName val="Gastos_Grales2"/>
      <sheetName val="maq_y_equip2"/>
      <sheetName val="MO_RAPEL2"/>
      <sheetName val="MAT_RAPEL_C_FOSA2"/>
      <sheetName val="materiales_radieres2"/>
      <sheetName val="Respaldo_Tratos_Inst_Faenas2"/>
      <sheetName val="Respaldo_Petroleo2"/>
      <sheetName val="sub_contrato_radieres2"/>
      <sheetName val="paquete_industrial2"/>
    </sheetNames>
    <sheetDataSet>
      <sheetData sheetId="0"/>
      <sheetData sheetId="1">
        <row r="12">
          <cell r="H12">
            <v>22732.79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22732.79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2">
          <cell r="H12">
            <v>22732.79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2">
          <cell r="H12">
            <v>22732.79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14"/>
  <sheetViews>
    <sheetView showGridLines="0" zoomScale="85" zoomScaleNormal="85" zoomScaleSheetLayoutView="100" workbookViewId="0">
      <selection activeCell="G6" sqref="G6"/>
    </sheetView>
  </sheetViews>
  <sheetFormatPr baseColWidth="10" defaultColWidth="11.453125" defaultRowHeight="15.5" x14ac:dyDescent="0.35"/>
  <cols>
    <col min="1" max="1" width="2.7265625" style="24" customWidth="1"/>
    <col min="2" max="2" width="23.26953125" style="24" bestFit="1" customWidth="1"/>
    <col min="3" max="3" width="33.6328125" style="24" customWidth="1"/>
    <col min="4" max="4" width="27.453125" bestFit="1" customWidth="1"/>
    <col min="5" max="5" width="33.6328125" customWidth="1"/>
    <col min="6" max="6" width="23.54296875" customWidth="1"/>
  </cols>
  <sheetData>
    <row r="2" spans="1:5" s="90" customFormat="1" ht="35" customHeight="1" x14ac:dyDescent="0.35">
      <c r="A2" s="91"/>
      <c r="B2" s="188" t="s">
        <v>505</v>
      </c>
      <c r="C2" s="211" t="s">
        <v>506</v>
      </c>
      <c r="D2" s="212"/>
      <c r="E2" s="212"/>
    </row>
    <row r="3" spans="1:5" s="90" customFormat="1" ht="35" customHeight="1" x14ac:dyDescent="0.35">
      <c r="A3" s="91"/>
      <c r="B3" s="188" t="s">
        <v>507</v>
      </c>
      <c r="C3" s="211" t="s">
        <v>508</v>
      </c>
      <c r="D3" s="212"/>
      <c r="E3" s="212"/>
    </row>
    <row r="4" spans="1:5" s="90" customFormat="1" ht="35" customHeight="1" x14ac:dyDescent="0.35">
      <c r="A4" s="91"/>
      <c r="B4" s="188" t="s">
        <v>509</v>
      </c>
      <c r="C4" s="211" t="s">
        <v>510</v>
      </c>
      <c r="D4" s="212"/>
      <c r="E4" s="212"/>
    </row>
    <row r="5" spans="1:5" s="90" customFormat="1" ht="35" customHeight="1" x14ac:dyDescent="0.35">
      <c r="A5" s="91"/>
      <c r="B5" s="188" t="s">
        <v>511</v>
      </c>
      <c r="C5" s="185">
        <v>397342</v>
      </c>
      <c r="D5" s="188" t="s">
        <v>512</v>
      </c>
      <c r="E5" s="184" t="s">
        <v>513</v>
      </c>
    </row>
    <row r="6" spans="1:5" s="90" customFormat="1" ht="35" customHeight="1" x14ac:dyDescent="0.35">
      <c r="A6" s="91"/>
      <c r="B6" s="188" t="s">
        <v>514</v>
      </c>
      <c r="C6" s="184" t="s">
        <v>515</v>
      </c>
      <c r="D6" s="188" t="s">
        <v>516</v>
      </c>
      <c r="E6" s="184" t="s">
        <v>517</v>
      </c>
    </row>
    <row r="7" spans="1:5" s="90" customFormat="1" ht="35" customHeight="1" x14ac:dyDescent="0.35">
      <c r="A7" s="91"/>
      <c r="B7" s="188" t="s">
        <v>518</v>
      </c>
      <c r="C7" s="184" t="s">
        <v>519</v>
      </c>
      <c r="D7" s="188" t="s">
        <v>520</v>
      </c>
      <c r="E7" s="186">
        <v>45444</v>
      </c>
    </row>
    <row r="8" spans="1:5" s="90" customFormat="1" ht="35" customHeight="1" x14ac:dyDescent="0.35">
      <c r="A8" s="91"/>
      <c r="B8" s="188" t="s">
        <v>521</v>
      </c>
      <c r="C8" s="187">
        <v>1835476569</v>
      </c>
      <c r="D8" s="188" t="s">
        <v>522</v>
      </c>
      <c r="E8" s="187">
        <v>1835476569</v>
      </c>
    </row>
    <row r="9" spans="1:5" s="90" customFormat="1" ht="35" customHeight="1" x14ac:dyDescent="0.35">
      <c r="A9" s="91"/>
      <c r="B9" s="188" t="s">
        <v>523</v>
      </c>
      <c r="C9" s="184" t="s">
        <v>524</v>
      </c>
      <c r="D9" s="188" t="s">
        <v>502</v>
      </c>
      <c r="E9" s="184" t="s">
        <v>525</v>
      </c>
    </row>
    <row r="10" spans="1:5" s="90" customFormat="1" ht="35" customHeight="1" x14ac:dyDescent="0.35">
      <c r="A10" s="91"/>
      <c r="B10" s="188" t="s">
        <v>526</v>
      </c>
      <c r="C10" s="189">
        <v>45545</v>
      </c>
      <c r="D10" s="188" t="s">
        <v>527</v>
      </c>
      <c r="E10" s="189">
        <v>45933</v>
      </c>
    </row>
    <row r="11" spans="1:5" s="90" customFormat="1" ht="35" customHeight="1" x14ac:dyDescent="0.35">
      <c r="A11" s="91"/>
      <c r="B11" s="188" t="s">
        <v>528</v>
      </c>
      <c r="C11" s="184" t="s">
        <v>529</v>
      </c>
      <c r="D11" s="188" t="s">
        <v>530</v>
      </c>
      <c r="E11" s="184" t="s">
        <v>531</v>
      </c>
    </row>
    <row r="12" spans="1:5" s="90" customFormat="1" ht="35" customHeight="1" x14ac:dyDescent="0.35">
      <c r="A12" s="91"/>
      <c r="B12" s="188" t="s">
        <v>532</v>
      </c>
      <c r="C12" s="184" t="s">
        <v>533</v>
      </c>
      <c r="D12" s="188" t="s">
        <v>534</v>
      </c>
      <c r="E12" s="184" t="s">
        <v>535</v>
      </c>
    </row>
    <row r="13" spans="1:5" s="90" customFormat="1" ht="35" customHeight="1" x14ac:dyDescent="0.35">
      <c r="A13" s="91"/>
      <c r="B13" s="188" t="s">
        <v>536</v>
      </c>
      <c r="C13" s="184" t="s">
        <v>537</v>
      </c>
      <c r="D13" s="188" t="s">
        <v>530</v>
      </c>
      <c r="E13" s="184" t="s">
        <v>531</v>
      </c>
    </row>
    <row r="14" spans="1:5" s="90" customFormat="1" ht="35" customHeight="1" x14ac:dyDescent="0.35">
      <c r="A14" s="91"/>
      <c r="B14" s="188" t="s">
        <v>538</v>
      </c>
      <c r="C14" s="184" t="s">
        <v>599</v>
      </c>
      <c r="D14" s="188" t="s">
        <v>530</v>
      </c>
      <c r="E14" s="184" t="s">
        <v>598</v>
      </c>
    </row>
  </sheetData>
  <sheetProtection selectLockedCells="1" selectUnlockedCells="1"/>
  <mergeCells count="3">
    <mergeCell ref="C2:E2"/>
    <mergeCell ref="C3:E3"/>
    <mergeCell ref="C4:E4"/>
  </mergeCells>
  <pageMargins left="0.7" right="0.7" top="0.75" bottom="0.75" header="0.3" footer="0.3"/>
  <pageSetup scale="5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A1:WF181"/>
  <sheetViews>
    <sheetView showGridLines="0" topLeftCell="A7" zoomScale="70" zoomScaleNormal="70" zoomScaleSheetLayoutView="40" workbookViewId="0">
      <selection activeCell="C15" sqref="C15"/>
    </sheetView>
  </sheetViews>
  <sheetFormatPr baseColWidth="10" defaultColWidth="11.453125" defaultRowHeight="14.5" x14ac:dyDescent="0.35"/>
  <cols>
    <col min="1" max="1" width="9.26953125" style="25" customWidth="1"/>
    <col min="2" max="2" width="10.1796875" style="25" hidden="1" customWidth="1"/>
    <col min="3" max="3" width="80.81640625" style="25" customWidth="1"/>
    <col min="4" max="4" width="15.6328125" style="25" bestFit="1" customWidth="1"/>
    <col min="5" max="5" width="15.81640625" style="37" bestFit="1" customWidth="1"/>
    <col min="6" max="6" width="15.81640625" style="38" customWidth="1"/>
    <col min="7" max="7" width="18.453125" style="38" bestFit="1" customWidth="1"/>
    <col min="8" max="8" width="17.453125" style="25" bestFit="1" customWidth="1"/>
    <col min="9" max="9" width="19" style="25" bestFit="1" customWidth="1"/>
    <col min="10" max="10" width="22.36328125" style="25" bestFit="1" customWidth="1"/>
    <col min="11" max="11" width="11.453125" style="25"/>
    <col min="12" max="12" width="31.54296875" style="25" bestFit="1" customWidth="1"/>
    <col min="13" max="16384" width="11.453125" style="25"/>
  </cols>
  <sheetData>
    <row r="1" spans="1:10" ht="46" customHeight="1" x14ac:dyDescent="0.35">
      <c r="A1" s="213" t="e">
        <f>CONCATENATE("CUADRO RESUMEN DEL AVANCE FISICO DE LAS OBRAS - ",CONCATENATE("SEMANA ",INT((J2-presupuesto!#REF!)/7)))</f>
        <v>#REF!</v>
      </c>
      <c r="B1" s="213"/>
      <c r="C1" s="213"/>
      <c r="D1" s="213"/>
      <c r="E1" s="213"/>
      <c r="F1" s="213"/>
      <c r="G1" s="213"/>
      <c r="H1" s="213"/>
      <c r="I1" s="213"/>
      <c r="J1" s="213"/>
    </row>
    <row r="2" spans="1:10" ht="15.5" x14ac:dyDescent="0.35">
      <c r="E2" s="66"/>
      <c r="F2" s="66"/>
      <c r="G2" s="66"/>
      <c r="I2" s="66" t="s">
        <v>19</v>
      </c>
      <c r="J2" s="161">
        <v>45658</v>
      </c>
    </row>
    <row r="3" spans="1:10" ht="15.5" x14ac:dyDescent="0.35">
      <c r="E3" s="66"/>
      <c r="F3" s="66"/>
      <c r="G3" s="66"/>
      <c r="I3" s="66" t="s">
        <v>26</v>
      </c>
      <c r="J3" s="92">
        <f>portada!C10</f>
        <v>45545</v>
      </c>
    </row>
    <row r="4" spans="1:10" ht="15.5" x14ac:dyDescent="0.35">
      <c r="E4" s="66"/>
      <c r="F4" s="66"/>
      <c r="G4" s="66"/>
      <c r="I4" s="66" t="s">
        <v>20</v>
      </c>
      <c r="J4" s="92">
        <f>portada!E10</f>
        <v>45933</v>
      </c>
    </row>
    <row r="5" spans="1:10" ht="15.5" x14ac:dyDescent="0.35">
      <c r="E5" s="66"/>
      <c r="F5" s="66"/>
      <c r="G5" s="66"/>
      <c r="I5" s="66" t="s">
        <v>100</v>
      </c>
      <c r="J5" s="67" t="e">
        <f>IF(ROUND(SUM(G12:G576)*1.19,0)-portada!C8=0,ROUND(SUM(G12:G576)*1.19,0),"ERROR")</f>
        <v>#VALUE!</v>
      </c>
    </row>
    <row r="6" spans="1:10" ht="15.5" x14ac:dyDescent="0.35">
      <c r="E6" s="66"/>
      <c r="F6" s="66"/>
      <c r="G6" s="66"/>
      <c r="I6" s="66" t="s">
        <v>593</v>
      </c>
      <c r="J6" s="67">
        <f>SUMPRODUCT(H12:H181,F12:F181)</f>
        <v>0</v>
      </c>
    </row>
    <row r="7" spans="1:10" ht="15.5" x14ac:dyDescent="0.35">
      <c r="E7" s="66"/>
      <c r="F7" s="66"/>
      <c r="G7" s="66"/>
      <c r="I7" s="66" t="s">
        <v>21</v>
      </c>
      <c r="J7" s="67">
        <f>SUMPRODUCT(I12:I181,F12:F181)</f>
        <v>0</v>
      </c>
    </row>
    <row r="8" spans="1:10" ht="15.5" x14ac:dyDescent="0.35">
      <c r="E8" s="66"/>
      <c r="F8" s="66"/>
      <c r="G8" s="66"/>
      <c r="I8" s="66" t="s">
        <v>22</v>
      </c>
      <c r="J8" s="68" t="e">
        <f>J9/J10</f>
        <v>#VALUE!</v>
      </c>
    </row>
    <row r="9" spans="1:10" ht="15.5" x14ac:dyDescent="0.35">
      <c r="E9" s="66"/>
      <c r="F9" s="66"/>
      <c r="G9" s="66"/>
      <c r="I9" s="66" t="s">
        <v>23</v>
      </c>
      <c r="J9" s="69" t="e">
        <f>(SUMPRODUCT(I12:I181,F12:F181)*1.19)/J5</f>
        <v>#VALUE!</v>
      </c>
    </row>
    <row r="10" spans="1:10" ht="15.5" x14ac:dyDescent="0.35">
      <c r="E10" s="66"/>
      <c r="F10" s="66"/>
      <c r="G10" s="66"/>
      <c r="I10" s="66" t="s">
        <v>24</v>
      </c>
      <c r="J10" s="69" t="e">
        <f>(SUMPRODUCT(H12:H181,F12:F181)*1.19)/J5</f>
        <v>#VALUE!</v>
      </c>
    </row>
    <row r="11" spans="1:10" ht="39.75" customHeight="1" x14ac:dyDescent="0.35">
      <c r="A11" s="26" t="s">
        <v>1</v>
      </c>
      <c r="B11" s="178" t="s">
        <v>595</v>
      </c>
      <c r="C11" s="26" t="s">
        <v>2</v>
      </c>
      <c r="D11" s="26" t="s">
        <v>31</v>
      </c>
      <c r="E11" s="27" t="s">
        <v>30</v>
      </c>
      <c r="F11" s="28" t="s">
        <v>102</v>
      </c>
      <c r="G11" s="29" t="s">
        <v>27</v>
      </c>
      <c r="H11" s="30" t="s">
        <v>594</v>
      </c>
      <c r="I11" s="30" t="s">
        <v>103</v>
      </c>
      <c r="J11" s="30" t="s">
        <v>104</v>
      </c>
    </row>
    <row r="12" spans="1:10" s="31" customFormat="1" ht="15.5" x14ac:dyDescent="0.35">
      <c r="A12" s="76">
        <f>presupuesto!B3</f>
        <v>0</v>
      </c>
      <c r="B12" s="76">
        <f>IFERROR(VLOOKUP(A12,#REF!,3,FALSE),0)</f>
        <v>0</v>
      </c>
      <c r="C12" s="77" t="str">
        <f>presupuesto!C3</f>
        <v>AMPLIACION SERVICIO SANITARIO RURAL DE COQUIAO, COMUNA DE ANCUD, REGIÓN DE LOS LAGOS</v>
      </c>
      <c r="D12" s="77">
        <f>presupuesto!D3</f>
        <v>0</v>
      </c>
      <c r="E12" s="77">
        <f>presupuesto!E3</f>
        <v>0</v>
      </c>
      <c r="F12" s="77">
        <f>presupuesto!F3</f>
        <v>0</v>
      </c>
      <c r="G12" s="71"/>
      <c r="H12" s="75">
        <f>IFERROR(VLOOKUP(A12,presupuesto!B:R,17,FALSE),0)*E12</f>
        <v>0</v>
      </c>
      <c r="I12" s="72"/>
      <c r="J12" s="72"/>
    </row>
    <row r="13" spans="1:10" s="32" customFormat="1" ht="15.75" customHeight="1" x14ac:dyDescent="0.35">
      <c r="A13" s="76">
        <f>presupuesto!B4</f>
        <v>0</v>
      </c>
      <c r="B13" s="76">
        <f>IFERROR(VLOOKUP(A13,#REF!,3,FALSE),0)</f>
        <v>0</v>
      </c>
      <c r="C13" s="77" t="str">
        <f>presupuesto!C4</f>
        <v xml:space="preserve">   CAPÍTULO I: OBRAS CAPTACIÓN</v>
      </c>
      <c r="D13" s="78">
        <f>presupuesto!D4</f>
        <v>0</v>
      </c>
      <c r="E13" s="79">
        <f>presupuesto!E4</f>
        <v>0</v>
      </c>
      <c r="F13" s="80">
        <f>presupuesto!F4</f>
        <v>0</v>
      </c>
      <c r="G13" s="81"/>
      <c r="H13" s="75">
        <f>IFERROR(VLOOKUP(A13,presupuesto!B:R,17,FALSE),0)*E13</f>
        <v>0</v>
      </c>
      <c r="I13" s="73"/>
      <c r="J13" s="73"/>
    </row>
    <row r="14" spans="1:10" s="32" customFormat="1" ht="15.5" x14ac:dyDescent="0.35">
      <c r="A14" s="82" t="str">
        <f>presupuesto!B5</f>
        <v>A.-</v>
      </c>
      <c r="B14" s="82">
        <f>IFERROR(VLOOKUP(A14,#REF!,3,FALSE),0)</f>
        <v>0</v>
      </c>
      <c r="C14" s="77" t="str">
        <f>presupuesto!C5</f>
        <v xml:space="preserve">      CAPTACIÓN SUPERFICIAL Y DESARENADOR</v>
      </c>
      <c r="D14" s="78">
        <f>presupuesto!D5</f>
        <v>0</v>
      </c>
      <c r="E14" s="79">
        <f>presupuesto!E5</f>
        <v>0</v>
      </c>
      <c r="F14" s="74">
        <f>presupuesto!F5</f>
        <v>0</v>
      </c>
      <c r="G14" s="83">
        <f t="shared" ref="G14:G77" si="0">ROUND(E14*F14,0)</f>
        <v>0</v>
      </c>
      <c r="H14" s="75">
        <f>IFERROR(VLOOKUP(A14,presupuesto!B:R,17,FALSE),0)*E14</f>
        <v>0</v>
      </c>
      <c r="I14" s="73">
        <f>IFERROR(VLOOKUP(A14,seguimiento!C:F,4,FALSE),0)</f>
        <v>0</v>
      </c>
      <c r="J14" s="73">
        <f t="shared" ref="J14" si="1">+I14-H14</f>
        <v>0</v>
      </c>
    </row>
    <row r="15" spans="1:10" s="32" customFormat="1" ht="15.5" x14ac:dyDescent="0.35">
      <c r="A15" s="82" t="str">
        <f>presupuesto!B6</f>
        <v>A.1.-</v>
      </c>
      <c r="B15" s="82">
        <f>IFERROR(VLOOKUP(A15,#REF!,3,FALSE),0)</f>
        <v>0</v>
      </c>
      <c r="C15" s="77" t="str">
        <f>presupuesto!C6</f>
        <v xml:space="preserve">         DEMOLICION</v>
      </c>
      <c r="D15" s="78">
        <f>presupuesto!D6</f>
        <v>0</v>
      </c>
      <c r="E15" s="79">
        <f>presupuesto!E6</f>
        <v>0</v>
      </c>
      <c r="F15" s="74">
        <f>presupuesto!F6</f>
        <v>0</v>
      </c>
      <c r="G15" s="83">
        <f t="shared" si="0"/>
        <v>0</v>
      </c>
      <c r="H15" s="75">
        <f>IFERROR(VLOOKUP(A15,presupuesto!B:R,17,FALSE),0)*E15</f>
        <v>0</v>
      </c>
      <c r="I15" s="73">
        <f>IFERROR(VLOOKUP(A15,seguimiento!C:F,4,FALSE),0)</f>
        <v>0</v>
      </c>
      <c r="J15" s="73">
        <f t="shared" ref="J15:J78" si="2">+I15-H15</f>
        <v>0</v>
      </c>
    </row>
    <row r="16" spans="1:10" s="32" customFormat="1" ht="15.5" x14ac:dyDescent="0.35">
      <c r="A16" s="84">
        <f>presupuesto!B7</f>
        <v>1</v>
      </c>
      <c r="B16" s="84">
        <f>IFERROR(VLOOKUP(A16,#REF!,3,FALSE),0)</f>
        <v>0</v>
      </c>
      <c r="C16" s="85" t="str">
        <f>presupuesto!C7</f>
        <v xml:space="preserve">            Demoliciones</v>
      </c>
      <c r="D16" s="86" t="str">
        <f>presupuesto!D7</f>
        <v>m2</v>
      </c>
      <c r="E16" s="87">
        <f>presupuesto!E7</f>
        <v>11</v>
      </c>
      <c r="F16" s="70" t="str">
        <f>presupuesto!F7</f>
        <v>Tabla: Partida</v>
      </c>
      <c r="G16" s="83" t="e">
        <f t="shared" si="0"/>
        <v>#VALUE!</v>
      </c>
      <c r="H16" s="75">
        <f>IFERROR(VLOOKUP(A16,presupuesto!B:R,17,FALSE),0)*E16</f>
        <v>0</v>
      </c>
      <c r="I16" s="75">
        <f>IFERROR(VLOOKUP(A16,seguimiento!C:F,4,FALSE),0)</f>
        <v>0</v>
      </c>
      <c r="J16" s="73">
        <f t="shared" si="2"/>
        <v>0</v>
      </c>
    </row>
    <row r="17" spans="1:10" s="32" customFormat="1" ht="15.5" x14ac:dyDescent="0.35">
      <c r="A17" s="82" t="str">
        <f>presupuesto!B8</f>
        <v>A.2.-</v>
      </c>
      <c r="B17" s="82">
        <f>IFERROR(VLOOKUP(A17,#REF!,3,FALSE),0)</f>
        <v>0</v>
      </c>
      <c r="C17" s="77" t="str">
        <f>presupuesto!C8</f>
        <v xml:space="preserve">         MOVIMIENTOS DE TIERRA</v>
      </c>
      <c r="D17" s="78">
        <f>presupuesto!D8</f>
        <v>0</v>
      </c>
      <c r="E17" s="79">
        <f>presupuesto!E8</f>
        <v>0</v>
      </c>
      <c r="F17" s="74">
        <f>presupuesto!F8</f>
        <v>0</v>
      </c>
      <c r="G17" s="83">
        <f t="shared" si="0"/>
        <v>0</v>
      </c>
      <c r="H17" s="75">
        <f>IFERROR(VLOOKUP(A17,presupuesto!B:R,17,FALSE),0)*E17</f>
        <v>0</v>
      </c>
      <c r="I17" s="73">
        <f>IFERROR(VLOOKUP(A17,seguimiento!C:F,4,FALSE),0)</f>
        <v>0</v>
      </c>
      <c r="J17" s="73">
        <f t="shared" si="2"/>
        <v>0</v>
      </c>
    </row>
    <row r="18" spans="1:10" s="32" customFormat="1" ht="15.5" x14ac:dyDescent="0.35">
      <c r="A18" s="84">
        <f>presupuesto!B9</f>
        <v>2</v>
      </c>
      <c r="B18" s="84">
        <f>IFERROR(VLOOKUP(A18,#REF!,3,FALSE),0)</f>
        <v>0</v>
      </c>
      <c r="C18" s="85" t="str">
        <f>presupuesto!C9</f>
        <v xml:space="preserve">            Excavación para fundación</v>
      </c>
      <c r="D18" s="86" t="str">
        <f>presupuesto!D9</f>
        <v>m3</v>
      </c>
      <c r="E18" s="87">
        <f>presupuesto!E9</f>
        <v>5.3</v>
      </c>
      <c r="F18" s="70" t="str">
        <f>presupuesto!F9</f>
        <v>Tabla: Partida</v>
      </c>
      <c r="G18" s="83" t="e">
        <f t="shared" si="0"/>
        <v>#VALUE!</v>
      </c>
      <c r="H18" s="75">
        <f>IFERROR(VLOOKUP(A18,presupuesto!B:R,17,FALSE),0)*E18</f>
        <v>0</v>
      </c>
      <c r="I18" s="73">
        <f>IFERROR(VLOOKUP(A18,seguimiento!C:F,4,FALSE),0)</f>
        <v>0</v>
      </c>
      <c r="J18" s="73">
        <f t="shared" si="2"/>
        <v>0</v>
      </c>
    </row>
    <row r="19" spans="1:10" s="32" customFormat="1" ht="15.5" x14ac:dyDescent="0.35">
      <c r="A19" s="84">
        <f>presupuesto!B10</f>
        <v>3</v>
      </c>
      <c r="B19" s="84">
        <f>IFERROR(VLOOKUP(A19,#REF!,3,FALSE),0)</f>
        <v>0</v>
      </c>
      <c r="C19" s="85" t="str">
        <f>presupuesto!C10</f>
        <v xml:space="preserve">            Relleno de Excavaciones</v>
      </c>
      <c r="D19" s="86" t="str">
        <f>presupuesto!D10</f>
        <v>m3</v>
      </c>
      <c r="E19" s="87">
        <f>presupuesto!E10</f>
        <v>3</v>
      </c>
      <c r="F19" s="70" t="str">
        <f>presupuesto!F10</f>
        <v>Tabla: Partida</v>
      </c>
      <c r="G19" s="83" t="e">
        <f t="shared" si="0"/>
        <v>#VALUE!</v>
      </c>
      <c r="H19" s="75">
        <f>IFERROR(VLOOKUP(A19,presupuesto!B:R,17,FALSE),0)*E19</f>
        <v>0</v>
      </c>
      <c r="I19" s="73">
        <f>IFERROR(VLOOKUP(A19,seguimiento!C:F,4,FALSE),0)</f>
        <v>0</v>
      </c>
      <c r="J19" s="73">
        <f t="shared" si="2"/>
        <v>0</v>
      </c>
    </row>
    <row r="20" spans="1:10" s="32" customFormat="1" ht="15.5" x14ac:dyDescent="0.35">
      <c r="A20" s="84">
        <f>presupuesto!B11</f>
        <v>4</v>
      </c>
      <c r="B20" s="84">
        <f>IFERROR(VLOOKUP(A20,#REF!,3,FALSE),0)</f>
        <v>0</v>
      </c>
      <c r="C20" s="85" t="str">
        <f>presupuesto!C11</f>
        <v xml:space="preserve">            Retiro de excedentes</v>
      </c>
      <c r="D20" s="86" t="str">
        <f>presupuesto!D11</f>
        <v>m3</v>
      </c>
      <c r="E20" s="87">
        <f>presupuesto!E11</f>
        <v>5</v>
      </c>
      <c r="F20" s="70" t="str">
        <f>presupuesto!F11</f>
        <v>Tabla: Partida</v>
      </c>
      <c r="G20" s="83" t="e">
        <f t="shared" si="0"/>
        <v>#VALUE!</v>
      </c>
      <c r="H20" s="75">
        <f>IFERROR(VLOOKUP(A20,presupuesto!B:R,17,FALSE),0)*E20</f>
        <v>0</v>
      </c>
      <c r="I20" s="73">
        <f>IFERROR(VLOOKUP(A20,seguimiento!C:F,4,FALSE),0)</f>
        <v>0</v>
      </c>
      <c r="J20" s="73">
        <f t="shared" si="2"/>
        <v>0</v>
      </c>
    </row>
    <row r="21" spans="1:10" s="32" customFormat="1" ht="15.5" x14ac:dyDescent="0.35">
      <c r="A21" s="82" t="str">
        <f>presupuesto!B12</f>
        <v>A.3.-</v>
      </c>
      <c r="B21" s="82">
        <f>IFERROR(VLOOKUP(A21,#REF!,3,FALSE),0)</f>
        <v>0</v>
      </c>
      <c r="C21" s="77" t="str">
        <f>presupuesto!C12</f>
        <v xml:space="preserve">         HORMIGÓN ARMADO</v>
      </c>
      <c r="D21" s="78">
        <f>presupuesto!D12</f>
        <v>0</v>
      </c>
      <c r="E21" s="79">
        <f>presupuesto!E12</f>
        <v>0</v>
      </c>
      <c r="F21" s="74">
        <f>presupuesto!F12</f>
        <v>0</v>
      </c>
      <c r="G21" s="83">
        <f t="shared" si="0"/>
        <v>0</v>
      </c>
      <c r="H21" s="75">
        <f>IFERROR(VLOOKUP(A21,presupuesto!B:R,17,FALSE),0)*E21</f>
        <v>0</v>
      </c>
      <c r="I21" s="73">
        <f>IFERROR(VLOOKUP(A21,seguimiento!C:F,4,FALSE),0)</f>
        <v>0</v>
      </c>
      <c r="J21" s="73">
        <f t="shared" si="2"/>
        <v>0</v>
      </c>
    </row>
    <row r="22" spans="1:10" s="32" customFormat="1" ht="15.5" x14ac:dyDescent="0.35">
      <c r="A22" s="84">
        <f>presupuesto!B13</f>
        <v>5</v>
      </c>
      <c r="B22" s="84">
        <f>IFERROR(VLOOKUP(A22,#REF!,3,FALSE),0)</f>
        <v>0</v>
      </c>
      <c r="C22" s="85" t="str">
        <f>presupuesto!C13</f>
        <v xml:space="preserve">            Hormigón G-5 Emplantillado</v>
      </c>
      <c r="D22" s="86" t="str">
        <f>presupuesto!D13</f>
        <v>m3</v>
      </c>
      <c r="E22" s="87">
        <f>presupuesto!E13</f>
        <v>3</v>
      </c>
      <c r="F22" s="70" t="str">
        <f>presupuesto!F13</f>
        <v>Tabla: Partida</v>
      </c>
      <c r="G22" s="83" t="e">
        <f t="shared" si="0"/>
        <v>#VALUE!</v>
      </c>
      <c r="H22" s="75">
        <f>IFERROR(VLOOKUP(A22,presupuesto!B:R,17,FALSE),0)*E22</f>
        <v>0</v>
      </c>
      <c r="I22" s="73">
        <f>IFERROR(VLOOKUP(A22,seguimiento!C:F,4,FALSE),0)</f>
        <v>0</v>
      </c>
      <c r="J22" s="73">
        <f t="shared" si="2"/>
        <v>0</v>
      </c>
    </row>
    <row r="23" spans="1:10" s="32" customFormat="1" ht="15.5" x14ac:dyDescent="0.35">
      <c r="A23" s="84">
        <f>presupuesto!B14</f>
        <v>6</v>
      </c>
      <c r="B23" s="84">
        <f>IFERROR(VLOOKUP(A23,#REF!,3,FALSE),0)</f>
        <v>0</v>
      </c>
      <c r="C23" s="85" t="str">
        <f>presupuesto!C14</f>
        <v xml:space="preserve">            Hormigón G-25</v>
      </c>
      <c r="D23" s="86" t="str">
        <f>presupuesto!D14</f>
        <v>m3</v>
      </c>
      <c r="E23" s="87">
        <f>presupuesto!E14</f>
        <v>9</v>
      </c>
      <c r="F23" s="70" t="str">
        <f>presupuesto!F14</f>
        <v>Tabla: Partida</v>
      </c>
      <c r="G23" s="83" t="e">
        <f t="shared" si="0"/>
        <v>#VALUE!</v>
      </c>
      <c r="H23" s="75">
        <f>IFERROR(VLOOKUP(A23,presupuesto!B:R,17,FALSE),0)*E23</f>
        <v>0</v>
      </c>
      <c r="I23" s="73">
        <f>IFERROR(VLOOKUP(A23,seguimiento!C:F,4,FALSE),0)</f>
        <v>0</v>
      </c>
      <c r="J23" s="73">
        <f t="shared" si="2"/>
        <v>0</v>
      </c>
    </row>
    <row r="24" spans="1:10" s="32" customFormat="1" ht="15.5" x14ac:dyDescent="0.35">
      <c r="A24" s="84">
        <f>presupuesto!B15</f>
        <v>7</v>
      </c>
      <c r="B24" s="84">
        <f>IFERROR(VLOOKUP(A24,#REF!,3,FALSE),0)</f>
        <v>0</v>
      </c>
      <c r="C24" s="85" t="str">
        <f>presupuesto!C15</f>
        <v xml:space="preserve">            Acero de refuerzo A63-42H</v>
      </c>
      <c r="D24" s="86" t="str">
        <f>presupuesto!D15</f>
        <v>kg</v>
      </c>
      <c r="E24" s="87">
        <f>presupuesto!E15</f>
        <v>160</v>
      </c>
      <c r="F24" s="70" t="str">
        <f>presupuesto!F15</f>
        <v>Tabla: Partida</v>
      </c>
      <c r="G24" s="83" t="e">
        <f t="shared" si="0"/>
        <v>#VALUE!</v>
      </c>
      <c r="H24" s="75">
        <f>IFERROR(VLOOKUP(A24,presupuesto!B:R,17,FALSE),0)*E24</f>
        <v>0</v>
      </c>
      <c r="I24" s="73">
        <f>IFERROR(VLOOKUP(A24,seguimiento!C:F,4,FALSE),0)</f>
        <v>0</v>
      </c>
      <c r="J24" s="73">
        <f t="shared" si="2"/>
        <v>0</v>
      </c>
    </row>
    <row r="25" spans="1:10" s="32" customFormat="1" ht="15.5" x14ac:dyDescent="0.35">
      <c r="A25" s="82" t="str">
        <f>presupuesto!B16</f>
        <v>A.4.-</v>
      </c>
      <c r="B25" s="82">
        <f>IFERROR(VLOOKUP(A25,#REF!,3,FALSE),0)</f>
        <v>0</v>
      </c>
      <c r="C25" s="77" t="str">
        <f>presupuesto!C16</f>
        <v xml:space="preserve">         PASARELA ACERO GALVANIZADO</v>
      </c>
      <c r="D25" s="78">
        <f>presupuesto!D16</f>
        <v>0</v>
      </c>
      <c r="E25" s="79">
        <f>presupuesto!E16</f>
        <v>0</v>
      </c>
      <c r="F25" s="74">
        <f>presupuesto!F16</f>
        <v>0</v>
      </c>
      <c r="G25" s="83">
        <f t="shared" si="0"/>
        <v>0</v>
      </c>
      <c r="H25" s="75">
        <f>IFERROR(VLOOKUP(A25,presupuesto!B:R,17,FALSE),0)*E25</f>
        <v>0</v>
      </c>
      <c r="I25" s="73">
        <f>IFERROR(VLOOKUP(A25,seguimiento!C:F,4,FALSE),0)</f>
        <v>0</v>
      </c>
      <c r="J25" s="73">
        <f t="shared" si="2"/>
        <v>0</v>
      </c>
    </row>
    <row r="26" spans="1:10" s="31" customFormat="1" ht="15.5" x14ac:dyDescent="0.35">
      <c r="A26" s="84">
        <f>presupuesto!B17</f>
        <v>8</v>
      </c>
      <c r="B26" s="84">
        <f>IFERROR(VLOOKUP(A26,#REF!,3,FALSE),0)</f>
        <v>0</v>
      </c>
      <c r="C26" s="85" t="str">
        <f>presupuesto!C17</f>
        <v xml:space="preserve">            Pasarela acero galvanizado</v>
      </c>
      <c r="D26" s="86" t="str">
        <f>presupuesto!D17</f>
        <v>N°</v>
      </c>
      <c r="E26" s="87">
        <f>presupuesto!E17</f>
        <v>1</v>
      </c>
      <c r="F26" s="70" t="str">
        <f>presupuesto!F17</f>
        <v>Tabla: Partida</v>
      </c>
      <c r="G26" s="83" t="e">
        <f t="shared" si="0"/>
        <v>#VALUE!</v>
      </c>
      <c r="H26" s="75">
        <f>IFERROR(VLOOKUP(A26,presupuesto!B:R,17,FALSE),0)*E26</f>
        <v>0</v>
      </c>
      <c r="I26" s="73">
        <f>IFERROR(VLOOKUP(A26,seguimiento!C:F,4,FALSE),0)</f>
        <v>0</v>
      </c>
      <c r="J26" s="73">
        <f t="shared" si="2"/>
        <v>0</v>
      </c>
    </row>
    <row r="27" spans="1:10" s="32" customFormat="1" ht="15.5" x14ac:dyDescent="0.35">
      <c r="A27" s="82" t="str">
        <f>presupuesto!B18</f>
        <v>A.5.-</v>
      </c>
      <c r="B27" s="82">
        <f>IFERROR(VLOOKUP(A27,#REF!,3,FALSE),0)</f>
        <v>0</v>
      </c>
      <c r="C27" s="77" t="str">
        <f>presupuesto!C18</f>
        <v xml:space="preserve">         OBRAS COMPLEMENTARIAS</v>
      </c>
      <c r="D27" s="78">
        <f>presupuesto!D18</f>
        <v>0</v>
      </c>
      <c r="E27" s="79">
        <f>presupuesto!E18</f>
        <v>0</v>
      </c>
      <c r="F27" s="74">
        <f>presupuesto!F18</f>
        <v>0</v>
      </c>
      <c r="G27" s="83">
        <f t="shared" si="0"/>
        <v>0</v>
      </c>
      <c r="H27" s="75">
        <f>IFERROR(VLOOKUP(A27,presupuesto!B:R,17,FALSE),0)*E27</f>
        <v>0</v>
      </c>
      <c r="I27" s="73">
        <f>IFERROR(VLOOKUP(A27,seguimiento!C:F,4,FALSE),0)</f>
        <v>0</v>
      </c>
      <c r="J27" s="73">
        <f t="shared" si="2"/>
        <v>0</v>
      </c>
    </row>
    <row r="28" spans="1:10" s="32" customFormat="1" ht="15.5" x14ac:dyDescent="0.35">
      <c r="A28" s="84">
        <f>presupuesto!B19</f>
        <v>9</v>
      </c>
      <c r="B28" s="84">
        <f>IFERROR(VLOOKUP(A28,#REF!,3,FALSE),0)</f>
        <v>0</v>
      </c>
      <c r="C28" s="85" t="str">
        <f>presupuesto!C19</f>
        <v xml:space="preserve">            Suministro y montaje motobombas KSB UPAcrhom 150-16/10cc DN100 o equivalente</v>
      </c>
      <c r="D28" s="86" t="str">
        <f>presupuesto!D19</f>
        <v>Nº</v>
      </c>
      <c r="E28" s="87">
        <f>presupuesto!E19</f>
        <v>2</v>
      </c>
      <c r="F28" s="70" t="str">
        <f>presupuesto!F19</f>
        <v>Tabla: Partida</v>
      </c>
      <c r="G28" s="83" t="e">
        <f t="shared" si="0"/>
        <v>#VALUE!</v>
      </c>
      <c r="H28" s="75">
        <f>IFERROR(VLOOKUP(A28,presupuesto!B:R,17,FALSE),0)*E28</f>
        <v>0</v>
      </c>
      <c r="I28" s="73">
        <f>IFERROR(VLOOKUP(A28,seguimiento!C:F,4,FALSE),0)</f>
        <v>0</v>
      </c>
      <c r="J28" s="73">
        <f t="shared" si="2"/>
        <v>0</v>
      </c>
    </row>
    <row r="29" spans="1:10" s="32" customFormat="1" ht="15.5" x14ac:dyDescent="0.35">
      <c r="A29" s="82" t="str">
        <f>presupuesto!B20</f>
        <v>B</v>
      </c>
      <c r="B29" s="82">
        <f>IFERROR(VLOOKUP(A29,#REF!,3,FALSE),0)</f>
        <v>0</v>
      </c>
      <c r="C29" s="77" t="str">
        <f>presupuesto!C20</f>
        <v xml:space="preserve">      OBRAS VARIAS</v>
      </c>
      <c r="D29" s="78">
        <f>presupuesto!D20</f>
        <v>0</v>
      </c>
      <c r="E29" s="79">
        <f>presupuesto!E20</f>
        <v>0</v>
      </c>
      <c r="F29" s="74">
        <f>presupuesto!F20</f>
        <v>0</v>
      </c>
      <c r="G29" s="83">
        <f t="shared" si="0"/>
        <v>0</v>
      </c>
      <c r="H29" s="75">
        <f>IFERROR(VLOOKUP(A29,presupuesto!B:R,17,FALSE),0)*E29</f>
        <v>0</v>
      </c>
      <c r="I29" s="73">
        <f>IFERROR(VLOOKUP(A29,seguimiento!C:F,4,FALSE),0)</f>
        <v>0</v>
      </c>
      <c r="J29" s="73">
        <f t="shared" si="2"/>
        <v>0</v>
      </c>
    </row>
    <row r="30" spans="1:10" s="32" customFormat="1" ht="15.5" x14ac:dyDescent="0.35">
      <c r="A30" s="84">
        <f>presupuesto!B21</f>
        <v>10</v>
      </c>
      <c r="B30" s="84">
        <f>IFERROR(VLOOKUP(A30,#REF!,3,FALSE),0)</f>
        <v>0</v>
      </c>
      <c r="C30" s="85" t="str">
        <f>presupuesto!C21</f>
        <v xml:space="preserve">         Pedraplen</v>
      </c>
      <c r="D30" s="86" t="str">
        <f>presupuesto!D21</f>
        <v>N°</v>
      </c>
      <c r="E30" s="87">
        <f>presupuesto!E21</f>
        <v>1</v>
      </c>
      <c r="F30" s="70" t="str">
        <f>presupuesto!F21</f>
        <v>Tabla: Partida</v>
      </c>
      <c r="G30" s="83" t="e">
        <f t="shared" si="0"/>
        <v>#VALUE!</v>
      </c>
      <c r="H30" s="75">
        <f>IFERROR(VLOOKUP(A30,presupuesto!B:R,17,FALSE),0)*E30</f>
        <v>0</v>
      </c>
      <c r="I30" s="73">
        <f>IFERROR(VLOOKUP(A30,seguimiento!C:F,4,FALSE),0)</f>
        <v>0</v>
      </c>
      <c r="J30" s="73">
        <f t="shared" si="2"/>
        <v>0</v>
      </c>
    </row>
    <row r="31" spans="1:10" s="32" customFormat="1" ht="15.5" x14ac:dyDescent="0.35">
      <c r="A31" s="84">
        <f>presupuesto!B22</f>
        <v>11</v>
      </c>
      <c r="B31" s="84">
        <f>IFERROR(VLOOKUP(A31,#REF!,3,FALSE),0)</f>
        <v>0</v>
      </c>
      <c r="C31" s="85" t="str">
        <f>presupuesto!C22</f>
        <v xml:space="preserve">         Compuerta Desripiadora</v>
      </c>
      <c r="D31" s="86" t="str">
        <f>presupuesto!D22</f>
        <v>N°</v>
      </c>
      <c r="E31" s="87">
        <f>presupuesto!E22</f>
        <v>1</v>
      </c>
      <c r="F31" s="70" t="str">
        <f>presupuesto!F22</f>
        <v>Tabla: Partida</v>
      </c>
      <c r="G31" s="83" t="e">
        <f t="shared" si="0"/>
        <v>#VALUE!</v>
      </c>
      <c r="H31" s="75">
        <f>IFERROR(VLOOKUP(A31,presupuesto!B:R,17,FALSE),0)*E31</f>
        <v>0</v>
      </c>
      <c r="I31" s="73">
        <f>IFERROR(VLOOKUP(A31,seguimiento!C:F,4,FALSE),0)</f>
        <v>0</v>
      </c>
      <c r="J31" s="73">
        <f t="shared" si="2"/>
        <v>0</v>
      </c>
    </row>
    <row r="32" spans="1:10" s="32" customFormat="1" ht="15.5" x14ac:dyDescent="0.35">
      <c r="A32" s="84">
        <f>presupuesto!B23</f>
        <v>12</v>
      </c>
      <c r="B32" s="84">
        <f>IFERROR(VLOOKUP(A32,#REF!,3,FALSE),0)</f>
        <v>0</v>
      </c>
      <c r="C32" s="85" t="str">
        <f>presupuesto!C23</f>
        <v xml:space="preserve">         Machones Bombas</v>
      </c>
      <c r="D32" s="86" t="str">
        <f>presupuesto!D23</f>
        <v>N°</v>
      </c>
      <c r="E32" s="87">
        <f>presupuesto!E23</f>
        <v>2</v>
      </c>
      <c r="F32" s="70" t="str">
        <f>presupuesto!F23</f>
        <v>Tabla: Partida</v>
      </c>
      <c r="G32" s="83" t="e">
        <f t="shared" si="0"/>
        <v>#VALUE!</v>
      </c>
      <c r="H32" s="75">
        <f>IFERROR(VLOOKUP(A32,presupuesto!B:R,17,FALSE),0)*E32</f>
        <v>0</v>
      </c>
      <c r="I32" s="73">
        <f>IFERROR(VLOOKUP(A32,seguimiento!C:F,4,FALSE),0)</f>
        <v>0</v>
      </c>
      <c r="J32" s="73">
        <f t="shared" si="2"/>
        <v>0</v>
      </c>
    </row>
    <row r="33" spans="1:604" s="35" customFormat="1" ht="15.5" x14ac:dyDescent="0.35">
      <c r="A33" s="84">
        <f>presupuesto!B24</f>
        <v>13</v>
      </c>
      <c r="B33" s="84">
        <f>IFERROR(VLOOKUP(A33,#REF!,3,FALSE),0)</f>
        <v>0</v>
      </c>
      <c r="C33" s="85" t="str">
        <f>presupuesto!C24</f>
        <v xml:space="preserve">         Modificación Cierre Perimetral</v>
      </c>
      <c r="D33" s="86" t="str">
        <f>presupuesto!D24</f>
        <v>N°</v>
      </c>
      <c r="E33" s="87">
        <f>presupuesto!E24</f>
        <v>1</v>
      </c>
      <c r="F33" s="70" t="str">
        <f>presupuesto!F24</f>
        <v>Tabla: Partida</v>
      </c>
      <c r="G33" s="83" t="e">
        <f t="shared" si="0"/>
        <v>#VALUE!</v>
      </c>
      <c r="H33" s="75">
        <f>IFERROR(VLOOKUP(A33,presupuesto!B:R,17,FALSE),0)*E33</f>
        <v>0</v>
      </c>
      <c r="I33" s="73">
        <f>IFERROR(VLOOKUP(A33,seguimiento!C:F,4,FALSE),0)</f>
        <v>0</v>
      </c>
      <c r="J33" s="73">
        <f t="shared" si="2"/>
        <v>0</v>
      </c>
      <c r="K33" s="33"/>
      <c r="L33" s="34"/>
      <c r="M33" s="33"/>
      <c r="N33" s="34"/>
      <c r="O33" s="33"/>
      <c r="P33" s="34"/>
      <c r="Q33" s="33"/>
      <c r="R33" s="34"/>
      <c r="S33" s="33"/>
      <c r="T33" s="34"/>
      <c r="U33" s="33"/>
      <c r="V33" s="34"/>
      <c r="W33" s="33"/>
      <c r="X33" s="34"/>
      <c r="Y33" s="33"/>
      <c r="Z33" s="34"/>
      <c r="AA33" s="33"/>
      <c r="AB33" s="34"/>
      <c r="AC33" s="33"/>
      <c r="AD33" s="34"/>
      <c r="AE33" s="33"/>
      <c r="AF33" s="34"/>
      <c r="AG33" s="33"/>
      <c r="AH33" s="34"/>
      <c r="AI33" s="33"/>
      <c r="AJ33" s="34"/>
      <c r="AK33" s="33"/>
      <c r="AL33" s="34"/>
      <c r="AM33" s="33"/>
      <c r="AN33" s="34"/>
      <c r="AO33" s="33"/>
      <c r="AP33" s="34"/>
      <c r="AQ33" s="33"/>
      <c r="AR33" s="34"/>
      <c r="AS33" s="33"/>
      <c r="AT33" s="34"/>
      <c r="AU33" s="33"/>
      <c r="AV33" s="34"/>
      <c r="AW33" s="33"/>
      <c r="AX33" s="34"/>
      <c r="AY33" s="33"/>
      <c r="AZ33" s="34"/>
      <c r="BA33" s="33"/>
      <c r="BB33" s="34"/>
      <c r="BC33" s="33"/>
      <c r="BD33" s="34"/>
      <c r="BE33" s="33"/>
      <c r="BF33" s="34"/>
      <c r="BG33" s="33"/>
      <c r="BH33" s="34"/>
      <c r="BI33" s="33"/>
      <c r="BJ33" s="34"/>
      <c r="BK33" s="33"/>
      <c r="BL33" s="34"/>
      <c r="BM33" s="33"/>
      <c r="BN33" s="34"/>
      <c r="BO33" s="33"/>
      <c r="BP33" s="34"/>
      <c r="BQ33" s="33"/>
      <c r="BR33" s="34"/>
      <c r="BS33" s="33"/>
      <c r="BT33" s="34"/>
      <c r="BU33" s="33"/>
      <c r="BV33" s="34"/>
      <c r="BW33" s="33"/>
      <c r="BX33" s="34"/>
      <c r="BY33" s="33"/>
      <c r="BZ33" s="34"/>
      <c r="CA33" s="33"/>
      <c r="CB33" s="34"/>
      <c r="CC33" s="33"/>
      <c r="CD33" s="34"/>
      <c r="CE33" s="33"/>
      <c r="CF33" s="34"/>
      <c r="CG33" s="33"/>
      <c r="CH33" s="34"/>
      <c r="CI33" s="33"/>
      <c r="CJ33" s="34"/>
      <c r="CK33" s="33"/>
      <c r="CL33" s="34"/>
      <c r="CM33" s="33"/>
      <c r="CN33" s="34"/>
      <c r="CO33" s="33"/>
      <c r="CP33" s="34"/>
      <c r="CQ33" s="33"/>
      <c r="CR33" s="34"/>
      <c r="CS33" s="33"/>
      <c r="CT33" s="34"/>
      <c r="CU33" s="33"/>
      <c r="CV33" s="34"/>
      <c r="CW33" s="33"/>
      <c r="CX33" s="34"/>
      <c r="CY33" s="33"/>
      <c r="CZ33" s="34"/>
      <c r="DA33" s="33"/>
      <c r="DB33" s="34"/>
      <c r="DC33" s="33"/>
      <c r="DD33" s="34"/>
      <c r="DE33" s="33"/>
      <c r="DF33" s="34"/>
      <c r="DG33" s="33"/>
      <c r="DH33" s="34"/>
      <c r="DI33" s="33"/>
      <c r="DJ33" s="34"/>
      <c r="DK33" s="33"/>
      <c r="DL33" s="34"/>
      <c r="DM33" s="33"/>
      <c r="DN33" s="34"/>
      <c r="DO33" s="33"/>
      <c r="DP33" s="34"/>
      <c r="DQ33" s="33"/>
      <c r="DR33" s="34"/>
      <c r="DS33" s="33"/>
      <c r="DT33" s="34"/>
      <c r="DU33" s="33"/>
      <c r="DV33" s="34"/>
      <c r="DW33" s="33"/>
      <c r="DX33" s="34"/>
      <c r="DY33" s="33"/>
      <c r="DZ33" s="34"/>
      <c r="EA33" s="33"/>
      <c r="EB33" s="34"/>
      <c r="EC33" s="33"/>
      <c r="ED33" s="34"/>
      <c r="EE33" s="33"/>
      <c r="EF33" s="34"/>
      <c r="EG33" s="33"/>
      <c r="EH33" s="34"/>
      <c r="EI33" s="33"/>
      <c r="EJ33" s="34"/>
      <c r="EK33" s="33"/>
      <c r="EL33" s="34"/>
      <c r="EM33" s="33"/>
      <c r="EN33" s="34"/>
      <c r="EO33" s="33"/>
      <c r="EP33" s="34"/>
      <c r="EQ33" s="33"/>
      <c r="ER33" s="34"/>
      <c r="ES33" s="33"/>
      <c r="ET33" s="34"/>
      <c r="EU33" s="33"/>
      <c r="EV33" s="34"/>
      <c r="EW33" s="33"/>
      <c r="EX33" s="34"/>
      <c r="EY33" s="33"/>
      <c r="EZ33" s="34"/>
      <c r="FA33" s="33"/>
      <c r="FB33" s="34"/>
      <c r="FC33" s="33"/>
      <c r="FD33" s="34"/>
      <c r="FE33" s="33"/>
      <c r="FF33" s="34"/>
      <c r="FG33" s="33"/>
      <c r="FH33" s="34"/>
      <c r="FI33" s="33"/>
      <c r="FJ33" s="34"/>
      <c r="FK33" s="33"/>
      <c r="FL33" s="34"/>
      <c r="FM33" s="33"/>
      <c r="FN33" s="34"/>
      <c r="FO33" s="33"/>
      <c r="FP33" s="34"/>
      <c r="FQ33" s="33"/>
      <c r="FR33" s="34"/>
      <c r="FS33" s="33"/>
      <c r="FT33" s="34"/>
      <c r="FU33" s="33"/>
      <c r="FV33" s="34"/>
      <c r="FW33" s="33"/>
      <c r="FX33" s="34"/>
      <c r="FY33" s="33"/>
      <c r="FZ33" s="34"/>
      <c r="GA33" s="33"/>
      <c r="GB33" s="34"/>
      <c r="GC33" s="33"/>
      <c r="GD33" s="34"/>
      <c r="GE33" s="33"/>
      <c r="GF33" s="34"/>
      <c r="GG33" s="33"/>
      <c r="GH33" s="34"/>
      <c r="GI33" s="33"/>
      <c r="GJ33" s="34"/>
      <c r="GK33" s="33"/>
      <c r="GL33" s="34"/>
      <c r="GM33" s="33"/>
      <c r="GN33" s="34"/>
      <c r="GO33" s="33"/>
      <c r="GP33" s="34"/>
      <c r="GQ33" s="33"/>
      <c r="GR33" s="34"/>
      <c r="GS33" s="33"/>
      <c r="GT33" s="34"/>
      <c r="GU33" s="33"/>
      <c r="GV33" s="34"/>
      <c r="GW33" s="33"/>
      <c r="GX33" s="34"/>
      <c r="GY33" s="33"/>
      <c r="GZ33" s="34"/>
      <c r="HA33" s="33"/>
      <c r="HB33" s="34"/>
      <c r="HC33" s="33"/>
      <c r="HD33" s="34"/>
      <c r="HE33" s="33"/>
      <c r="HF33" s="34"/>
      <c r="HG33" s="33"/>
      <c r="HH33" s="34"/>
      <c r="HI33" s="33"/>
      <c r="HJ33" s="34"/>
      <c r="HK33" s="33"/>
      <c r="HL33" s="34"/>
      <c r="HM33" s="33"/>
      <c r="HN33" s="34"/>
      <c r="HO33" s="33"/>
      <c r="HP33" s="34"/>
      <c r="HQ33" s="33"/>
      <c r="HR33" s="34"/>
      <c r="HS33" s="33"/>
      <c r="HT33" s="34"/>
      <c r="HU33" s="33"/>
      <c r="HV33" s="34"/>
      <c r="HW33" s="33"/>
      <c r="HX33" s="34"/>
      <c r="HY33" s="33"/>
      <c r="HZ33" s="34"/>
      <c r="IA33" s="33"/>
      <c r="IB33" s="34"/>
      <c r="IC33" s="33"/>
      <c r="ID33" s="34"/>
      <c r="IE33" s="33"/>
      <c r="IF33" s="34"/>
      <c r="IG33" s="33"/>
      <c r="IH33" s="34"/>
      <c r="II33" s="33"/>
      <c r="IJ33" s="34"/>
      <c r="IK33" s="33"/>
      <c r="IL33" s="34"/>
      <c r="IM33" s="33"/>
      <c r="IN33" s="34"/>
      <c r="IO33" s="33"/>
      <c r="IP33" s="34"/>
      <c r="IQ33" s="33"/>
      <c r="IR33" s="34"/>
      <c r="IS33" s="33"/>
      <c r="IT33" s="34"/>
      <c r="IU33" s="33"/>
      <c r="IV33" s="34"/>
      <c r="IW33" s="33"/>
      <c r="IX33" s="34"/>
      <c r="IY33" s="33"/>
      <c r="IZ33" s="34"/>
      <c r="JA33" s="33"/>
      <c r="JB33" s="34"/>
      <c r="JC33" s="33"/>
      <c r="JD33" s="34"/>
      <c r="JE33" s="33"/>
      <c r="JF33" s="34"/>
      <c r="JG33" s="33"/>
      <c r="JH33" s="34"/>
      <c r="JI33" s="33"/>
      <c r="JJ33" s="34"/>
      <c r="JK33" s="33"/>
      <c r="JL33" s="34"/>
      <c r="JM33" s="33"/>
      <c r="JN33" s="34"/>
      <c r="JO33" s="33"/>
      <c r="JP33" s="34"/>
      <c r="JQ33" s="33"/>
      <c r="JR33" s="34"/>
      <c r="JS33" s="33"/>
      <c r="JT33" s="34"/>
      <c r="JU33" s="33"/>
      <c r="JV33" s="34"/>
      <c r="JW33" s="33"/>
      <c r="JX33" s="34"/>
      <c r="JY33" s="33"/>
      <c r="JZ33" s="34"/>
      <c r="KA33" s="33"/>
      <c r="KB33" s="34"/>
      <c r="KC33" s="33"/>
      <c r="KD33" s="34"/>
      <c r="KE33" s="33"/>
      <c r="KF33" s="34"/>
      <c r="KG33" s="33"/>
      <c r="KH33" s="34"/>
      <c r="KI33" s="33"/>
      <c r="KJ33" s="34"/>
      <c r="KK33" s="33"/>
      <c r="KL33" s="34"/>
      <c r="KM33" s="33"/>
      <c r="KN33" s="34"/>
      <c r="KO33" s="33"/>
      <c r="KP33" s="34"/>
      <c r="KQ33" s="33"/>
      <c r="KR33" s="34"/>
      <c r="KS33" s="33"/>
      <c r="KT33" s="34"/>
      <c r="KU33" s="33"/>
      <c r="KV33" s="34"/>
      <c r="KW33" s="33"/>
      <c r="KX33" s="34"/>
      <c r="KY33" s="33"/>
      <c r="KZ33" s="34"/>
      <c r="LA33" s="33"/>
      <c r="LB33" s="34"/>
      <c r="LC33" s="33"/>
      <c r="LD33" s="34"/>
      <c r="LE33" s="33"/>
      <c r="LF33" s="34"/>
      <c r="LG33" s="33"/>
      <c r="LH33" s="34"/>
      <c r="LI33" s="33"/>
      <c r="LJ33" s="34"/>
      <c r="LK33" s="33"/>
      <c r="LL33" s="34"/>
      <c r="LM33" s="33"/>
      <c r="LN33" s="34"/>
      <c r="LO33" s="33"/>
      <c r="LP33" s="34"/>
      <c r="LQ33" s="33"/>
      <c r="LR33" s="34"/>
      <c r="LS33" s="33"/>
      <c r="LT33" s="34"/>
      <c r="LU33" s="33"/>
      <c r="LV33" s="34"/>
      <c r="LW33" s="33"/>
      <c r="LX33" s="34"/>
      <c r="LY33" s="33"/>
      <c r="LZ33" s="34"/>
      <c r="MA33" s="33"/>
      <c r="MB33" s="34"/>
      <c r="MC33" s="33"/>
      <c r="MD33" s="34"/>
      <c r="ME33" s="33"/>
      <c r="MF33" s="34"/>
      <c r="MG33" s="33"/>
      <c r="MH33" s="34"/>
      <c r="MI33" s="33"/>
      <c r="MJ33" s="34"/>
      <c r="MK33" s="33"/>
      <c r="ML33" s="34"/>
      <c r="MM33" s="33"/>
      <c r="MN33" s="34"/>
      <c r="MO33" s="33"/>
      <c r="MP33" s="34"/>
      <c r="MQ33" s="33"/>
      <c r="MR33" s="34"/>
      <c r="MS33" s="33"/>
      <c r="MT33" s="34"/>
      <c r="MU33" s="33"/>
      <c r="MV33" s="34"/>
      <c r="MW33" s="33"/>
      <c r="MX33" s="34"/>
      <c r="MY33" s="33"/>
      <c r="MZ33" s="34"/>
      <c r="NA33" s="33"/>
      <c r="NB33" s="34"/>
      <c r="NC33" s="33"/>
      <c r="ND33" s="34"/>
      <c r="NE33" s="33"/>
      <c r="NF33" s="34"/>
      <c r="NG33" s="33"/>
      <c r="NH33" s="34"/>
      <c r="NI33" s="33"/>
      <c r="NJ33" s="34"/>
      <c r="NK33" s="33"/>
      <c r="NL33" s="34"/>
      <c r="NM33" s="33"/>
      <c r="NN33" s="34"/>
      <c r="NO33" s="33"/>
      <c r="NP33" s="34"/>
      <c r="NQ33" s="33"/>
      <c r="NR33" s="34"/>
      <c r="NS33" s="33"/>
      <c r="NT33" s="34"/>
      <c r="NU33" s="33"/>
      <c r="NV33" s="34"/>
      <c r="NW33" s="33"/>
      <c r="NX33" s="34"/>
      <c r="NY33" s="33"/>
      <c r="NZ33" s="34"/>
      <c r="OA33" s="33"/>
      <c r="OB33" s="34"/>
      <c r="OC33" s="33"/>
      <c r="OD33" s="34"/>
      <c r="OE33" s="33"/>
      <c r="OF33" s="34"/>
      <c r="OG33" s="33"/>
      <c r="OH33" s="34"/>
      <c r="OI33" s="33"/>
      <c r="OJ33" s="34"/>
      <c r="OK33" s="33"/>
      <c r="OL33" s="34"/>
      <c r="OM33" s="33"/>
      <c r="ON33" s="34"/>
      <c r="OO33" s="33"/>
      <c r="OP33" s="34"/>
      <c r="OQ33" s="33"/>
      <c r="OR33" s="34"/>
      <c r="OS33" s="33"/>
      <c r="OT33" s="34"/>
      <c r="OU33" s="33"/>
      <c r="OV33" s="34"/>
      <c r="OW33" s="33"/>
      <c r="OX33" s="34"/>
      <c r="OY33" s="33"/>
      <c r="OZ33" s="34"/>
      <c r="PA33" s="33"/>
      <c r="PB33" s="34"/>
      <c r="PC33" s="33"/>
      <c r="PD33" s="34"/>
      <c r="PE33" s="33"/>
      <c r="PF33" s="34"/>
      <c r="PG33" s="33"/>
      <c r="PH33" s="34"/>
      <c r="PI33" s="33"/>
      <c r="PJ33" s="34"/>
      <c r="PK33" s="33"/>
      <c r="PL33" s="34"/>
      <c r="PM33" s="33"/>
      <c r="PN33" s="34"/>
      <c r="PO33" s="33"/>
      <c r="PP33" s="34"/>
      <c r="PQ33" s="33"/>
      <c r="PR33" s="34"/>
      <c r="PS33" s="33"/>
      <c r="PT33" s="34"/>
      <c r="PU33" s="33"/>
      <c r="PV33" s="34"/>
      <c r="PW33" s="33"/>
      <c r="PX33" s="34"/>
      <c r="PY33" s="33"/>
      <c r="PZ33" s="34"/>
      <c r="QA33" s="33"/>
      <c r="QB33" s="34"/>
      <c r="QC33" s="33"/>
      <c r="QD33" s="34"/>
      <c r="QE33" s="33"/>
      <c r="QF33" s="34"/>
      <c r="QG33" s="33"/>
      <c r="QH33" s="34"/>
      <c r="QI33" s="33"/>
      <c r="QJ33" s="34"/>
      <c r="QK33" s="33"/>
      <c r="QL33" s="34"/>
      <c r="QM33" s="33"/>
      <c r="QN33" s="34"/>
      <c r="QO33" s="33"/>
      <c r="QP33" s="34"/>
      <c r="QQ33" s="33"/>
      <c r="QR33" s="34"/>
      <c r="QS33" s="33"/>
      <c r="QT33" s="34"/>
      <c r="QU33" s="33"/>
      <c r="QV33" s="34"/>
      <c r="QW33" s="33"/>
      <c r="QX33" s="34"/>
      <c r="QY33" s="33"/>
      <c r="QZ33" s="34"/>
      <c r="RA33" s="33"/>
      <c r="RB33" s="34"/>
      <c r="RC33" s="33"/>
      <c r="RD33" s="34"/>
      <c r="RE33" s="33"/>
      <c r="RF33" s="34"/>
      <c r="RG33" s="33"/>
      <c r="RH33" s="34"/>
      <c r="RI33" s="33"/>
      <c r="RJ33" s="34"/>
      <c r="RK33" s="33"/>
      <c r="RL33" s="34"/>
      <c r="RM33" s="33"/>
      <c r="RN33" s="34"/>
      <c r="RO33" s="33"/>
      <c r="RP33" s="34"/>
      <c r="RQ33" s="33"/>
      <c r="RR33" s="34"/>
      <c r="RS33" s="33"/>
      <c r="RT33" s="34"/>
      <c r="RU33" s="33"/>
      <c r="RV33" s="34"/>
      <c r="RW33" s="33"/>
      <c r="RX33" s="34"/>
      <c r="RY33" s="33"/>
      <c r="RZ33" s="34"/>
      <c r="SA33" s="33"/>
      <c r="SB33" s="34"/>
      <c r="SC33" s="33"/>
      <c r="SD33" s="34"/>
      <c r="SE33" s="33"/>
      <c r="SF33" s="34"/>
      <c r="SG33" s="33"/>
      <c r="SH33" s="34"/>
      <c r="SI33" s="33"/>
      <c r="SJ33" s="34"/>
      <c r="SK33" s="33"/>
      <c r="SL33" s="34"/>
      <c r="SM33" s="33"/>
      <c r="SN33" s="34"/>
      <c r="SO33" s="33"/>
      <c r="SP33" s="34"/>
      <c r="SQ33" s="33"/>
      <c r="SR33" s="34"/>
      <c r="SS33" s="33"/>
      <c r="ST33" s="34"/>
      <c r="SU33" s="33"/>
      <c r="SV33" s="34"/>
      <c r="SW33" s="33"/>
      <c r="SX33" s="34"/>
      <c r="SY33" s="33"/>
      <c r="SZ33" s="34"/>
      <c r="TA33" s="33"/>
      <c r="TB33" s="34"/>
      <c r="TC33" s="33"/>
      <c r="TD33" s="34"/>
      <c r="TE33" s="33"/>
      <c r="TF33" s="34"/>
      <c r="TG33" s="33"/>
      <c r="TH33" s="34"/>
      <c r="TI33" s="33"/>
      <c r="TJ33" s="34"/>
      <c r="TK33" s="33"/>
      <c r="TL33" s="34"/>
      <c r="TM33" s="33"/>
      <c r="TN33" s="34"/>
      <c r="TO33" s="33"/>
      <c r="TP33" s="34"/>
      <c r="TQ33" s="33"/>
      <c r="TR33" s="34"/>
      <c r="TS33" s="33"/>
      <c r="TT33" s="34"/>
      <c r="TU33" s="33"/>
      <c r="TV33" s="34"/>
      <c r="TW33" s="33"/>
      <c r="TX33" s="34"/>
      <c r="TY33" s="33"/>
      <c r="TZ33" s="34"/>
      <c r="UA33" s="33"/>
      <c r="UB33" s="34"/>
      <c r="UC33" s="33"/>
      <c r="UD33" s="34"/>
      <c r="UE33" s="33"/>
      <c r="UF33" s="34"/>
      <c r="UG33" s="33"/>
      <c r="UH33" s="34"/>
      <c r="UI33" s="33"/>
      <c r="UJ33" s="34"/>
      <c r="UK33" s="33"/>
      <c r="UL33" s="34"/>
      <c r="UM33" s="33"/>
      <c r="UN33" s="34"/>
      <c r="UO33" s="33"/>
      <c r="UP33" s="34"/>
      <c r="UQ33" s="33"/>
      <c r="UR33" s="34"/>
      <c r="US33" s="33"/>
      <c r="UT33" s="34"/>
      <c r="UU33" s="33"/>
      <c r="UV33" s="34"/>
      <c r="UW33" s="33"/>
      <c r="UX33" s="34"/>
      <c r="UY33" s="33"/>
      <c r="UZ33" s="34"/>
      <c r="VA33" s="33"/>
      <c r="VB33" s="34"/>
      <c r="VC33" s="33"/>
      <c r="VD33" s="34"/>
      <c r="VE33" s="33"/>
      <c r="VF33" s="34"/>
      <c r="VG33" s="33"/>
      <c r="VH33" s="34"/>
      <c r="VI33" s="33"/>
      <c r="VJ33" s="34"/>
      <c r="VK33" s="33"/>
      <c r="VL33" s="34"/>
      <c r="VM33" s="33"/>
      <c r="VN33" s="34"/>
      <c r="VO33" s="33"/>
      <c r="VP33" s="34"/>
      <c r="VQ33" s="33"/>
      <c r="VR33" s="34"/>
      <c r="VS33" s="33"/>
      <c r="VT33" s="34"/>
      <c r="VU33" s="33"/>
      <c r="VV33" s="34"/>
      <c r="VW33" s="33"/>
      <c r="VX33" s="34"/>
      <c r="VY33" s="33"/>
      <c r="VZ33" s="34"/>
      <c r="WA33" s="33"/>
      <c r="WB33" s="34"/>
      <c r="WC33" s="33"/>
      <c r="WD33" s="34"/>
      <c r="WE33" s="33"/>
      <c r="WF33" s="34"/>
    </row>
    <row r="34" spans="1:604" s="31" customFormat="1" ht="15.75" customHeight="1" x14ac:dyDescent="0.35">
      <c r="A34" s="76">
        <f>presupuesto!B25</f>
        <v>0</v>
      </c>
      <c r="B34" s="76">
        <f>IFERROR(VLOOKUP(A34,#REF!,3,FALSE),0)</f>
        <v>0</v>
      </c>
      <c r="C34" s="77" t="str">
        <f>presupuesto!C25</f>
        <v xml:space="preserve">   CAPÍTULO II: OBRAS IMPULSIÓN A ESTANQUE</v>
      </c>
      <c r="D34" s="78">
        <f>presupuesto!D25</f>
        <v>0</v>
      </c>
      <c r="E34" s="79">
        <f>presupuesto!E25</f>
        <v>0</v>
      </c>
      <c r="F34" s="74">
        <f>presupuesto!F25</f>
        <v>0</v>
      </c>
      <c r="G34" s="83">
        <f t="shared" si="0"/>
        <v>0</v>
      </c>
      <c r="H34" s="75">
        <f>IFERROR(VLOOKUP(A34,presupuesto!B:R,17,FALSE),0)*E34</f>
        <v>0</v>
      </c>
      <c r="I34" s="73">
        <f>IFERROR(VLOOKUP(A34,seguimiento!C:F,4,FALSE),0)</f>
        <v>0</v>
      </c>
      <c r="J34" s="73">
        <f t="shared" si="2"/>
        <v>0</v>
      </c>
    </row>
    <row r="35" spans="1:604" s="31" customFormat="1" ht="15.5" x14ac:dyDescent="0.35">
      <c r="A35" s="82" t="str">
        <f>presupuesto!B26</f>
        <v>A.-</v>
      </c>
      <c r="B35" s="82">
        <f>IFERROR(VLOOKUP(A35,#REF!,3,FALSE),0)</f>
        <v>0</v>
      </c>
      <c r="C35" s="77" t="str">
        <f>presupuesto!C26</f>
        <v xml:space="preserve">      MOVIMIENTO DE TIERRAS</v>
      </c>
      <c r="D35" s="78">
        <f>presupuesto!D26</f>
        <v>0</v>
      </c>
      <c r="E35" s="79">
        <f>presupuesto!E26</f>
        <v>0</v>
      </c>
      <c r="F35" s="74">
        <f>presupuesto!F26</f>
        <v>0</v>
      </c>
      <c r="G35" s="83">
        <f t="shared" si="0"/>
        <v>0</v>
      </c>
      <c r="H35" s="75">
        <f>IFERROR(VLOOKUP(A35,presupuesto!B:R,17,FALSE),0)*E35</f>
        <v>0</v>
      </c>
      <c r="I35" s="73">
        <f>IFERROR(VLOOKUP(A35,seguimiento!C:F,4,FALSE),0)</f>
        <v>0</v>
      </c>
      <c r="J35" s="73">
        <f t="shared" si="2"/>
        <v>0</v>
      </c>
    </row>
    <row r="36" spans="1:604" s="32" customFormat="1" ht="15.5" x14ac:dyDescent="0.35">
      <c r="A36" s="84">
        <f>presupuesto!B27</f>
        <v>14</v>
      </c>
      <c r="B36" s="84">
        <f>IFERROR(VLOOKUP(A36,#REF!,3,FALSE),0)</f>
        <v>0</v>
      </c>
      <c r="C36" s="85" t="str">
        <f>presupuesto!C27</f>
        <v xml:space="preserve">         Excavación de zanja, terreno Tipo III</v>
      </c>
      <c r="D36" s="86" t="str">
        <f>presupuesto!D27</f>
        <v>m3</v>
      </c>
      <c r="E36" s="87">
        <f>presupuesto!E27</f>
        <v>860.14</v>
      </c>
      <c r="F36" s="70" t="str">
        <f>presupuesto!F27</f>
        <v>Tabla: Partida</v>
      </c>
      <c r="G36" s="83" t="e">
        <f t="shared" si="0"/>
        <v>#VALUE!</v>
      </c>
      <c r="H36" s="75">
        <f>IFERROR(VLOOKUP(A36,presupuesto!B:R,17,FALSE),0)*E36</f>
        <v>0</v>
      </c>
      <c r="I36" s="73">
        <f>IFERROR(VLOOKUP(A36,seguimiento!C:F,4,FALSE),0)</f>
        <v>0</v>
      </c>
      <c r="J36" s="73">
        <f t="shared" si="2"/>
        <v>0</v>
      </c>
    </row>
    <row r="37" spans="1:604" s="32" customFormat="1" ht="15.5" x14ac:dyDescent="0.35">
      <c r="A37" s="84">
        <f>presupuesto!B28</f>
        <v>15</v>
      </c>
      <c r="B37" s="84">
        <f>IFERROR(VLOOKUP(A37,#REF!,3,FALSE),0)</f>
        <v>0</v>
      </c>
      <c r="C37" s="85" t="str">
        <f>presupuesto!C28</f>
        <v xml:space="preserve">         Base de apoyo</v>
      </c>
      <c r="D37" s="86" t="str">
        <f>presupuesto!D28</f>
        <v>m3</v>
      </c>
      <c r="E37" s="87">
        <f>presupuesto!E28</f>
        <v>99.2</v>
      </c>
      <c r="F37" s="70" t="str">
        <f>presupuesto!F28</f>
        <v>Tabla: Partida</v>
      </c>
      <c r="G37" s="83" t="e">
        <f t="shared" si="0"/>
        <v>#VALUE!</v>
      </c>
      <c r="H37" s="75">
        <f>IFERROR(VLOOKUP(A37,presupuesto!B:R,17,FALSE),0)*E37</f>
        <v>0</v>
      </c>
      <c r="I37" s="73">
        <f>IFERROR(VLOOKUP(A37,seguimiento!C:F,4,FALSE),0)</f>
        <v>0</v>
      </c>
      <c r="J37" s="73">
        <f t="shared" si="2"/>
        <v>0</v>
      </c>
    </row>
    <row r="38" spans="1:604" s="32" customFormat="1" ht="15.5" x14ac:dyDescent="0.35">
      <c r="A38" s="84">
        <f>presupuesto!B29</f>
        <v>16</v>
      </c>
      <c r="B38" s="84">
        <f>IFERROR(VLOOKUP(A38,#REF!,3,FALSE),0)</f>
        <v>0</v>
      </c>
      <c r="C38" s="85" t="str">
        <f>presupuesto!C29</f>
        <v xml:space="preserve">         Relleno de zanja</v>
      </c>
      <c r="D38" s="86" t="str">
        <f>presupuesto!D29</f>
        <v>m3</v>
      </c>
      <c r="E38" s="87">
        <f>presupuesto!E29</f>
        <v>754.44</v>
      </c>
      <c r="F38" s="70" t="str">
        <f>presupuesto!F29</f>
        <v>Tabla: Partida</v>
      </c>
      <c r="G38" s="83" t="e">
        <f t="shared" si="0"/>
        <v>#VALUE!</v>
      </c>
      <c r="H38" s="75">
        <f>IFERROR(VLOOKUP(A38,presupuesto!B:R,17,FALSE),0)*E38</f>
        <v>0</v>
      </c>
      <c r="I38" s="73">
        <f>IFERROR(VLOOKUP(A38,seguimiento!C:F,4,FALSE),0)</f>
        <v>0</v>
      </c>
      <c r="J38" s="73">
        <f t="shared" si="2"/>
        <v>0</v>
      </c>
    </row>
    <row r="39" spans="1:604" s="32" customFormat="1" ht="15.5" x14ac:dyDescent="0.35">
      <c r="A39" s="84">
        <f>presupuesto!B30</f>
        <v>17</v>
      </c>
      <c r="B39" s="84">
        <f>IFERROR(VLOOKUP(A39,#REF!,3,FALSE),0)</f>
        <v>0</v>
      </c>
      <c r="C39" s="85" t="str">
        <f>presupuesto!C30</f>
        <v xml:space="preserve">         Retiro de excedentes</v>
      </c>
      <c r="D39" s="86" t="str">
        <f>presupuesto!D30</f>
        <v>m3</v>
      </c>
      <c r="E39" s="87">
        <f>presupuesto!E30</f>
        <v>288.31</v>
      </c>
      <c r="F39" s="70" t="str">
        <f>presupuesto!F30</f>
        <v>Tabla: Partida</v>
      </c>
      <c r="G39" s="83" t="e">
        <f t="shared" si="0"/>
        <v>#VALUE!</v>
      </c>
      <c r="H39" s="75">
        <f>IFERROR(VLOOKUP(A39,presupuesto!B:R,17,FALSE),0)*E39</f>
        <v>0</v>
      </c>
      <c r="I39" s="73">
        <f>IFERROR(VLOOKUP(A39,seguimiento!C:F,4,FALSE),0)</f>
        <v>0</v>
      </c>
      <c r="J39" s="73">
        <f t="shared" si="2"/>
        <v>0</v>
      </c>
    </row>
    <row r="40" spans="1:604" s="31" customFormat="1" ht="15.5" x14ac:dyDescent="0.35">
      <c r="A40" s="82" t="str">
        <f>presupuesto!B31</f>
        <v>B.-</v>
      </c>
      <c r="B40" s="82">
        <f>IFERROR(VLOOKUP(A40,#REF!,3,FALSE),0)</f>
        <v>0</v>
      </c>
      <c r="C40" s="77" t="str">
        <f>presupuesto!C31</f>
        <v xml:space="preserve">      INTERCONEXIONES HIDRÁULICAS</v>
      </c>
      <c r="D40" s="78">
        <f>presupuesto!D31</f>
        <v>0</v>
      </c>
      <c r="E40" s="79">
        <f>presupuesto!E31</f>
        <v>0</v>
      </c>
      <c r="F40" s="74">
        <f>presupuesto!F31</f>
        <v>0</v>
      </c>
      <c r="G40" s="83">
        <f t="shared" si="0"/>
        <v>0</v>
      </c>
      <c r="H40" s="75">
        <f>IFERROR(VLOOKUP(A40,presupuesto!B:R,17,FALSE),0)*E40</f>
        <v>0</v>
      </c>
      <c r="I40" s="73">
        <f>IFERROR(VLOOKUP(A40,seguimiento!C:F,4,FALSE),0)</f>
        <v>0</v>
      </c>
      <c r="J40" s="73">
        <f t="shared" si="2"/>
        <v>0</v>
      </c>
    </row>
    <row r="41" spans="1:604" s="32" customFormat="1" ht="15.5" x14ac:dyDescent="0.35">
      <c r="A41" s="82" t="str">
        <f>presupuesto!B32</f>
        <v>B.1.-</v>
      </c>
      <c r="B41" s="82">
        <f>IFERROR(VLOOKUP(A41,#REF!,3,FALSE),0)</f>
        <v>0</v>
      </c>
      <c r="C41" s="77" t="str">
        <f>presupuesto!C32</f>
        <v xml:space="preserve">         Suministro, transporte, transporte interno, colocación y prueba de Tuberías de HDPE</v>
      </c>
      <c r="D41" s="78">
        <f>presupuesto!D32</f>
        <v>0</v>
      </c>
      <c r="E41" s="79">
        <f>presupuesto!E32</f>
        <v>0</v>
      </c>
      <c r="F41" s="74">
        <f>presupuesto!F32</f>
        <v>0</v>
      </c>
      <c r="G41" s="83">
        <f t="shared" si="0"/>
        <v>0</v>
      </c>
      <c r="H41" s="75">
        <f>IFERROR(VLOOKUP(A41,presupuesto!B:R,17,FALSE),0)*E41</f>
        <v>0</v>
      </c>
      <c r="I41" s="73">
        <f>IFERROR(VLOOKUP(A41,seguimiento!C:F,4,FALSE),0)</f>
        <v>0</v>
      </c>
      <c r="J41" s="73">
        <f t="shared" si="2"/>
        <v>0</v>
      </c>
    </row>
    <row r="42" spans="1:604" s="32" customFormat="1" ht="15.5" x14ac:dyDescent="0.35">
      <c r="A42" s="84">
        <f>presupuesto!B33</f>
        <v>18</v>
      </c>
      <c r="B42" s="84">
        <f>IFERROR(VLOOKUP(A42,#REF!,3,FALSE),0)</f>
        <v>0</v>
      </c>
      <c r="C42" s="85" t="str">
        <f>presupuesto!C33</f>
        <v xml:space="preserve">            Cañería de HDPE PN 16 D = 75 mm</v>
      </c>
      <c r="D42" s="86" t="str">
        <f>presupuesto!D33</f>
        <v>m</v>
      </c>
      <c r="E42" s="87">
        <f>presupuesto!E33</f>
        <v>1470</v>
      </c>
      <c r="F42" s="70" t="str">
        <f>presupuesto!F33</f>
        <v>Tabla: Partida</v>
      </c>
      <c r="G42" s="83" t="e">
        <f t="shared" si="0"/>
        <v>#VALUE!</v>
      </c>
      <c r="H42" s="75">
        <f>IFERROR(VLOOKUP(A42,presupuesto!B:R,17,FALSE),0)*E42</f>
        <v>0</v>
      </c>
      <c r="I42" s="73">
        <f>IFERROR(VLOOKUP(A42,seguimiento!C:F,4,FALSE),0)</f>
        <v>0</v>
      </c>
      <c r="J42" s="73">
        <f t="shared" si="2"/>
        <v>0</v>
      </c>
    </row>
    <row r="43" spans="1:604" s="32" customFormat="1" ht="15.5" x14ac:dyDescent="0.35">
      <c r="A43" s="82" t="str">
        <f>presupuesto!B34</f>
        <v>B.2.-</v>
      </c>
      <c r="B43" s="82">
        <f>IFERROR(VLOOKUP(A43,#REF!,3,FALSE),0)</f>
        <v>0</v>
      </c>
      <c r="C43" s="77" t="str">
        <f>presupuesto!C34</f>
        <v xml:space="preserve">         Suministro, transporte, transporte interno, colocación y prueba de Tuberías de Acero Galvanizado</v>
      </c>
      <c r="D43" s="78">
        <f>presupuesto!D34</f>
        <v>0</v>
      </c>
      <c r="E43" s="79">
        <f>presupuesto!E34</f>
        <v>0</v>
      </c>
      <c r="F43" s="74">
        <f>presupuesto!F34</f>
        <v>0</v>
      </c>
      <c r="G43" s="83">
        <f t="shared" si="0"/>
        <v>0</v>
      </c>
      <c r="H43" s="75">
        <f>IFERROR(VLOOKUP(A43,presupuesto!B:R,17,FALSE),0)*E43</f>
        <v>0</v>
      </c>
      <c r="I43" s="73">
        <f>IFERROR(VLOOKUP(A43,seguimiento!C:F,4,FALSE),0)</f>
        <v>0</v>
      </c>
      <c r="J43" s="73">
        <f t="shared" si="2"/>
        <v>0</v>
      </c>
    </row>
    <row r="44" spans="1:604" s="35" customFormat="1" ht="15.5" x14ac:dyDescent="0.35">
      <c r="A44" s="84">
        <f>presupuesto!B35</f>
        <v>19</v>
      </c>
      <c r="B44" s="84">
        <f>IFERROR(VLOOKUP(A44,#REF!,3,FALSE),0)</f>
        <v>0</v>
      </c>
      <c r="C44" s="85" t="str">
        <f>presupuesto!C35</f>
        <v xml:space="preserve">            Cañeria de acero galvanizadp D=6"</v>
      </c>
      <c r="D44" s="86" t="str">
        <f>presupuesto!D35</f>
        <v>m</v>
      </c>
      <c r="E44" s="87">
        <f>presupuesto!E35</f>
        <v>23</v>
      </c>
      <c r="F44" s="70" t="str">
        <f>presupuesto!F35</f>
        <v>Tabla: Partida</v>
      </c>
      <c r="G44" s="83" t="e">
        <f t="shared" si="0"/>
        <v>#VALUE!</v>
      </c>
      <c r="H44" s="75">
        <f>IFERROR(VLOOKUP(A44,presupuesto!B:R,17,FALSE),0)*E44</f>
        <v>0</v>
      </c>
      <c r="I44" s="73">
        <f>IFERROR(VLOOKUP(A44,seguimiento!C:F,4,FALSE),0)</f>
        <v>0</v>
      </c>
      <c r="J44" s="73">
        <f t="shared" si="2"/>
        <v>0</v>
      </c>
      <c r="K44" s="33"/>
      <c r="L44" s="34"/>
      <c r="M44" s="33"/>
      <c r="N44" s="34"/>
      <c r="O44" s="33"/>
      <c r="P44" s="34"/>
      <c r="Q44" s="33"/>
      <c r="R44" s="34"/>
      <c r="S44" s="33"/>
      <c r="T44" s="34"/>
      <c r="U44" s="33"/>
      <c r="V44" s="34"/>
      <c r="W44" s="33"/>
      <c r="X44" s="34"/>
      <c r="Y44" s="33"/>
      <c r="Z44" s="34"/>
      <c r="AA44" s="33"/>
      <c r="AB44" s="34"/>
      <c r="AC44" s="33"/>
      <c r="AD44" s="34"/>
      <c r="AE44" s="33"/>
      <c r="AF44" s="34"/>
      <c r="AG44" s="33"/>
      <c r="AH44" s="34"/>
      <c r="AI44" s="33"/>
      <c r="AJ44" s="34"/>
      <c r="AK44" s="33"/>
      <c r="AL44" s="34"/>
      <c r="AM44" s="33"/>
      <c r="AN44" s="34"/>
      <c r="AO44" s="33"/>
      <c r="AP44" s="34"/>
      <c r="AQ44" s="33"/>
      <c r="AR44" s="34"/>
      <c r="AS44" s="33"/>
      <c r="AT44" s="34"/>
      <c r="AU44" s="33"/>
      <c r="AV44" s="34"/>
      <c r="AW44" s="33"/>
      <c r="AX44" s="34"/>
      <c r="AY44" s="33"/>
      <c r="AZ44" s="34"/>
      <c r="BA44" s="33"/>
      <c r="BB44" s="34"/>
      <c r="BC44" s="33"/>
      <c r="BD44" s="34"/>
      <c r="BE44" s="33"/>
      <c r="BF44" s="34"/>
      <c r="BG44" s="33"/>
      <c r="BH44" s="34"/>
      <c r="BI44" s="33"/>
      <c r="BJ44" s="34"/>
      <c r="BK44" s="33"/>
      <c r="BL44" s="34"/>
      <c r="BM44" s="33"/>
      <c r="BN44" s="34"/>
      <c r="BO44" s="33"/>
      <c r="BP44" s="34"/>
      <c r="BQ44" s="33"/>
      <c r="BR44" s="34"/>
      <c r="BS44" s="33"/>
      <c r="BT44" s="34"/>
      <c r="BU44" s="33"/>
      <c r="BV44" s="34"/>
      <c r="BW44" s="33"/>
      <c r="BX44" s="34"/>
      <c r="BY44" s="33"/>
      <c r="BZ44" s="34"/>
      <c r="CA44" s="33"/>
      <c r="CB44" s="34"/>
      <c r="CC44" s="33"/>
      <c r="CD44" s="34"/>
      <c r="CE44" s="33"/>
      <c r="CF44" s="34"/>
      <c r="CG44" s="33"/>
      <c r="CH44" s="34"/>
      <c r="CI44" s="33"/>
      <c r="CJ44" s="34"/>
      <c r="CK44" s="33"/>
      <c r="CL44" s="34"/>
      <c r="CM44" s="33"/>
      <c r="CN44" s="34"/>
      <c r="CO44" s="33"/>
      <c r="CP44" s="34"/>
      <c r="CQ44" s="33"/>
      <c r="CR44" s="34"/>
      <c r="CS44" s="33"/>
      <c r="CT44" s="34"/>
      <c r="CU44" s="33"/>
      <c r="CV44" s="34"/>
      <c r="CW44" s="33"/>
      <c r="CX44" s="34"/>
      <c r="CY44" s="33"/>
      <c r="CZ44" s="34"/>
      <c r="DA44" s="33"/>
      <c r="DB44" s="34"/>
      <c r="DC44" s="33"/>
      <c r="DD44" s="34"/>
      <c r="DE44" s="33"/>
      <c r="DF44" s="34"/>
      <c r="DG44" s="33"/>
      <c r="DH44" s="34"/>
      <c r="DI44" s="33"/>
      <c r="DJ44" s="34"/>
      <c r="DK44" s="33"/>
      <c r="DL44" s="34"/>
      <c r="DM44" s="33"/>
      <c r="DN44" s="34"/>
      <c r="DO44" s="33"/>
      <c r="DP44" s="34"/>
      <c r="DQ44" s="33"/>
      <c r="DR44" s="34"/>
      <c r="DS44" s="33"/>
      <c r="DT44" s="34"/>
      <c r="DU44" s="33"/>
      <c r="DV44" s="34"/>
      <c r="DW44" s="33"/>
      <c r="DX44" s="34"/>
      <c r="DY44" s="33"/>
      <c r="DZ44" s="34"/>
      <c r="EA44" s="33"/>
      <c r="EB44" s="34"/>
      <c r="EC44" s="33"/>
      <c r="ED44" s="34"/>
      <c r="EE44" s="33"/>
      <c r="EF44" s="34"/>
      <c r="EG44" s="33"/>
      <c r="EH44" s="34"/>
      <c r="EI44" s="33"/>
      <c r="EJ44" s="34"/>
      <c r="EK44" s="33"/>
      <c r="EL44" s="34"/>
      <c r="EM44" s="33"/>
      <c r="EN44" s="34"/>
      <c r="EO44" s="33"/>
      <c r="EP44" s="34"/>
      <c r="EQ44" s="33"/>
      <c r="ER44" s="34"/>
      <c r="ES44" s="33"/>
      <c r="ET44" s="34"/>
      <c r="EU44" s="33"/>
      <c r="EV44" s="34"/>
      <c r="EW44" s="33"/>
      <c r="EX44" s="34"/>
      <c r="EY44" s="33"/>
      <c r="EZ44" s="34"/>
      <c r="FA44" s="33"/>
      <c r="FB44" s="34"/>
      <c r="FC44" s="33"/>
      <c r="FD44" s="34"/>
      <c r="FE44" s="33"/>
      <c r="FF44" s="34"/>
      <c r="FG44" s="33"/>
      <c r="FH44" s="34"/>
      <c r="FI44" s="33"/>
      <c r="FJ44" s="34"/>
      <c r="FK44" s="33"/>
      <c r="FL44" s="34"/>
      <c r="FM44" s="33"/>
      <c r="FN44" s="34"/>
      <c r="FO44" s="33"/>
      <c r="FP44" s="34"/>
      <c r="FQ44" s="33"/>
      <c r="FR44" s="34"/>
      <c r="FS44" s="33"/>
      <c r="FT44" s="34"/>
      <c r="FU44" s="33"/>
      <c r="FV44" s="34"/>
      <c r="FW44" s="33"/>
      <c r="FX44" s="34"/>
      <c r="FY44" s="33"/>
      <c r="FZ44" s="34"/>
      <c r="GA44" s="33"/>
      <c r="GB44" s="34"/>
      <c r="GC44" s="33"/>
      <c r="GD44" s="34"/>
      <c r="GE44" s="33"/>
      <c r="GF44" s="34"/>
      <c r="GG44" s="33"/>
      <c r="GH44" s="34"/>
      <c r="GI44" s="33"/>
      <c r="GJ44" s="34"/>
      <c r="GK44" s="33"/>
      <c r="GL44" s="34"/>
      <c r="GM44" s="33"/>
      <c r="GN44" s="34"/>
      <c r="GO44" s="33"/>
      <c r="GP44" s="34"/>
      <c r="GQ44" s="33"/>
      <c r="GR44" s="34"/>
      <c r="GS44" s="33"/>
      <c r="GT44" s="34"/>
      <c r="GU44" s="33"/>
      <c r="GV44" s="34"/>
      <c r="GW44" s="33"/>
      <c r="GX44" s="34"/>
      <c r="GY44" s="33"/>
      <c r="GZ44" s="34"/>
      <c r="HA44" s="33"/>
      <c r="HB44" s="34"/>
      <c r="HC44" s="33"/>
      <c r="HD44" s="34"/>
      <c r="HE44" s="33"/>
      <c r="HF44" s="34"/>
      <c r="HG44" s="33"/>
      <c r="HH44" s="34"/>
      <c r="HI44" s="33"/>
      <c r="HJ44" s="34"/>
      <c r="HK44" s="33"/>
      <c r="HL44" s="34"/>
      <c r="HM44" s="33"/>
      <c r="HN44" s="34"/>
      <c r="HO44" s="33"/>
      <c r="HP44" s="34"/>
      <c r="HQ44" s="33"/>
      <c r="HR44" s="34"/>
      <c r="HS44" s="33"/>
      <c r="HT44" s="34"/>
      <c r="HU44" s="33"/>
      <c r="HV44" s="34"/>
      <c r="HW44" s="33"/>
      <c r="HX44" s="34"/>
      <c r="HY44" s="33"/>
      <c r="HZ44" s="34"/>
      <c r="IA44" s="33"/>
      <c r="IB44" s="34"/>
      <c r="IC44" s="33"/>
      <c r="ID44" s="34"/>
      <c r="IE44" s="33"/>
      <c r="IF44" s="34"/>
      <c r="IG44" s="33"/>
      <c r="IH44" s="34"/>
      <c r="II44" s="33"/>
      <c r="IJ44" s="34"/>
      <c r="IK44" s="33"/>
      <c r="IL44" s="34"/>
      <c r="IM44" s="33"/>
      <c r="IN44" s="34"/>
      <c r="IO44" s="33"/>
      <c r="IP44" s="34"/>
      <c r="IQ44" s="33"/>
      <c r="IR44" s="34"/>
      <c r="IS44" s="33"/>
      <c r="IT44" s="34"/>
      <c r="IU44" s="33"/>
      <c r="IV44" s="34"/>
      <c r="IW44" s="33"/>
      <c r="IX44" s="34"/>
      <c r="IY44" s="33"/>
      <c r="IZ44" s="34"/>
      <c r="JA44" s="33"/>
      <c r="JB44" s="34"/>
      <c r="JC44" s="33"/>
      <c r="JD44" s="34"/>
      <c r="JE44" s="33"/>
      <c r="JF44" s="34"/>
      <c r="JG44" s="33"/>
      <c r="JH44" s="34"/>
      <c r="JI44" s="33"/>
      <c r="JJ44" s="34"/>
      <c r="JK44" s="33"/>
      <c r="JL44" s="34"/>
      <c r="JM44" s="33"/>
      <c r="JN44" s="34"/>
      <c r="JO44" s="33"/>
      <c r="JP44" s="34"/>
      <c r="JQ44" s="33"/>
      <c r="JR44" s="34"/>
      <c r="JS44" s="33"/>
      <c r="JT44" s="34"/>
      <c r="JU44" s="33"/>
      <c r="JV44" s="34"/>
      <c r="JW44" s="33"/>
      <c r="JX44" s="34"/>
      <c r="JY44" s="33"/>
      <c r="JZ44" s="34"/>
      <c r="KA44" s="33"/>
      <c r="KB44" s="34"/>
      <c r="KC44" s="33"/>
      <c r="KD44" s="34"/>
      <c r="KE44" s="33"/>
      <c r="KF44" s="34"/>
      <c r="KG44" s="33"/>
      <c r="KH44" s="34"/>
      <c r="KI44" s="33"/>
      <c r="KJ44" s="34"/>
      <c r="KK44" s="33"/>
      <c r="KL44" s="34"/>
      <c r="KM44" s="33"/>
      <c r="KN44" s="34"/>
      <c r="KO44" s="33"/>
      <c r="KP44" s="34"/>
      <c r="KQ44" s="33"/>
      <c r="KR44" s="34"/>
      <c r="KS44" s="33"/>
      <c r="KT44" s="34"/>
      <c r="KU44" s="33"/>
      <c r="KV44" s="34"/>
      <c r="KW44" s="33"/>
      <c r="KX44" s="34"/>
      <c r="KY44" s="33"/>
      <c r="KZ44" s="34"/>
      <c r="LA44" s="33"/>
      <c r="LB44" s="34"/>
      <c r="LC44" s="33"/>
      <c r="LD44" s="34"/>
      <c r="LE44" s="33"/>
      <c r="LF44" s="34"/>
      <c r="LG44" s="33"/>
      <c r="LH44" s="34"/>
      <c r="LI44" s="33"/>
      <c r="LJ44" s="34"/>
      <c r="LK44" s="33"/>
      <c r="LL44" s="34"/>
      <c r="LM44" s="33"/>
      <c r="LN44" s="34"/>
      <c r="LO44" s="33"/>
      <c r="LP44" s="34"/>
      <c r="LQ44" s="33"/>
      <c r="LR44" s="34"/>
      <c r="LS44" s="33"/>
      <c r="LT44" s="34"/>
      <c r="LU44" s="33"/>
      <c r="LV44" s="34"/>
      <c r="LW44" s="33"/>
      <c r="LX44" s="34"/>
      <c r="LY44" s="33"/>
      <c r="LZ44" s="34"/>
      <c r="MA44" s="33"/>
      <c r="MB44" s="34"/>
      <c r="MC44" s="33"/>
      <c r="MD44" s="34"/>
      <c r="ME44" s="33"/>
      <c r="MF44" s="34"/>
      <c r="MG44" s="33"/>
      <c r="MH44" s="34"/>
      <c r="MI44" s="33"/>
      <c r="MJ44" s="34"/>
      <c r="MK44" s="33"/>
      <c r="ML44" s="34"/>
      <c r="MM44" s="33"/>
      <c r="MN44" s="34"/>
      <c r="MO44" s="33"/>
      <c r="MP44" s="34"/>
      <c r="MQ44" s="33"/>
      <c r="MR44" s="34"/>
      <c r="MS44" s="33"/>
      <c r="MT44" s="34"/>
      <c r="MU44" s="33"/>
      <c r="MV44" s="34"/>
      <c r="MW44" s="33"/>
      <c r="MX44" s="34"/>
      <c r="MY44" s="33"/>
      <c r="MZ44" s="34"/>
      <c r="NA44" s="33"/>
      <c r="NB44" s="34"/>
      <c r="NC44" s="33"/>
      <c r="ND44" s="34"/>
      <c r="NE44" s="33"/>
      <c r="NF44" s="34"/>
      <c r="NG44" s="33"/>
      <c r="NH44" s="34"/>
      <c r="NI44" s="33"/>
      <c r="NJ44" s="34"/>
      <c r="NK44" s="33"/>
      <c r="NL44" s="34"/>
      <c r="NM44" s="33"/>
      <c r="NN44" s="34"/>
      <c r="NO44" s="33"/>
      <c r="NP44" s="34"/>
      <c r="NQ44" s="33"/>
      <c r="NR44" s="34"/>
      <c r="NS44" s="33"/>
      <c r="NT44" s="34"/>
      <c r="NU44" s="33"/>
      <c r="NV44" s="34"/>
      <c r="NW44" s="33"/>
      <c r="NX44" s="34"/>
      <c r="NY44" s="33"/>
      <c r="NZ44" s="34"/>
      <c r="OA44" s="33"/>
      <c r="OB44" s="34"/>
      <c r="OC44" s="33"/>
      <c r="OD44" s="34"/>
      <c r="OE44" s="33"/>
      <c r="OF44" s="34"/>
      <c r="OG44" s="33"/>
      <c r="OH44" s="34"/>
      <c r="OI44" s="33"/>
      <c r="OJ44" s="34"/>
      <c r="OK44" s="33"/>
      <c r="OL44" s="34"/>
      <c r="OM44" s="33"/>
      <c r="ON44" s="34"/>
      <c r="OO44" s="33"/>
      <c r="OP44" s="34"/>
      <c r="OQ44" s="33"/>
      <c r="OR44" s="34"/>
      <c r="OS44" s="33"/>
      <c r="OT44" s="34"/>
      <c r="OU44" s="33"/>
      <c r="OV44" s="34"/>
      <c r="OW44" s="33"/>
      <c r="OX44" s="34"/>
      <c r="OY44" s="33"/>
      <c r="OZ44" s="34"/>
      <c r="PA44" s="33"/>
      <c r="PB44" s="34"/>
      <c r="PC44" s="33"/>
      <c r="PD44" s="34"/>
      <c r="PE44" s="33"/>
      <c r="PF44" s="34"/>
      <c r="PG44" s="33"/>
      <c r="PH44" s="34"/>
      <c r="PI44" s="33"/>
      <c r="PJ44" s="34"/>
      <c r="PK44" s="33"/>
      <c r="PL44" s="34"/>
      <c r="PM44" s="33"/>
      <c r="PN44" s="34"/>
      <c r="PO44" s="33"/>
      <c r="PP44" s="34"/>
      <c r="PQ44" s="33"/>
      <c r="PR44" s="34"/>
      <c r="PS44" s="33"/>
      <c r="PT44" s="34"/>
      <c r="PU44" s="33"/>
      <c r="PV44" s="34"/>
      <c r="PW44" s="33"/>
      <c r="PX44" s="34"/>
      <c r="PY44" s="33"/>
      <c r="PZ44" s="34"/>
      <c r="QA44" s="33"/>
      <c r="QB44" s="34"/>
      <c r="QC44" s="33"/>
      <c r="QD44" s="34"/>
      <c r="QE44" s="33"/>
      <c r="QF44" s="34"/>
      <c r="QG44" s="33"/>
      <c r="QH44" s="34"/>
      <c r="QI44" s="33"/>
      <c r="QJ44" s="34"/>
      <c r="QK44" s="33"/>
      <c r="QL44" s="34"/>
      <c r="QM44" s="33"/>
      <c r="QN44" s="34"/>
      <c r="QO44" s="33"/>
      <c r="QP44" s="34"/>
      <c r="QQ44" s="33"/>
      <c r="QR44" s="34"/>
      <c r="QS44" s="33"/>
      <c r="QT44" s="34"/>
      <c r="QU44" s="33"/>
      <c r="QV44" s="34"/>
      <c r="QW44" s="33"/>
      <c r="QX44" s="34"/>
      <c r="QY44" s="33"/>
      <c r="QZ44" s="34"/>
      <c r="RA44" s="33"/>
      <c r="RB44" s="34"/>
      <c r="RC44" s="33"/>
      <c r="RD44" s="34"/>
      <c r="RE44" s="33"/>
      <c r="RF44" s="34"/>
      <c r="RG44" s="33"/>
      <c r="RH44" s="34"/>
      <c r="RI44" s="33"/>
      <c r="RJ44" s="34"/>
      <c r="RK44" s="33"/>
      <c r="RL44" s="34"/>
      <c r="RM44" s="33"/>
      <c r="RN44" s="34"/>
      <c r="RO44" s="33"/>
      <c r="RP44" s="34"/>
      <c r="RQ44" s="33"/>
      <c r="RR44" s="34"/>
      <c r="RS44" s="33"/>
      <c r="RT44" s="34"/>
      <c r="RU44" s="33"/>
      <c r="RV44" s="34"/>
      <c r="RW44" s="33"/>
      <c r="RX44" s="34"/>
      <c r="RY44" s="33"/>
      <c r="RZ44" s="34"/>
      <c r="SA44" s="33"/>
      <c r="SB44" s="34"/>
      <c r="SC44" s="33"/>
      <c r="SD44" s="34"/>
      <c r="SE44" s="33"/>
      <c r="SF44" s="34"/>
      <c r="SG44" s="33"/>
      <c r="SH44" s="34"/>
      <c r="SI44" s="33"/>
      <c r="SJ44" s="34"/>
      <c r="SK44" s="33"/>
      <c r="SL44" s="34"/>
      <c r="SM44" s="33"/>
      <c r="SN44" s="34"/>
      <c r="SO44" s="33"/>
      <c r="SP44" s="34"/>
      <c r="SQ44" s="33"/>
      <c r="SR44" s="34"/>
      <c r="SS44" s="33"/>
      <c r="ST44" s="34"/>
      <c r="SU44" s="33"/>
      <c r="SV44" s="34"/>
      <c r="SW44" s="33"/>
      <c r="SX44" s="34"/>
      <c r="SY44" s="33"/>
      <c r="SZ44" s="34"/>
      <c r="TA44" s="33"/>
      <c r="TB44" s="34"/>
      <c r="TC44" s="33"/>
      <c r="TD44" s="34"/>
      <c r="TE44" s="33"/>
      <c r="TF44" s="34"/>
      <c r="TG44" s="33"/>
      <c r="TH44" s="34"/>
      <c r="TI44" s="33"/>
      <c r="TJ44" s="34"/>
      <c r="TK44" s="33"/>
      <c r="TL44" s="34"/>
      <c r="TM44" s="33"/>
      <c r="TN44" s="34"/>
      <c r="TO44" s="33"/>
      <c r="TP44" s="34"/>
      <c r="TQ44" s="33"/>
      <c r="TR44" s="34"/>
      <c r="TS44" s="33"/>
      <c r="TT44" s="34"/>
      <c r="TU44" s="33"/>
      <c r="TV44" s="34"/>
      <c r="TW44" s="33"/>
      <c r="TX44" s="34"/>
      <c r="TY44" s="33"/>
      <c r="TZ44" s="34"/>
      <c r="UA44" s="33"/>
      <c r="UB44" s="34"/>
      <c r="UC44" s="33"/>
      <c r="UD44" s="34"/>
      <c r="UE44" s="33"/>
      <c r="UF44" s="34"/>
      <c r="UG44" s="33"/>
      <c r="UH44" s="34"/>
      <c r="UI44" s="33"/>
      <c r="UJ44" s="34"/>
      <c r="UK44" s="33"/>
      <c r="UL44" s="34"/>
      <c r="UM44" s="33"/>
      <c r="UN44" s="34"/>
      <c r="UO44" s="33"/>
      <c r="UP44" s="34"/>
      <c r="UQ44" s="33"/>
      <c r="UR44" s="34"/>
      <c r="US44" s="33"/>
      <c r="UT44" s="34"/>
      <c r="UU44" s="33"/>
      <c r="UV44" s="34"/>
      <c r="UW44" s="33"/>
      <c r="UX44" s="34"/>
      <c r="UY44" s="33"/>
      <c r="UZ44" s="34"/>
      <c r="VA44" s="33"/>
      <c r="VB44" s="34"/>
      <c r="VC44" s="33"/>
      <c r="VD44" s="34"/>
      <c r="VE44" s="33"/>
      <c r="VF44" s="34"/>
      <c r="VG44" s="33"/>
      <c r="VH44" s="34"/>
      <c r="VI44" s="33"/>
      <c r="VJ44" s="34"/>
      <c r="VK44" s="33"/>
      <c r="VL44" s="34"/>
      <c r="VM44" s="33"/>
      <c r="VN44" s="34"/>
      <c r="VO44" s="33"/>
      <c r="VP44" s="34"/>
      <c r="VQ44" s="33"/>
      <c r="VR44" s="34"/>
      <c r="VS44" s="33"/>
      <c r="VT44" s="34"/>
      <c r="VU44" s="33"/>
      <c r="VV44" s="34"/>
      <c r="VW44" s="33"/>
      <c r="VX44" s="34"/>
      <c r="VY44" s="33"/>
      <c r="VZ44" s="34"/>
      <c r="WA44" s="33"/>
      <c r="WB44" s="34"/>
      <c r="WC44" s="33"/>
      <c r="WD44" s="34"/>
      <c r="WE44" s="33"/>
      <c r="WF44" s="34"/>
    </row>
    <row r="45" spans="1:604" s="32" customFormat="1" ht="15.5" x14ac:dyDescent="0.35">
      <c r="A45" s="82" t="str">
        <f>presupuesto!B36</f>
        <v>B.3.-</v>
      </c>
      <c r="B45" s="82">
        <f>IFERROR(VLOOKUP(A45,#REF!,3,FALSE),0)</f>
        <v>0</v>
      </c>
      <c r="C45" s="77" t="str">
        <f>presupuesto!C36</f>
        <v xml:space="preserve">         Suministro, transporte, transporte interno, colocación y prueba de Piezas Especiales con/sin mecanismo</v>
      </c>
      <c r="D45" s="78">
        <f>presupuesto!D36</f>
        <v>0</v>
      </c>
      <c r="E45" s="79">
        <f>presupuesto!E36</f>
        <v>0</v>
      </c>
      <c r="F45" s="74">
        <f>presupuesto!F36</f>
        <v>0</v>
      </c>
      <c r="G45" s="83">
        <f t="shared" si="0"/>
        <v>0</v>
      </c>
      <c r="H45" s="75">
        <f>IFERROR(VLOOKUP(A45,presupuesto!B:R,17,FALSE),0)*E45</f>
        <v>0</v>
      </c>
      <c r="I45" s="73">
        <f>IFERROR(VLOOKUP(A45,seguimiento!C:F,4,FALSE),0)</f>
        <v>0</v>
      </c>
      <c r="J45" s="73">
        <f t="shared" si="2"/>
        <v>0</v>
      </c>
    </row>
    <row r="46" spans="1:604" s="32" customFormat="1" ht="15.5" x14ac:dyDescent="0.35">
      <c r="A46" s="84">
        <f>presupuesto!B37</f>
        <v>20</v>
      </c>
      <c r="B46" s="84">
        <f>IFERROR(VLOOKUP(A46,#REF!,3,FALSE),0)</f>
        <v>0</v>
      </c>
      <c r="C46" s="85" t="str">
        <f>presupuesto!C37</f>
        <v xml:space="preserve">            Piezas especiales de HDPE</v>
      </c>
      <c r="D46" s="86" t="str">
        <f>presupuesto!D37</f>
        <v>Kg</v>
      </c>
      <c r="E46" s="87">
        <f>presupuesto!E37</f>
        <v>9.3000000000000007</v>
      </c>
      <c r="F46" s="70" t="str">
        <f>presupuesto!F37</f>
        <v>Tabla: Partida</v>
      </c>
      <c r="G46" s="83" t="e">
        <f t="shared" si="0"/>
        <v>#VALUE!</v>
      </c>
      <c r="H46" s="75">
        <f>IFERROR(VLOOKUP(A46,presupuesto!B:R,17,FALSE),0)*E46</f>
        <v>0</v>
      </c>
      <c r="I46" s="73">
        <f>IFERROR(VLOOKUP(A46,seguimiento!C:F,4,FALSE),0)</f>
        <v>0</v>
      </c>
      <c r="J46" s="73">
        <f t="shared" si="2"/>
        <v>0</v>
      </c>
    </row>
    <row r="47" spans="1:604" s="32" customFormat="1" ht="15.5" x14ac:dyDescent="0.35">
      <c r="A47" s="84">
        <f>presupuesto!B38</f>
        <v>21</v>
      </c>
      <c r="B47" s="84">
        <f>IFERROR(VLOOKUP(A47,#REF!,3,FALSE),0)</f>
        <v>0</v>
      </c>
      <c r="C47" s="85" t="str">
        <f>presupuesto!C38</f>
        <v xml:space="preserve">            Piezas especiales de Fierro Fundido</v>
      </c>
      <c r="D47" s="86" t="str">
        <f>presupuesto!D38</f>
        <v>kg</v>
      </c>
      <c r="E47" s="87">
        <f>presupuesto!E38</f>
        <v>118.6</v>
      </c>
      <c r="F47" s="70" t="str">
        <f>presupuesto!F38</f>
        <v>Tabla: Partida</v>
      </c>
      <c r="G47" s="83" t="e">
        <f t="shared" si="0"/>
        <v>#VALUE!</v>
      </c>
      <c r="H47" s="75">
        <f>IFERROR(VLOOKUP(A47,presupuesto!B:R,17,FALSE),0)*E47</f>
        <v>0</v>
      </c>
      <c r="I47" s="73">
        <f>IFERROR(VLOOKUP(A47,seguimiento!C:F,4,FALSE),0)</f>
        <v>0</v>
      </c>
      <c r="J47" s="73">
        <f t="shared" si="2"/>
        <v>0</v>
      </c>
    </row>
    <row r="48" spans="1:604" s="32" customFormat="1" ht="15.5" x14ac:dyDescent="0.35">
      <c r="A48" s="84">
        <f>presupuesto!B39</f>
        <v>22</v>
      </c>
      <c r="B48" s="84">
        <f>IFERROR(VLOOKUP(A48,#REF!,3,FALSE),0)</f>
        <v>0</v>
      </c>
      <c r="C48" s="85" t="str">
        <f>presupuesto!C39</f>
        <v xml:space="preserve">            Piezas especiales de Acero</v>
      </c>
      <c r="D48" s="86" t="str">
        <f>presupuesto!D39</f>
        <v>Kg</v>
      </c>
      <c r="E48" s="87">
        <f>presupuesto!E39</f>
        <v>11.6</v>
      </c>
      <c r="F48" s="70" t="str">
        <f>presupuesto!F39</f>
        <v>Tabla: Partida</v>
      </c>
      <c r="G48" s="83" t="e">
        <f t="shared" si="0"/>
        <v>#VALUE!</v>
      </c>
      <c r="H48" s="75">
        <f>IFERROR(VLOOKUP(A48,presupuesto!B:R,17,FALSE),0)*E48</f>
        <v>0</v>
      </c>
      <c r="I48" s="73">
        <f>IFERROR(VLOOKUP(A48,seguimiento!C:F,4,FALSE),0)</f>
        <v>0</v>
      </c>
      <c r="J48" s="73">
        <f t="shared" si="2"/>
        <v>0</v>
      </c>
    </row>
    <row r="49" spans="1:604" s="32" customFormat="1" ht="15.5" x14ac:dyDescent="0.35">
      <c r="A49" s="84">
        <f>presupuesto!B40</f>
        <v>23</v>
      </c>
      <c r="B49" s="84">
        <f>IFERROR(VLOOKUP(A49,#REF!,3,FALSE),0)</f>
        <v>0</v>
      </c>
      <c r="C49" s="85" t="str">
        <f>presupuesto!C40</f>
        <v xml:space="preserve">            Piezas especiales con mecanismo</v>
      </c>
      <c r="D49" s="86" t="str">
        <f>presupuesto!D40</f>
        <v>kg</v>
      </c>
      <c r="E49" s="87">
        <f>presupuesto!E40</f>
        <v>38</v>
      </c>
      <c r="F49" s="70" t="str">
        <f>presupuesto!F40</f>
        <v>Tabla: Partida</v>
      </c>
      <c r="G49" s="83" t="e">
        <f t="shared" si="0"/>
        <v>#VALUE!</v>
      </c>
      <c r="H49" s="75">
        <f>IFERROR(VLOOKUP(A49,presupuesto!B:R,17,FALSE),0)*E49</f>
        <v>0</v>
      </c>
      <c r="I49" s="73">
        <f>IFERROR(VLOOKUP(A49,seguimiento!C:F,4,FALSE),0)</f>
        <v>0</v>
      </c>
      <c r="J49" s="73">
        <f t="shared" si="2"/>
        <v>0</v>
      </c>
    </row>
    <row r="50" spans="1:604" s="36" customFormat="1" ht="15.75" customHeight="1" collapsed="1" x14ac:dyDescent="0.35">
      <c r="A50" s="82" t="str">
        <f>presupuesto!B41</f>
        <v>B.4.-</v>
      </c>
      <c r="B50" s="82">
        <f>IFERROR(VLOOKUP(A50,#REF!,3,FALSE),0)</f>
        <v>0</v>
      </c>
      <c r="C50" s="77" t="str">
        <f>presupuesto!C41</f>
        <v xml:space="preserve">         Junturas</v>
      </c>
      <c r="D50" s="78">
        <f>presupuesto!D41</f>
        <v>0</v>
      </c>
      <c r="E50" s="79">
        <f>presupuesto!E41</f>
        <v>0</v>
      </c>
      <c r="F50" s="74">
        <f>presupuesto!F41</f>
        <v>0</v>
      </c>
      <c r="G50" s="83">
        <f t="shared" si="0"/>
        <v>0</v>
      </c>
      <c r="H50" s="75">
        <f>IFERROR(VLOOKUP(A50,presupuesto!B:R,17,FALSE),0)*E50</f>
        <v>0</v>
      </c>
      <c r="I50" s="73">
        <f>IFERROR(VLOOKUP(A50,seguimiento!C:F,4,FALSE),0)</f>
        <v>0</v>
      </c>
      <c r="J50" s="73">
        <f t="shared" si="2"/>
        <v>0</v>
      </c>
    </row>
    <row r="51" spans="1:604" s="36" customFormat="1" ht="15.5" x14ac:dyDescent="0.35">
      <c r="A51" s="84">
        <f>presupuesto!B42</f>
        <v>24</v>
      </c>
      <c r="B51" s="84">
        <f>IFERROR(VLOOKUP(A51,#REF!,3,FALSE),0)</f>
        <v>0</v>
      </c>
      <c r="C51" s="85" t="str">
        <f>presupuesto!C42</f>
        <v xml:space="preserve">            Termofusión 75 mm</v>
      </c>
      <c r="D51" s="86" t="str">
        <f>presupuesto!D42</f>
        <v>Nº</v>
      </c>
      <c r="E51" s="87">
        <f>presupuesto!E42</f>
        <v>12</v>
      </c>
      <c r="F51" s="70" t="str">
        <f>presupuesto!F42</f>
        <v>Tabla: Partida</v>
      </c>
      <c r="G51" s="83" t="e">
        <f t="shared" si="0"/>
        <v>#VALUE!</v>
      </c>
      <c r="H51" s="75">
        <f>IFERROR(VLOOKUP(A51,presupuesto!B:R,17,FALSE),0)*E51</f>
        <v>0</v>
      </c>
      <c r="I51" s="73">
        <f>IFERROR(VLOOKUP(A51,seguimiento!C:F,4,FALSE),0)</f>
        <v>0</v>
      </c>
      <c r="J51" s="73">
        <f t="shared" si="2"/>
        <v>0</v>
      </c>
    </row>
    <row r="52" spans="1:604" s="32" customFormat="1" ht="15.5" x14ac:dyDescent="0.35">
      <c r="A52" s="84">
        <f>presupuesto!B43</f>
        <v>25</v>
      </c>
      <c r="B52" s="84">
        <f>IFERROR(VLOOKUP(A52,#REF!,3,FALSE),0)</f>
        <v>0</v>
      </c>
      <c r="C52" s="85" t="str">
        <f>presupuesto!C43</f>
        <v xml:space="preserve">            Brida, D=3"</v>
      </c>
      <c r="D52" s="86" t="str">
        <f>presupuesto!D43</f>
        <v>Nº</v>
      </c>
      <c r="E52" s="87">
        <f>presupuesto!E43</f>
        <v>12</v>
      </c>
      <c r="F52" s="70" t="str">
        <f>presupuesto!F43</f>
        <v>Tabla: Partida</v>
      </c>
      <c r="G52" s="83" t="e">
        <f t="shared" si="0"/>
        <v>#VALUE!</v>
      </c>
      <c r="H52" s="75">
        <f>IFERROR(VLOOKUP(A52,presupuesto!B:R,17,FALSE),0)*E52</f>
        <v>0</v>
      </c>
      <c r="I52" s="73">
        <f>IFERROR(VLOOKUP(A52,seguimiento!C:F,4,FALSE),0)</f>
        <v>0</v>
      </c>
      <c r="J52" s="73">
        <f t="shared" si="2"/>
        <v>0</v>
      </c>
    </row>
    <row r="53" spans="1:604" s="32" customFormat="1" ht="15.5" x14ac:dyDescent="0.35">
      <c r="A53" s="84">
        <f>presupuesto!B44</f>
        <v>26</v>
      </c>
      <c r="B53" s="84">
        <f>IFERROR(VLOOKUP(A53,#REF!,3,FALSE),0)</f>
        <v>0</v>
      </c>
      <c r="C53" s="85" t="str">
        <f>presupuesto!C44</f>
        <v xml:space="preserve">            Autobloqueante D=3"</v>
      </c>
      <c r="D53" s="86" t="str">
        <f>presupuesto!D44</f>
        <v>Nº</v>
      </c>
      <c r="E53" s="87">
        <f>presupuesto!E44</f>
        <v>2</v>
      </c>
      <c r="F53" s="70" t="str">
        <f>presupuesto!F44</f>
        <v>Tabla: Partida</v>
      </c>
      <c r="G53" s="83" t="e">
        <f t="shared" si="0"/>
        <v>#VALUE!</v>
      </c>
      <c r="H53" s="75">
        <f>IFERROR(VLOOKUP(A53,presupuesto!B:R,17,FALSE),0)*E53</f>
        <v>0</v>
      </c>
      <c r="I53" s="73">
        <f>IFERROR(VLOOKUP(A53,seguimiento!C:F,4,FALSE),0)</f>
        <v>0</v>
      </c>
      <c r="J53" s="73">
        <f t="shared" si="2"/>
        <v>0</v>
      </c>
    </row>
    <row r="54" spans="1:604" s="36" customFormat="1" ht="15.5" x14ac:dyDescent="0.35">
      <c r="A54" s="82" t="str">
        <f>presupuesto!B45</f>
        <v>C.-</v>
      </c>
      <c r="B54" s="82">
        <f>IFERROR(VLOOKUP(A54,#REF!,3,FALSE),0)</f>
        <v>0</v>
      </c>
      <c r="C54" s="77" t="str">
        <f>presupuesto!C45</f>
        <v xml:space="preserve">      OBRAS VARIAS</v>
      </c>
      <c r="D54" s="78">
        <f>presupuesto!D45</f>
        <v>0</v>
      </c>
      <c r="E54" s="79">
        <f>presupuesto!E45</f>
        <v>0</v>
      </c>
      <c r="F54" s="74">
        <f>presupuesto!F45</f>
        <v>0</v>
      </c>
      <c r="G54" s="83">
        <f t="shared" si="0"/>
        <v>0</v>
      </c>
      <c r="H54" s="75">
        <f>IFERROR(VLOOKUP(A54,presupuesto!B:R,17,FALSE),0)*E54</f>
        <v>0</v>
      </c>
      <c r="I54" s="73">
        <f>IFERROR(VLOOKUP(A54,seguimiento!C:F,4,FALSE),0)</f>
        <v>0</v>
      </c>
      <c r="J54" s="73">
        <f t="shared" si="2"/>
        <v>0</v>
      </c>
    </row>
    <row r="55" spans="1:604" s="32" customFormat="1" ht="15.5" x14ac:dyDescent="0.35">
      <c r="A55" s="84">
        <f>presupuesto!B46</f>
        <v>27</v>
      </c>
      <c r="B55" s="84">
        <f>IFERROR(VLOOKUP(A55,#REF!,3,FALSE),0)</f>
        <v>0</v>
      </c>
      <c r="C55" s="85" t="str">
        <f>presupuesto!C46</f>
        <v xml:space="preserve">         Machones de apoyo</v>
      </c>
      <c r="D55" s="86" t="str">
        <f>presupuesto!D46</f>
        <v>N°</v>
      </c>
      <c r="E55" s="87">
        <f>presupuesto!E46</f>
        <v>6</v>
      </c>
      <c r="F55" s="70" t="str">
        <f>presupuesto!F46</f>
        <v>Tabla: Partida</v>
      </c>
      <c r="G55" s="83" t="e">
        <f t="shared" si="0"/>
        <v>#VALUE!</v>
      </c>
      <c r="H55" s="75">
        <f>IFERROR(VLOOKUP(A55,presupuesto!B:R,17,FALSE),0)*E55</f>
        <v>0</v>
      </c>
      <c r="I55" s="73">
        <f>IFERROR(VLOOKUP(A55,seguimiento!C:F,4,FALSE),0)</f>
        <v>0</v>
      </c>
      <c r="J55" s="73">
        <f t="shared" si="2"/>
        <v>0</v>
      </c>
    </row>
    <row r="56" spans="1:604" s="32" customFormat="1" ht="15.5" x14ac:dyDescent="0.35">
      <c r="A56" s="84">
        <f>presupuesto!B47</f>
        <v>28</v>
      </c>
      <c r="B56" s="84">
        <f>IFERROR(VLOOKUP(A56,#REF!,3,FALSE),0)</f>
        <v>0</v>
      </c>
      <c r="C56" s="85" t="str">
        <f>presupuesto!C47</f>
        <v xml:space="preserve">         Camaras de Valvulas</v>
      </c>
      <c r="D56" s="86" t="str">
        <f>presupuesto!D47</f>
        <v>N°</v>
      </c>
      <c r="E56" s="87">
        <f>presupuesto!E47</f>
        <v>2</v>
      </c>
      <c r="F56" s="70" t="str">
        <f>presupuesto!F47</f>
        <v>Tabla: Partida</v>
      </c>
      <c r="G56" s="83" t="e">
        <f t="shared" si="0"/>
        <v>#VALUE!</v>
      </c>
      <c r="H56" s="75">
        <f>IFERROR(VLOOKUP(A56,presupuesto!B:R,17,FALSE),0)*E56</f>
        <v>0</v>
      </c>
      <c r="I56" s="73">
        <f>IFERROR(VLOOKUP(A56,seguimiento!C:F,4,FALSE),0)</f>
        <v>0</v>
      </c>
      <c r="J56" s="73">
        <f t="shared" si="2"/>
        <v>0</v>
      </c>
    </row>
    <row r="57" spans="1:604" s="35" customFormat="1" ht="15.5" x14ac:dyDescent="0.35">
      <c r="A57" s="76">
        <f>presupuesto!B48</f>
        <v>0</v>
      </c>
      <c r="B57" s="76">
        <f>IFERROR(VLOOKUP(A57,#REF!,3,FALSE),0)</f>
        <v>0</v>
      </c>
      <c r="C57" s="77" t="str">
        <f>presupuesto!C48</f>
        <v xml:space="preserve">   CAPÍTULO III: SISTEMA DE TRATAMIENTO</v>
      </c>
      <c r="D57" s="78">
        <f>presupuesto!D48</f>
        <v>0</v>
      </c>
      <c r="E57" s="79">
        <f>presupuesto!E48</f>
        <v>0</v>
      </c>
      <c r="F57" s="74">
        <f>presupuesto!F48</f>
        <v>0</v>
      </c>
      <c r="G57" s="83">
        <f t="shared" si="0"/>
        <v>0</v>
      </c>
      <c r="H57" s="75">
        <f>IFERROR(VLOOKUP(A57,presupuesto!B:R,17,FALSE),0)*E57</f>
        <v>0</v>
      </c>
      <c r="I57" s="73">
        <f>IFERROR(VLOOKUP(A57,seguimiento!C:F,4,FALSE),0)</f>
        <v>0</v>
      </c>
      <c r="J57" s="73">
        <f t="shared" si="2"/>
        <v>0</v>
      </c>
      <c r="K57" s="33"/>
      <c r="L57" s="34"/>
      <c r="M57" s="33"/>
      <c r="N57" s="34"/>
      <c r="O57" s="33"/>
      <c r="P57" s="34"/>
      <c r="Q57" s="33"/>
      <c r="R57" s="34"/>
      <c r="S57" s="33"/>
      <c r="T57" s="34"/>
      <c r="U57" s="33"/>
      <c r="V57" s="34"/>
      <c r="W57" s="33"/>
      <c r="X57" s="34"/>
      <c r="Y57" s="33"/>
      <c r="Z57" s="34"/>
      <c r="AA57" s="33"/>
      <c r="AB57" s="34"/>
      <c r="AC57" s="33"/>
      <c r="AD57" s="34"/>
      <c r="AE57" s="33"/>
      <c r="AF57" s="34"/>
      <c r="AG57" s="33"/>
      <c r="AH57" s="34"/>
      <c r="AI57" s="33"/>
      <c r="AJ57" s="34"/>
      <c r="AK57" s="33"/>
      <c r="AL57" s="34"/>
      <c r="AM57" s="33"/>
      <c r="AN57" s="34"/>
      <c r="AO57" s="33"/>
      <c r="AP57" s="34"/>
      <c r="AQ57" s="33"/>
      <c r="AR57" s="34"/>
      <c r="AS57" s="33"/>
      <c r="AT57" s="34"/>
      <c r="AU57" s="33"/>
      <c r="AV57" s="34"/>
      <c r="AW57" s="33"/>
      <c r="AX57" s="34"/>
      <c r="AY57" s="33"/>
      <c r="AZ57" s="34"/>
      <c r="BA57" s="33"/>
      <c r="BB57" s="34"/>
      <c r="BC57" s="33"/>
      <c r="BD57" s="34"/>
      <c r="BE57" s="33"/>
      <c r="BF57" s="34"/>
      <c r="BG57" s="33"/>
      <c r="BH57" s="34"/>
      <c r="BI57" s="33"/>
      <c r="BJ57" s="34"/>
      <c r="BK57" s="33"/>
      <c r="BL57" s="34"/>
      <c r="BM57" s="33"/>
      <c r="BN57" s="34"/>
      <c r="BO57" s="33"/>
      <c r="BP57" s="34"/>
      <c r="BQ57" s="33"/>
      <c r="BR57" s="34"/>
      <c r="BS57" s="33"/>
      <c r="BT57" s="34"/>
      <c r="BU57" s="33"/>
      <c r="BV57" s="34"/>
      <c r="BW57" s="33"/>
      <c r="BX57" s="34"/>
      <c r="BY57" s="33"/>
      <c r="BZ57" s="34"/>
      <c r="CA57" s="33"/>
      <c r="CB57" s="34"/>
      <c r="CC57" s="33"/>
      <c r="CD57" s="34"/>
      <c r="CE57" s="33"/>
      <c r="CF57" s="34"/>
      <c r="CG57" s="33"/>
      <c r="CH57" s="34"/>
      <c r="CI57" s="33"/>
      <c r="CJ57" s="34"/>
      <c r="CK57" s="33"/>
      <c r="CL57" s="34"/>
      <c r="CM57" s="33"/>
      <c r="CN57" s="34"/>
      <c r="CO57" s="33"/>
      <c r="CP57" s="34"/>
      <c r="CQ57" s="33"/>
      <c r="CR57" s="34"/>
      <c r="CS57" s="33"/>
      <c r="CT57" s="34"/>
      <c r="CU57" s="33"/>
      <c r="CV57" s="34"/>
      <c r="CW57" s="33"/>
      <c r="CX57" s="34"/>
      <c r="CY57" s="33"/>
      <c r="CZ57" s="34"/>
      <c r="DA57" s="33"/>
      <c r="DB57" s="34"/>
      <c r="DC57" s="33"/>
      <c r="DD57" s="34"/>
      <c r="DE57" s="33"/>
      <c r="DF57" s="34"/>
      <c r="DG57" s="33"/>
      <c r="DH57" s="34"/>
      <c r="DI57" s="33"/>
      <c r="DJ57" s="34"/>
      <c r="DK57" s="33"/>
      <c r="DL57" s="34"/>
      <c r="DM57" s="33"/>
      <c r="DN57" s="34"/>
      <c r="DO57" s="33"/>
      <c r="DP57" s="34"/>
      <c r="DQ57" s="33"/>
      <c r="DR57" s="34"/>
      <c r="DS57" s="33"/>
      <c r="DT57" s="34"/>
      <c r="DU57" s="33"/>
      <c r="DV57" s="34"/>
      <c r="DW57" s="33"/>
      <c r="DX57" s="34"/>
      <c r="DY57" s="33"/>
      <c r="DZ57" s="34"/>
      <c r="EA57" s="33"/>
      <c r="EB57" s="34"/>
      <c r="EC57" s="33"/>
      <c r="ED57" s="34"/>
      <c r="EE57" s="33"/>
      <c r="EF57" s="34"/>
      <c r="EG57" s="33"/>
      <c r="EH57" s="34"/>
      <c r="EI57" s="33"/>
      <c r="EJ57" s="34"/>
      <c r="EK57" s="33"/>
      <c r="EL57" s="34"/>
      <c r="EM57" s="33"/>
      <c r="EN57" s="34"/>
      <c r="EO57" s="33"/>
      <c r="EP57" s="34"/>
      <c r="EQ57" s="33"/>
      <c r="ER57" s="34"/>
      <c r="ES57" s="33"/>
      <c r="ET57" s="34"/>
      <c r="EU57" s="33"/>
      <c r="EV57" s="34"/>
      <c r="EW57" s="33"/>
      <c r="EX57" s="34"/>
      <c r="EY57" s="33"/>
      <c r="EZ57" s="34"/>
      <c r="FA57" s="33"/>
      <c r="FB57" s="34"/>
      <c r="FC57" s="33"/>
      <c r="FD57" s="34"/>
      <c r="FE57" s="33"/>
      <c r="FF57" s="34"/>
      <c r="FG57" s="33"/>
      <c r="FH57" s="34"/>
      <c r="FI57" s="33"/>
      <c r="FJ57" s="34"/>
      <c r="FK57" s="33"/>
      <c r="FL57" s="34"/>
      <c r="FM57" s="33"/>
      <c r="FN57" s="34"/>
      <c r="FO57" s="33"/>
      <c r="FP57" s="34"/>
      <c r="FQ57" s="33"/>
      <c r="FR57" s="34"/>
      <c r="FS57" s="33"/>
      <c r="FT57" s="34"/>
      <c r="FU57" s="33"/>
      <c r="FV57" s="34"/>
      <c r="FW57" s="33"/>
      <c r="FX57" s="34"/>
      <c r="FY57" s="33"/>
      <c r="FZ57" s="34"/>
      <c r="GA57" s="33"/>
      <c r="GB57" s="34"/>
      <c r="GC57" s="33"/>
      <c r="GD57" s="34"/>
      <c r="GE57" s="33"/>
      <c r="GF57" s="34"/>
      <c r="GG57" s="33"/>
      <c r="GH57" s="34"/>
      <c r="GI57" s="33"/>
      <c r="GJ57" s="34"/>
      <c r="GK57" s="33"/>
      <c r="GL57" s="34"/>
      <c r="GM57" s="33"/>
      <c r="GN57" s="34"/>
      <c r="GO57" s="33"/>
      <c r="GP57" s="34"/>
      <c r="GQ57" s="33"/>
      <c r="GR57" s="34"/>
      <c r="GS57" s="33"/>
      <c r="GT57" s="34"/>
      <c r="GU57" s="33"/>
      <c r="GV57" s="34"/>
      <c r="GW57" s="33"/>
      <c r="GX57" s="34"/>
      <c r="GY57" s="33"/>
      <c r="GZ57" s="34"/>
      <c r="HA57" s="33"/>
      <c r="HB57" s="34"/>
      <c r="HC57" s="33"/>
      <c r="HD57" s="34"/>
      <c r="HE57" s="33"/>
      <c r="HF57" s="34"/>
      <c r="HG57" s="33"/>
      <c r="HH57" s="34"/>
      <c r="HI57" s="33"/>
      <c r="HJ57" s="34"/>
      <c r="HK57" s="33"/>
      <c r="HL57" s="34"/>
      <c r="HM57" s="33"/>
      <c r="HN57" s="34"/>
      <c r="HO57" s="33"/>
      <c r="HP57" s="34"/>
      <c r="HQ57" s="33"/>
      <c r="HR57" s="34"/>
      <c r="HS57" s="33"/>
      <c r="HT57" s="34"/>
      <c r="HU57" s="33"/>
      <c r="HV57" s="34"/>
      <c r="HW57" s="33"/>
      <c r="HX57" s="34"/>
      <c r="HY57" s="33"/>
      <c r="HZ57" s="34"/>
      <c r="IA57" s="33"/>
      <c r="IB57" s="34"/>
      <c r="IC57" s="33"/>
      <c r="ID57" s="34"/>
      <c r="IE57" s="33"/>
      <c r="IF57" s="34"/>
      <c r="IG57" s="33"/>
      <c r="IH57" s="34"/>
      <c r="II57" s="33"/>
      <c r="IJ57" s="34"/>
      <c r="IK57" s="33"/>
      <c r="IL57" s="34"/>
      <c r="IM57" s="33"/>
      <c r="IN57" s="34"/>
      <c r="IO57" s="33"/>
      <c r="IP57" s="34"/>
      <c r="IQ57" s="33"/>
      <c r="IR57" s="34"/>
      <c r="IS57" s="33"/>
      <c r="IT57" s="34"/>
      <c r="IU57" s="33"/>
      <c r="IV57" s="34"/>
      <c r="IW57" s="33"/>
      <c r="IX57" s="34"/>
      <c r="IY57" s="33"/>
      <c r="IZ57" s="34"/>
      <c r="JA57" s="33"/>
      <c r="JB57" s="34"/>
      <c r="JC57" s="33"/>
      <c r="JD57" s="34"/>
      <c r="JE57" s="33"/>
      <c r="JF57" s="34"/>
      <c r="JG57" s="33"/>
      <c r="JH57" s="34"/>
      <c r="JI57" s="33"/>
      <c r="JJ57" s="34"/>
      <c r="JK57" s="33"/>
      <c r="JL57" s="34"/>
      <c r="JM57" s="33"/>
      <c r="JN57" s="34"/>
      <c r="JO57" s="33"/>
      <c r="JP57" s="34"/>
      <c r="JQ57" s="33"/>
      <c r="JR57" s="34"/>
      <c r="JS57" s="33"/>
      <c r="JT57" s="34"/>
      <c r="JU57" s="33"/>
      <c r="JV57" s="34"/>
      <c r="JW57" s="33"/>
      <c r="JX57" s="34"/>
      <c r="JY57" s="33"/>
      <c r="JZ57" s="34"/>
      <c r="KA57" s="33"/>
      <c r="KB57" s="34"/>
      <c r="KC57" s="33"/>
      <c r="KD57" s="34"/>
      <c r="KE57" s="33"/>
      <c r="KF57" s="34"/>
      <c r="KG57" s="33"/>
      <c r="KH57" s="34"/>
      <c r="KI57" s="33"/>
      <c r="KJ57" s="34"/>
      <c r="KK57" s="33"/>
      <c r="KL57" s="34"/>
      <c r="KM57" s="33"/>
      <c r="KN57" s="34"/>
      <c r="KO57" s="33"/>
      <c r="KP57" s="34"/>
      <c r="KQ57" s="33"/>
      <c r="KR57" s="34"/>
      <c r="KS57" s="33"/>
      <c r="KT57" s="34"/>
      <c r="KU57" s="33"/>
      <c r="KV57" s="34"/>
      <c r="KW57" s="33"/>
      <c r="KX57" s="34"/>
      <c r="KY57" s="33"/>
      <c r="KZ57" s="34"/>
      <c r="LA57" s="33"/>
      <c r="LB57" s="34"/>
      <c r="LC57" s="33"/>
      <c r="LD57" s="34"/>
      <c r="LE57" s="33"/>
      <c r="LF57" s="34"/>
      <c r="LG57" s="33"/>
      <c r="LH57" s="34"/>
      <c r="LI57" s="33"/>
      <c r="LJ57" s="34"/>
      <c r="LK57" s="33"/>
      <c r="LL57" s="34"/>
      <c r="LM57" s="33"/>
      <c r="LN57" s="34"/>
      <c r="LO57" s="33"/>
      <c r="LP57" s="34"/>
      <c r="LQ57" s="33"/>
      <c r="LR57" s="34"/>
      <c r="LS57" s="33"/>
      <c r="LT57" s="34"/>
      <c r="LU57" s="33"/>
      <c r="LV57" s="34"/>
      <c r="LW57" s="33"/>
      <c r="LX57" s="34"/>
      <c r="LY57" s="33"/>
      <c r="LZ57" s="34"/>
      <c r="MA57" s="33"/>
      <c r="MB57" s="34"/>
      <c r="MC57" s="33"/>
      <c r="MD57" s="34"/>
      <c r="ME57" s="33"/>
      <c r="MF57" s="34"/>
      <c r="MG57" s="33"/>
      <c r="MH57" s="34"/>
      <c r="MI57" s="33"/>
      <c r="MJ57" s="34"/>
      <c r="MK57" s="33"/>
      <c r="ML57" s="34"/>
      <c r="MM57" s="33"/>
      <c r="MN57" s="34"/>
      <c r="MO57" s="33"/>
      <c r="MP57" s="34"/>
      <c r="MQ57" s="33"/>
      <c r="MR57" s="34"/>
      <c r="MS57" s="33"/>
      <c r="MT57" s="34"/>
      <c r="MU57" s="33"/>
      <c r="MV57" s="34"/>
      <c r="MW57" s="33"/>
      <c r="MX57" s="34"/>
      <c r="MY57" s="33"/>
      <c r="MZ57" s="34"/>
      <c r="NA57" s="33"/>
      <c r="NB57" s="34"/>
      <c r="NC57" s="33"/>
      <c r="ND57" s="34"/>
      <c r="NE57" s="33"/>
      <c r="NF57" s="34"/>
      <c r="NG57" s="33"/>
      <c r="NH57" s="34"/>
      <c r="NI57" s="33"/>
      <c r="NJ57" s="34"/>
      <c r="NK57" s="33"/>
      <c r="NL57" s="34"/>
      <c r="NM57" s="33"/>
      <c r="NN57" s="34"/>
      <c r="NO57" s="33"/>
      <c r="NP57" s="34"/>
      <c r="NQ57" s="33"/>
      <c r="NR57" s="34"/>
      <c r="NS57" s="33"/>
      <c r="NT57" s="34"/>
      <c r="NU57" s="33"/>
      <c r="NV57" s="34"/>
      <c r="NW57" s="33"/>
      <c r="NX57" s="34"/>
      <c r="NY57" s="33"/>
      <c r="NZ57" s="34"/>
      <c r="OA57" s="33"/>
      <c r="OB57" s="34"/>
      <c r="OC57" s="33"/>
      <c r="OD57" s="34"/>
      <c r="OE57" s="33"/>
      <c r="OF57" s="34"/>
      <c r="OG57" s="33"/>
      <c r="OH57" s="34"/>
      <c r="OI57" s="33"/>
      <c r="OJ57" s="34"/>
      <c r="OK57" s="33"/>
      <c r="OL57" s="34"/>
      <c r="OM57" s="33"/>
      <c r="ON57" s="34"/>
      <c r="OO57" s="33"/>
      <c r="OP57" s="34"/>
      <c r="OQ57" s="33"/>
      <c r="OR57" s="34"/>
      <c r="OS57" s="33"/>
      <c r="OT57" s="34"/>
      <c r="OU57" s="33"/>
      <c r="OV57" s="34"/>
      <c r="OW57" s="33"/>
      <c r="OX57" s="34"/>
      <c r="OY57" s="33"/>
      <c r="OZ57" s="34"/>
      <c r="PA57" s="33"/>
      <c r="PB57" s="34"/>
      <c r="PC57" s="33"/>
      <c r="PD57" s="34"/>
      <c r="PE57" s="33"/>
      <c r="PF57" s="34"/>
      <c r="PG57" s="33"/>
      <c r="PH57" s="34"/>
      <c r="PI57" s="33"/>
      <c r="PJ57" s="34"/>
      <c r="PK57" s="33"/>
      <c r="PL57" s="34"/>
      <c r="PM57" s="33"/>
      <c r="PN57" s="34"/>
      <c r="PO57" s="33"/>
      <c r="PP57" s="34"/>
      <c r="PQ57" s="33"/>
      <c r="PR57" s="34"/>
      <c r="PS57" s="33"/>
      <c r="PT57" s="34"/>
      <c r="PU57" s="33"/>
      <c r="PV57" s="34"/>
      <c r="PW57" s="33"/>
      <c r="PX57" s="34"/>
      <c r="PY57" s="33"/>
      <c r="PZ57" s="34"/>
      <c r="QA57" s="33"/>
      <c r="QB57" s="34"/>
      <c r="QC57" s="33"/>
      <c r="QD57" s="34"/>
      <c r="QE57" s="33"/>
      <c r="QF57" s="34"/>
      <c r="QG57" s="33"/>
      <c r="QH57" s="34"/>
      <c r="QI57" s="33"/>
      <c r="QJ57" s="34"/>
      <c r="QK57" s="33"/>
      <c r="QL57" s="34"/>
      <c r="QM57" s="33"/>
      <c r="QN57" s="34"/>
      <c r="QO57" s="33"/>
      <c r="QP57" s="34"/>
      <c r="QQ57" s="33"/>
      <c r="QR57" s="34"/>
      <c r="QS57" s="33"/>
      <c r="QT57" s="34"/>
      <c r="QU57" s="33"/>
      <c r="QV57" s="34"/>
      <c r="QW57" s="33"/>
      <c r="QX57" s="34"/>
      <c r="QY57" s="33"/>
      <c r="QZ57" s="34"/>
      <c r="RA57" s="33"/>
      <c r="RB57" s="34"/>
      <c r="RC57" s="33"/>
      <c r="RD57" s="34"/>
      <c r="RE57" s="33"/>
      <c r="RF57" s="34"/>
      <c r="RG57" s="33"/>
      <c r="RH57" s="34"/>
      <c r="RI57" s="33"/>
      <c r="RJ57" s="34"/>
      <c r="RK57" s="33"/>
      <c r="RL57" s="34"/>
      <c r="RM57" s="33"/>
      <c r="RN57" s="34"/>
      <c r="RO57" s="33"/>
      <c r="RP57" s="34"/>
      <c r="RQ57" s="33"/>
      <c r="RR57" s="34"/>
      <c r="RS57" s="33"/>
      <c r="RT57" s="34"/>
      <c r="RU57" s="33"/>
      <c r="RV57" s="34"/>
      <c r="RW57" s="33"/>
      <c r="RX57" s="34"/>
      <c r="RY57" s="33"/>
      <c r="RZ57" s="34"/>
      <c r="SA57" s="33"/>
      <c r="SB57" s="34"/>
      <c r="SC57" s="33"/>
      <c r="SD57" s="34"/>
      <c r="SE57" s="33"/>
      <c r="SF57" s="34"/>
      <c r="SG57" s="33"/>
      <c r="SH57" s="34"/>
      <c r="SI57" s="33"/>
      <c r="SJ57" s="34"/>
      <c r="SK57" s="33"/>
      <c r="SL57" s="34"/>
      <c r="SM57" s="33"/>
      <c r="SN57" s="34"/>
      <c r="SO57" s="33"/>
      <c r="SP57" s="34"/>
      <c r="SQ57" s="33"/>
      <c r="SR57" s="34"/>
      <c r="SS57" s="33"/>
      <c r="ST57" s="34"/>
      <c r="SU57" s="33"/>
      <c r="SV57" s="34"/>
      <c r="SW57" s="33"/>
      <c r="SX57" s="34"/>
      <c r="SY57" s="33"/>
      <c r="SZ57" s="34"/>
      <c r="TA57" s="33"/>
      <c r="TB57" s="34"/>
      <c r="TC57" s="33"/>
      <c r="TD57" s="34"/>
      <c r="TE57" s="33"/>
      <c r="TF57" s="34"/>
      <c r="TG57" s="33"/>
      <c r="TH57" s="34"/>
      <c r="TI57" s="33"/>
      <c r="TJ57" s="34"/>
      <c r="TK57" s="33"/>
      <c r="TL57" s="34"/>
      <c r="TM57" s="33"/>
      <c r="TN57" s="34"/>
      <c r="TO57" s="33"/>
      <c r="TP57" s="34"/>
      <c r="TQ57" s="33"/>
      <c r="TR57" s="34"/>
      <c r="TS57" s="33"/>
      <c r="TT57" s="34"/>
      <c r="TU57" s="33"/>
      <c r="TV57" s="34"/>
      <c r="TW57" s="33"/>
      <c r="TX57" s="34"/>
      <c r="TY57" s="33"/>
      <c r="TZ57" s="34"/>
      <c r="UA57" s="33"/>
      <c r="UB57" s="34"/>
      <c r="UC57" s="33"/>
      <c r="UD57" s="34"/>
      <c r="UE57" s="33"/>
      <c r="UF57" s="34"/>
      <c r="UG57" s="33"/>
      <c r="UH57" s="34"/>
      <c r="UI57" s="33"/>
      <c r="UJ57" s="34"/>
      <c r="UK57" s="33"/>
      <c r="UL57" s="34"/>
      <c r="UM57" s="33"/>
      <c r="UN57" s="34"/>
      <c r="UO57" s="33"/>
      <c r="UP57" s="34"/>
      <c r="UQ57" s="33"/>
      <c r="UR57" s="34"/>
      <c r="US57" s="33"/>
      <c r="UT57" s="34"/>
      <c r="UU57" s="33"/>
      <c r="UV57" s="34"/>
      <c r="UW57" s="33"/>
      <c r="UX57" s="34"/>
      <c r="UY57" s="33"/>
      <c r="UZ57" s="34"/>
      <c r="VA57" s="33"/>
      <c r="VB57" s="34"/>
      <c r="VC57" s="33"/>
      <c r="VD57" s="34"/>
      <c r="VE57" s="33"/>
      <c r="VF57" s="34"/>
      <c r="VG57" s="33"/>
      <c r="VH57" s="34"/>
      <c r="VI57" s="33"/>
      <c r="VJ57" s="34"/>
      <c r="VK57" s="33"/>
      <c r="VL57" s="34"/>
      <c r="VM57" s="33"/>
      <c r="VN57" s="34"/>
      <c r="VO57" s="33"/>
      <c r="VP57" s="34"/>
      <c r="VQ57" s="33"/>
      <c r="VR57" s="34"/>
      <c r="VS57" s="33"/>
      <c r="VT57" s="34"/>
      <c r="VU57" s="33"/>
      <c r="VV57" s="34"/>
      <c r="VW57" s="33"/>
      <c r="VX57" s="34"/>
      <c r="VY57" s="33"/>
      <c r="VZ57" s="34"/>
      <c r="WA57" s="33"/>
      <c r="WB57" s="34"/>
      <c r="WC57" s="33"/>
      <c r="WD57" s="34"/>
      <c r="WE57" s="33"/>
      <c r="WF57" s="34"/>
    </row>
    <row r="58" spans="1:604" s="36" customFormat="1" ht="15.5" x14ac:dyDescent="0.35">
      <c r="A58" s="82" t="str">
        <f>presupuesto!B49</f>
        <v>A.-</v>
      </c>
      <c r="B58" s="82">
        <f>IFERROR(VLOOKUP(A58,#REF!,3,FALSE),0)</f>
        <v>0</v>
      </c>
      <c r="C58" s="77" t="str">
        <f>presupuesto!C49</f>
        <v xml:space="preserve">      SUMINISTRO E INSTALACIÓN DE MATERIALES Y EQUIPOS DE FILTRACIÓN</v>
      </c>
      <c r="D58" s="78">
        <f>presupuesto!D49</f>
        <v>0</v>
      </c>
      <c r="E58" s="79">
        <f>presupuesto!E49</f>
        <v>0</v>
      </c>
      <c r="F58" s="74">
        <f>presupuesto!F49</f>
        <v>0</v>
      </c>
      <c r="G58" s="83">
        <f t="shared" si="0"/>
        <v>0</v>
      </c>
      <c r="H58" s="75">
        <f>IFERROR(VLOOKUP(A58,presupuesto!B:R,17,FALSE),0)*E58</f>
        <v>0</v>
      </c>
      <c r="I58" s="73">
        <f>IFERROR(VLOOKUP(A58,seguimiento!C:F,4,FALSE),0)</f>
        <v>0</v>
      </c>
      <c r="J58" s="73">
        <f t="shared" si="2"/>
        <v>0</v>
      </c>
    </row>
    <row r="59" spans="1:604" s="32" customFormat="1" ht="15.5" x14ac:dyDescent="0.35">
      <c r="A59" s="84">
        <f>presupuesto!B50</f>
        <v>29</v>
      </c>
      <c r="B59" s="84">
        <f>IFERROR(VLOOKUP(A59,#REF!,3,FALSE),0)</f>
        <v>0</v>
      </c>
      <c r="C59" s="85" t="str">
        <f>presupuesto!C50</f>
        <v xml:space="preserve">         Filtro Floculador Multicapa en Profundidad AQP 1350AB</v>
      </c>
      <c r="D59" s="86" t="str">
        <f>presupuesto!D50</f>
        <v>N°</v>
      </c>
      <c r="E59" s="87">
        <f>presupuesto!E50</f>
        <v>1</v>
      </c>
      <c r="F59" s="70" t="str">
        <f>presupuesto!F50</f>
        <v>Tabla: Partida</v>
      </c>
      <c r="G59" s="83" t="e">
        <f t="shared" si="0"/>
        <v>#VALUE!</v>
      </c>
      <c r="H59" s="75">
        <f>IFERROR(VLOOKUP(A59,presupuesto!B:R,17,FALSE),0)*E59</f>
        <v>0</v>
      </c>
      <c r="I59" s="73">
        <f>IFERROR(VLOOKUP(A59,seguimiento!C:F,4,FALSE),0)</f>
        <v>0</v>
      </c>
      <c r="J59" s="73">
        <f t="shared" si="2"/>
        <v>0</v>
      </c>
    </row>
    <row r="60" spans="1:604" s="32" customFormat="1" ht="15.5" x14ac:dyDescent="0.35">
      <c r="A60" s="84">
        <f>presupuesto!B51</f>
        <v>30</v>
      </c>
      <c r="B60" s="84">
        <f>IFERROR(VLOOKUP(A60,#REF!,3,FALSE),0)</f>
        <v>0</v>
      </c>
      <c r="C60" s="85" t="str">
        <f>presupuesto!C51</f>
        <v xml:space="preserve">         Filtro Carbón Activado AQP 1350CA</v>
      </c>
      <c r="D60" s="86" t="str">
        <f>presupuesto!D51</f>
        <v>N°</v>
      </c>
      <c r="E60" s="87">
        <f>presupuesto!E51</f>
        <v>1</v>
      </c>
      <c r="F60" s="70" t="str">
        <f>presupuesto!F51</f>
        <v>Tabla: Partida</v>
      </c>
      <c r="G60" s="83" t="e">
        <f t="shared" si="0"/>
        <v>#VALUE!</v>
      </c>
      <c r="H60" s="75">
        <f>IFERROR(VLOOKUP(A60,presupuesto!B:R,17,FALSE),0)*E60</f>
        <v>0</v>
      </c>
      <c r="I60" s="73">
        <f>IFERROR(VLOOKUP(A60,seguimiento!C:F,4,FALSE),0)</f>
        <v>0</v>
      </c>
      <c r="J60" s="73">
        <f t="shared" si="2"/>
        <v>0</v>
      </c>
    </row>
    <row r="61" spans="1:604" s="36" customFormat="1" ht="15.5" x14ac:dyDescent="0.35">
      <c r="A61" s="84">
        <f>presupuesto!B52</f>
        <v>31</v>
      </c>
      <c r="B61" s="84">
        <f>IFERROR(VLOOKUP(A61,#REF!,3,FALSE),0)</f>
        <v>0</v>
      </c>
      <c r="C61" s="85" t="str">
        <f>presupuesto!C52</f>
        <v xml:space="preserve">         Sistema Dosificación Tratamiento</v>
      </c>
      <c r="D61" s="86" t="str">
        <f>presupuesto!D52</f>
        <v>Uni</v>
      </c>
      <c r="E61" s="87">
        <f>presupuesto!E52</f>
        <v>5</v>
      </c>
      <c r="F61" s="70" t="str">
        <f>presupuesto!F52</f>
        <v>Tabla: Partida</v>
      </c>
      <c r="G61" s="83" t="e">
        <f t="shared" si="0"/>
        <v>#VALUE!</v>
      </c>
      <c r="H61" s="75">
        <f>IFERROR(VLOOKUP(A61,presupuesto!B:R,17,FALSE),0)*E61</f>
        <v>0</v>
      </c>
      <c r="I61" s="73">
        <f>IFERROR(VLOOKUP(A61,seguimiento!C:F,4,FALSE),0)</f>
        <v>0</v>
      </c>
      <c r="J61" s="73">
        <f t="shared" si="2"/>
        <v>0</v>
      </c>
    </row>
    <row r="62" spans="1:604" s="36" customFormat="1" ht="15.5" x14ac:dyDescent="0.35">
      <c r="A62" s="82" t="str">
        <f>presupuesto!B53</f>
        <v>B.-</v>
      </c>
      <c r="B62" s="82">
        <f>IFERROR(VLOOKUP(A62,#REF!,3,FALSE),0)</f>
        <v>0</v>
      </c>
      <c r="C62" s="77" t="str">
        <f>presupuesto!C53</f>
        <v xml:space="preserve">      OBRAS CIVILES</v>
      </c>
      <c r="D62" s="78">
        <f>presupuesto!D53</f>
        <v>0</v>
      </c>
      <c r="E62" s="79">
        <f>presupuesto!E53</f>
        <v>0</v>
      </c>
      <c r="F62" s="74">
        <f>presupuesto!F53</f>
        <v>0</v>
      </c>
      <c r="G62" s="83">
        <f t="shared" si="0"/>
        <v>0</v>
      </c>
      <c r="H62" s="75">
        <f>IFERROR(VLOOKUP(A62,presupuesto!B:R,17,FALSE),0)*E62</f>
        <v>0</v>
      </c>
      <c r="I62" s="73">
        <f>IFERROR(VLOOKUP(A62,seguimiento!C:F,4,FALSE),0)</f>
        <v>0</v>
      </c>
      <c r="J62" s="73">
        <f t="shared" si="2"/>
        <v>0</v>
      </c>
    </row>
    <row r="63" spans="1:604" s="36" customFormat="1" ht="15.5" x14ac:dyDescent="0.35">
      <c r="A63" s="82" t="str">
        <f>presupuesto!B54</f>
        <v>B.1.-</v>
      </c>
      <c r="B63" s="82">
        <f>IFERROR(VLOOKUP(A63,#REF!,3,FALSE),0)</f>
        <v>0</v>
      </c>
      <c r="C63" s="77" t="str">
        <f>presupuesto!C54</f>
        <v xml:space="preserve">         Caseta de Tratamiento</v>
      </c>
      <c r="D63" s="78">
        <f>presupuesto!D54</f>
        <v>0</v>
      </c>
      <c r="E63" s="79">
        <f>presupuesto!E54</f>
        <v>0</v>
      </c>
      <c r="F63" s="74">
        <f>presupuesto!F54</f>
        <v>0</v>
      </c>
      <c r="G63" s="83">
        <f t="shared" si="0"/>
        <v>0</v>
      </c>
      <c r="H63" s="75">
        <f>IFERROR(VLOOKUP(A63,presupuesto!B:R,17,FALSE),0)*E63</f>
        <v>0</v>
      </c>
      <c r="I63" s="73">
        <f>IFERROR(VLOOKUP(A63,seguimiento!C:F,4,FALSE),0)</f>
        <v>0</v>
      </c>
      <c r="J63" s="73">
        <f t="shared" si="2"/>
        <v>0</v>
      </c>
    </row>
    <row r="64" spans="1:604" s="32" customFormat="1" ht="15.5" x14ac:dyDescent="0.35">
      <c r="A64" s="84">
        <f>presupuesto!B55</f>
        <v>32</v>
      </c>
      <c r="B64" s="84">
        <f>IFERROR(VLOOKUP(A64,#REF!,3,FALSE),0)</f>
        <v>0</v>
      </c>
      <c r="C64" s="85" t="str">
        <f>presupuesto!C55</f>
        <v xml:space="preserve">            Mejoramiento Caseta</v>
      </c>
      <c r="D64" s="86" t="str">
        <f>presupuesto!D55</f>
        <v>Uni</v>
      </c>
      <c r="E64" s="87">
        <f>presupuesto!E55</f>
        <v>1</v>
      </c>
      <c r="F64" s="70" t="str">
        <f>presupuesto!F55</f>
        <v>Tabla: Partida</v>
      </c>
      <c r="G64" s="83" t="e">
        <f t="shared" si="0"/>
        <v>#VALUE!</v>
      </c>
      <c r="H64" s="75">
        <f>IFERROR(VLOOKUP(A64,presupuesto!B:R,17,FALSE),0)*E64</f>
        <v>0</v>
      </c>
      <c r="I64" s="73">
        <f>IFERROR(VLOOKUP(A64,seguimiento!C:F,4,FALSE),0)</f>
        <v>0</v>
      </c>
      <c r="J64" s="73">
        <f t="shared" si="2"/>
        <v>0</v>
      </c>
    </row>
    <row r="65" spans="1:10" s="32" customFormat="1" ht="15.5" x14ac:dyDescent="0.35">
      <c r="A65" s="82" t="str">
        <f>presupuesto!B56</f>
        <v>C.-</v>
      </c>
      <c r="B65" s="82">
        <f>IFERROR(VLOOKUP(A65,#REF!,3,FALSE),0)</f>
        <v>0</v>
      </c>
      <c r="C65" s="77" t="str">
        <f>presupuesto!C56</f>
        <v xml:space="preserve">      INTERCONEXIONES HIDRÁULICAS</v>
      </c>
      <c r="D65" s="78">
        <f>presupuesto!D56</f>
        <v>0</v>
      </c>
      <c r="E65" s="79">
        <f>presupuesto!E56</f>
        <v>0</v>
      </c>
      <c r="F65" s="74">
        <f>presupuesto!F56</f>
        <v>0</v>
      </c>
      <c r="G65" s="83">
        <f t="shared" si="0"/>
        <v>0</v>
      </c>
      <c r="H65" s="75">
        <f>IFERROR(VLOOKUP(A65,presupuesto!B:R,17,FALSE),0)*E65</f>
        <v>0</v>
      </c>
      <c r="I65" s="73">
        <f>IFERROR(VLOOKUP(A65,seguimiento!C:F,4,FALSE),0)</f>
        <v>0</v>
      </c>
      <c r="J65" s="73">
        <f t="shared" si="2"/>
        <v>0</v>
      </c>
    </row>
    <row r="66" spans="1:10" s="32" customFormat="1" ht="15.5" x14ac:dyDescent="0.35">
      <c r="A66" s="82" t="str">
        <f>presupuesto!B57</f>
        <v>C.1.-</v>
      </c>
      <c r="B66" s="82">
        <f>IFERROR(VLOOKUP(A66,#REF!,3,FALSE),0)</f>
        <v>0</v>
      </c>
      <c r="C66" s="77" t="str">
        <f>presupuesto!C57</f>
        <v xml:space="preserve">         Suministro, transporte, transporte interno, colocación y prueba de Cañerias de Acero Sch 40</v>
      </c>
      <c r="D66" s="78">
        <f>presupuesto!D57</f>
        <v>0</v>
      </c>
      <c r="E66" s="79">
        <f>presupuesto!E57</f>
        <v>0</v>
      </c>
      <c r="F66" s="74">
        <f>presupuesto!F57</f>
        <v>0</v>
      </c>
      <c r="G66" s="83">
        <f t="shared" si="0"/>
        <v>0</v>
      </c>
      <c r="H66" s="75">
        <f>IFERROR(VLOOKUP(A66,presupuesto!B:R,17,FALSE),0)*E66</f>
        <v>0</v>
      </c>
      <c r="I66" s="73">
        <f>IFERROR(VLOOKUP(A66,seguimiento!C:F,4,FALSE),0)</f>
        <v>0</v>
      </c>
      <c r="J66" s="73">
        <f t="shared" si="2"/>
        <v>0</v>
      </c>
    </row>
    <row r="67" spans="1:10" s="32" customFormat="1" ht="15.5" x14ac:dyDescent="0.35">
      <c r="A67" s="84">
        <f>presupuesto!B58</f>
        <v>33</v>
      </c>
      <c r="B67" s="84">
        <f>IFERROR(VLOOKUP(A67,#REF!,3,FALSE),0)</f>
        <v>0</v>
      </c>
      <c r="C67" s="85" t="str">
        <f>presupuesto!C58</f>
        <v xml:space="preserve">            Cañería de acero galvanizado Sch 40 D=3”</v>
      </c>
      <c r="D67" s="86" t="str">
        <f>presupuesto!D58</f>
        <v>m</v>
      </c>
      <c r="E67" s="87">
        <f>presupuesto!E58</f>
        <v>19.5</v>
      </c>
      <c r="F67" s="70" t="str">
        <f>presupuesto!F58</f>
        <v>Tabla: Partida</v>
      </c>
      <c r="G67" s="83" t="e">
        <f t="shared" si="0"/>
        <v>#VALUE!</v>
      </c>
      <c r="H67" s="75">
        <f>IFERROR(VLOOKUP(A67,presupuesto!B:R,17,FALSE),0)*E67</f>
        <v>0</v>
      </c>
      <c r="I67" s="73">
        <f>IFERROR(VLOOKUP(A67,seguimiento!C:F,4,FALSE),0)</f>
        <v>0</v>
      </c>
      <c r="J67" s="73">
        <f t="shared" si="2"/>
        <v>0</v>
      </c>
    </row>
    <row r="68" spans="1:10" s="32" customFormat="1" ht="15.5" x14ac:dyDescent="0.35">
      <c r="A68" s="82" t="str">
        <f>presupuesto!B59</f>
        <v>C.2.-</v>
      </c>
      <c r="B68" s="82">
        <f>IFERROR(VLOOKUP(A68,#REF!,3,FALSE),0)</f>
        <v>0</v>
      </c>
      <c r="C68" s="77" t="str">
        <f>presupuesto!C59</f>
        <v xml:space="preserve">         Suministro, transporte, transporte interno, colocación y prueba de Tuberías Conduit</v>
      </c>
      <c r="D68" s="78">
        <f>presupuesto!D59</f>
        <v>0</v>
      </c>
      <c r="E68" s="79">
        <f>presupuesto!E59</f>
        <v>0</v>
      </c>
      <c r="F68" s="74">
        <f>presupuesto!F59</f>
        <v>0</v>
      </c>
      <c r="G68" s="83">
        <f t="shared" si="0"/>
        <v>0</v>
      </c>
      <c r="H68" s="75">
        <f>IFERROR(VLOOKUP(A68,presupuesto!B:R,17,FALSE),0)*E68</f>
        <v>0</v>
      </c>
      <c r="I68" s="73">
        <f>IFERROR(VLOOKUP(A68,seguimiento!C:F,4,FALSE),0)</f>
        <v>0</v>
      </c>
      <c r="J68" s="73">
        <f t="shared" si="2"/>
        <v>0</v>
      </c>
    </row>
    <row r="69" spans="1:10" s="32" customFormat="1" ht="15.5" x14ac:dyDescent="0.35">
      <c r="A69" s="84">
        <f>presupuesto!B60</f>
        <v>34</v>
      </c>
      <c r="B69" s="84">
        <f>IFERROR(VLOOKUP(A69,#REF!,3,FALSE),0)</f>
        <v>0</v>
      </c>
      <c r="C69" s="85" t="str">
        <f>presupuesto!C60</f>
        <v xml:space="preserve">            Suministro, Transporte y Transporte Interno, colocación y prueba de tuberías Conduit 3/4"</v>
      </c>
      <c r="D69" s="86" t="str">
        <f>presupuesto!D60</f>
        <v>m</v>
      </c>
      <c r="E69" s="87">
        <f>presupuesto!E60</f>
        <v>12</v>
      </c>
      <c r="F69" s="70" t="str">
        <f>presupuesto!F60</f>
        <v>Tabla: Partida</v>
      </c>
      <c r="G69" s="83" t="e">
        <f t="shared" si="0"/>
        <v>#VALUE!</v>
      </c>
      <c r="H69" s="75">
        <f>IFERROR(VLOOKUP(A69,presupuesto!B:R,17,FALSE),0)*E69</f>
        <v>0</v>
      </c>
      <c r="I69" s="73">
        <f>IFERROR(VLOOKUP(A69,seguimiento!C:F,4,FALSE),0)</f>
        <v>0</v>
      </c>
      <c r="J69" s="73">
        <f t="shared" si="2"/>
        <v>0</v>
      </c>
    </row>
    <row r="70" spans="1:10" s="32" customFormat="1" ht="15.5" x14ac:dyDescent="0.35">
      <c r="A70" s="82" t="str">
        <f>presupuesto!B61</f>
        <v>C.3.-</v>
      </c>
      <c r="B70" s="82">
        <f>IFERROR(VLOOKUP(A70,#REF!,3,FALSE),0)</f>
        <v>0</v>
      </c>
      <c r="C70" s="77" t="str">
        <f>presupuesto!C61</f>
        <v xml:space="preserve">         Suministro, transporte, transporte interno, colocación y prueba de Tuberías de pvc</v>
      </c>
      <c r="D70" s="78">
        <f>presupuesto!D61</f>
        <v>0</v>
      </c>
      <c r="E70" s="79">
        <f>presupuesto!E61</f>
        <v>0</v>
      </c>
      <c r="F70" s="74">
        <f>presupuesto!F61</f>
        <v>0</v>
      </c>
      <c r="G70" s="83">
        <f t="shared" si="0"/>
        <v>0</v>
      </c>
      <c r="H70" s="75">
        <f>IFERROR(VLOOKUP(A70,presupuesto!B:R,17,FALSE),0)*E70</f>
        <v>0</v>
      </c>
      <c r="I70" s="73">
        <f>IFERROR(VLOOKUP(A70,seguimiento!C:F,4,FALSE),0)</f>
        <v>0</v>
      </c>
      <c r="J70" s="73">
        <f t="shared" si="2"/>
        <v>0</v>
      </c>
    </row>
    <row r="71" spans="1:10" s="32" customFormat="1" ht="15" customHeight="1" x14ac:dyDescent="0.35">
      <c r="A71" s="84">
        <f>presupuesto!B62</f>
        <v>35</v>
      </c>
      <c r="B71" s="84">
        <f>IFERROR(VLOOKUP(A71,#REF!,3,FALSE),0)</f>
        <v>0</v>
      </c>
      <c r="C71" s="85" t="str">
        <f>presupuesto!C62</f>
        <v xml:space="preserve">            Suministro, Transporte y Transporte Interno, colocación y prueba de tuberías PVC C-6 75 mm</v>
      </c>
      <c r="D71" s="86" t="str">
        <f>presupuesto!D62</f>
        <v>m</v>
      </c>
      <c r="E71" s="87">
        <f>presupuesto!E62</f>
        <v>24.2</v>
      </c>
      <c r="F71" s="70" t="str">
        <f>presupuesto!F62</f>
        <v>Tabla: Partida</v>
      </c>
      <c r="G71" s="83" t="e">
        <f t="shared" si="0"/>
        <v>#VALUE!</v>
      </c>
      <c r="H71" s="75">
        <f>IFERROR(VLOOKUP(A71,presupuesto!B:R,17,FALSE),0)*E71</f>
        <v>0</v>
      </c>
      <c r="I71" s="73">
        <f>IFERROR(VLOOKUP(A71,seguimiento!C:F,4,FALSE),0)</f>
        <v>0</v>
      </c>
      <c r="J71" s="73">
        <f t="shared" si="2"/>
        <v>0</v>
      </c>
    </row>
    <row r="72" spans="1:10" s="32" customFormat="1" ht="15.5" x14ac:dyDescent="0.35">
      <c r="A72" s="82" t="str">
        <f>presupuesto!B63</f>
        <v>C.4.-</v>
      </c>
      <c r="B72" s="82">
        <f>IFERROR(VLOOKUP(A72,#REF!,3,FALSE),0)</f>
        <v>0</v>
      </c>
      <c r="C72" s="77" t="str">
        <f>presupuesto!C63</f>
        <v xml:space="preserve">         Suministro, transporte, transporte interno, colocación y prueba de Cañería de Cobre 3/4"</v>
      </c>
      <c r="D72" s="78">
        <f>presupuesto!D63</f>
        <v>0</v>
      </c>
      <c r="E72" s="79">
        <f>presupuesto!E63</f>
        <v>0</v>
      </c>
      <c r="F72" s="74">
        <f>presupuesto!F63</f>
        <v>0</v>
      </c>
      <c r="G72" s="83">
        <f t="shared" si="0"/>
        <v>0</v>
      </c>
      <c r="H72" s="75">
        <f>IFERROR(VLOOKUP(A72,presupuesto!B:R,17,FALSE),0)*E72</f>
        <v>0</v>
      </c>
      <c r="I72" s="73">
        <f>IFERROR(VLOOKUP(A72,seguimiento!C:F,4,FALSE),0)</f>
        <v>0</v>
      </c>
      <c r="J72" s="73">
        <f t="shared" si="2"/>
        <v>0</v>
      </c>
    </row>
    <row r="73" spans="1:10" s="32" customFormat="1" ht="15.5" x14ac:dyDescent="0.35">
      <c r="A73" s="84">
        <f>presupuesto!B64</f>
        <v>36</v>
      </c>
      <c r="B73" s="84">
        <f>IFERROR(VLOOKUP(A73,#REF!,3,FALSE),0)</f>
        <v>0</v>
      </c>
      <c r="C73" s="85" t="str">
        <f>presupuesto!C64</f>
        <v xml:space="preserve">            Suministro, Transporte y Transporte Interno, colocación y prueba de tuberías Cobre 3/4"</v>
      </c>
      <c r="D73" s="86" t="str">
        <f>presupuesto!D64</f>
        <v>m</v>
      </c>
      <c r="E73" s="87">
        <f>presupuesto!E64</f>
        <v>1</v>
      </c>
      <c r="F73" s="70" t="str">
        <f>presupuesto!F64</f>
        <v>Tabla: Partida</v>
      </c>
      <c r="G73" s="83" t="e">
        <f t="shared" si="0"/>
        <v>#VALUE!</v>
      </c>
      <c r="H73" s="75">
        <f>IFERROR(VLOOKUP(A73,presupuesto!B:R,17,FALSE),0)*E73</f>
        <v>0</v>
      </c>
      <c r="I73" s="73">
        <f>IFERROR(VLOOKUP(A73,seguimiento!C:F,4,FALSE),0)</f>
        <v>0</v>
      </c>
      <c r="J73" s="73">
        <f t="shared" si="2"/>
        <v>0</v>
      </c>
    </row>
    <row r="74" spans="1:10" s="32" customFormat="1" ht="15.75" customHeight="1" collapsed="1" x14ac:dyDescent="0.35">
      <c r="A74" s="82" t="str">
        <f>presupuesto!B65</f>
        <v>C.5.-</v>
      </c>
      <c r="B74" s="82">
        <f>IFERROR(VLOOKUP(A74,#REF!,3,FALSE),0)</f>
        <v>0</v>
      </c>
      <c r="C74" s="77" t="str">
        <f>presupuesto!C65</f>
        <v xml:space="preserve">         Suministro, transporte, transporte interno, colocación y prueba de Piezas Especiales con/sin mecanismo</v>
      </c>
      <c r="D74" s="78">
        <f>presupuesto!D65</f>
        <v>0</v>
      </c>
      <c r="E74" s="79">
        <f>presupuesto!E65</f>
        <v>0</v>
      </c>
      <c r="F74" s="74">
        <f>presupuesto!F65</f>
        <v>0</v>
      </c>
      <c r="G74" s="83">
        <f t="shared" si="0"/>
        <v>0</v>
      </c>
      <c r="H74" s="75">
        <f>IFERROR(VLOOKUP(A74,presupuesto!B:R,17,FALSE),0)*E74</f>
        <v>0</v>
      </c>
      <c r="I74" s="73">
        <f>IFERROR(VLOOKUP(A74,seguimiento!C:F,4,FALSE),0)</f>
        <v>0</v>
      </c>
      <c r="J74" s="73">
        <f t="shared" si="2"/>
        <v>0</v>
      </c>
    </row>
    <row r="75" spans="1:10" s="32" customFormat="1" ht="15.5" x14ac:dyDescent="0.35">
      <c r="A75" s="84">
        <f>presupuesto!B66</f>
        <v>37</v>
      </c>
      <c r="B75" s="84">
        <f>IFERROR(VLOOKUP(A75,#REF!,3,FALSE),0)</f>
        <v>0</v>
      </c>
      <c r="C75" s="85" t="str">
        <f>presupuesto!C66</f>
        <v xml:space="preserve">            Piezas especiales de HDPE</v>
      </c>
      <c r="D75" s="86" t="str">
        <f>presupuesto!D66</f>
        <v>Kg</v>
      </c>
      <c r="E75" s="87">
        <f>presupuesto!E66</f>
        <v>1</v>
      </c>
      <c r="F75" s="70" t="str">
        <f>presupuesto!F66</f>
        <v>Tabla: Partida</v>
      </c>
      <c r="G75" s="83" t="e">
        <f t="shared" si="0"/>
        <v>#VALUE!</v>
      </c>
      <c r="H75" s="75">
        <f>IFERROR(VLOOKUP(A75,presupuesto!B:R,17,FALSE),0)*E75</f>
        <v>0</v>
      </c>
      <c r="I75" s="73">
        <f>IFERROR(VLOOKUP(A75,seguimiento!C:F,4,FALSE),0)</f>
        <v>0</v>
      </c>
      <c r="J75" s="73">
        <f t="shared" si="2"/>
        <v>0</v>
      </c>
    </row>
    <row r="76" spans="1:10" s="32" customFormat="1" ht="15.5" x14ac:dyDescent="0.35">
      <c r="A76" s="84">
        <f>presupuesto!B67</f>
        <v>38</v>
      </c>
      <c r="B76" s="84">
        <f>IFERROR(VLOOKUP(A76,#REF!,3,FALSE),0)</f>
        <v>0</v>
      </c>
      <c r="C76" s="85" t="str">
        <f>presupuesto!C67</f>
        <v xml:space="preserve">            Piezas especiales de Fierro Fundido</v>
      </c>
      <c r="D76" s="86" t="str">
        <f>presupuesto!D67</f>
        <v>kg</v>
      </c>
      <c r="E76" s="87">
        <f>presupuesto!E67</f>
        <v>279.7</v>
      </c>
      <c r="F76" s="70" t="str">
        <f>presupuesto!F67</f>
        <v>Tabla: Partida</v>
      </c>
      <c r="G76" s="83" t="e">
        <f t="shared" si="0"/>
        <v>#VALUE!</v>
      </c>
      <c r="H76" s="75">
        <f>IFERROR(VLOOKUP(A76,presupuesto!B:R,17,FALSE),0)*E76</f>
        <v>0</v>
      </c>
      <c r="I76" s="73">
        <f>IFERROR(VLOOKUP(A76,seguimiento!C:F,4,FALSE),0)</f>
        <v>0</v>
      </c>
      <c r="J76" s="73">
        <f t="shared" si="2"/>
        <v>0</v>
      </c>
    </row>
    <row r="77" spans="1:10" s="32" customFormat="1" ht="15.5" x14ac:dyDescent="0.35">
      <c r="A77" s="84">
        <f>presupuesto!B68</f>
        <v>39</v>
      </c>
      <c r="B77" s="84">
        <f>IFERROR(VLOOKUP(A77,#REF!,3,FALSE),0)</f>
        <v>0</v>
      </c>
      <c r="C77" s="85" t="str">
        <f>presupuesto!C68</f>
        <v xml:space="preserve">            Piezas especiales de Acero</v>
      </c>
      <c r="D77" s="86" t="str">
        <f>presupuesto!D68</f>
        <v>kg</v>
      </c>
      <c r="E77" s="87">
        <f>presupuesto!E68</f>
        <v>2.5</v>
      </c>
      <c r="F77" s="70" t="str">
        <f>presupuesto!F68</f>
        <v>Tabla: Partida</v>
      </c>
      <c r="G77" s="83" t="e">
        <f t="shared" si="0"/>
        <v>#VALUE!</v>
      </c>
      <c r="H77" s="75">
        <f>IFERROR(VLOOKUP(A77,presupuesto!B:R,17,FALSE),0)*E77</f>
        <v>0</v>
      </c>
      <c r="I77" s="73">
        <f>IFERROR(VLOOKUP(A77,seguimiento!C:F,4,FALSE),0)</f>
        <v>0</v>
      </c>
      <c r="J77" s="73">
        <f t="shared" si="2"/>
        <v>0</v>
      </c>
    </row>
    <row r="78" spans="1:10" s="32" customFormat="1" ht="15.5" x14ac:dyDescent="0.35">
      <c r="A78" s="84">
        <f>presupuesto!B69</f>
        <v>40</v>
      </c>
      <c r="B78" s="84">
        <f>IFERROR(VLOOKUP(A78,#REF!,3,FALSE),0)</f>
        <v>0</v>
      </c>
      <c r="C78" s="85" t="str">
        <f>presupuesto!C69</f>
        <v xml:space="preserve">            Piezas especiales de Bronce</v>
      </c>
      <c r="D78" s="86" t="str">
        <f>presupuesto!D69</f>
        <v>kg</v>
      </c>
      <c r="E78" s="87">
        <f>presupuesto!E69</f>
        <v>2</v>
      </c>
      <c r="F78" s="70" t="str">
        <f>presupuesto!F69</f>
        <v>Tabla: Partida</v>
      </c>
      <c r="G78" s="83" t="e">
        <f t="shared" ref="G78:G84" si="3">ROUND(E78*F78,0)</f>
        <v>#VALUE!</v>
      </c>
      <c r="H78" s="75">
        <f>IFERROR(VLOOKUP(A78,presupuesto!B:R,17,FALSE),0)*E78</f>
        <v>0</v>
      </c>
      <c r="I78" s="73">
        <f>IFERROR(VLOOKUP(A78,seguimiento!C:F,4,FALSE),0)</f>
        <v>0</v>
      </c>
      <c r="J78" s="73">
        <f t="shared" si="2"/>
        <v>0</v>
      </c>
    </row>
    <row r="79" spans="1:10" s="32" customFormat="1" ht="15.5" x14ac:dyDescent="0.35">
      <c r="A79" s="84">
        <f>presupuesto!B70</f>
        <v>41</v>
      </c>
      <c r="B79" s="84">
        <f>IFERROR(VLOOKUP(A79,#REF!,3,FALSE),0)</f>
        <v>0</v>
      </c>
      <c r="C79" s="85" t="str">
        <f>presupuesto!C70</f>
        <v xml:space="preserve">            Piezas especiales de Conduit</v>
      </c>
      <c r="D79" s="86" t="str">
        <f>presupuesto!D70</f>
        <v>kg</v>
      </c>
      <c r="E79" s="87">
        <f>presupuesto!E70</f>
        <v>6</v>
      </c>
      <c r="F79" s="70" t="str">
        <f>presupuesto!F70</f>
        <v>Tabla: Partida</v>
      </c>
      <c r="G79" s="83" t="e">
        <f t="shared" si="3"/>
        <v>#VALUE!</v>
      </c>
      <c r="H79" s="75">
        <f>IFERROR(VLOOKUP(A79,presupuesto!B:R,17,FALSE),0)*E79</f>
        <v>0</v>
      </c>
      <c r="I79" s="73">
        <f>IFERROR(VLOOKUP(A79,seguimiento!C:F,4,FALSE),0)</f>
        <v>0</v>
      </c>
      <c r="J79" s="73">
        <f t="shared" ref="J79:J142" si="4">+I79-H79</f>
        <v>0</v>
      </c>
    </row>
    <row r="80" spans="1:10" s="32" customFormat="1" ht="15.5" x14ac:dyDescent="0.35">
      <c r="A80" s="84">
        <f>presupuesto!B71</f>
        <v>42</v>
      </c>
      <c r="B80" s="84">
        <f>IFERROR(VLOOKUP(A80,#REF!,3,FALSE),0)</f>
        <v>0</v>
      </c>
      <c r="C80" s="85" t="str">
        <f>presupuesto!C71</f>
        <v xml:space="preserve">            Piezas Especiales con mecanismo</v>
      </c>
      <c r="D80" s="86" t="str">
        <f>presupuesto!D71</f>
        <v>kg</v>
      </c>
      <c r="E80" s="87">
        <f>presupuesto!E71</f>
        <v>48</v>
      </c>
      <c r="F80" s="70" t="str">
        <f>presupuesto!F71</f>
        <v>Tabla: Partida</v>
      </c>
      <c r="G80" s="83" t="e">
        <f t="shared" si="3"/>
        <v>#VALUE!</v>
      </c>
      <c r="H80" s="75">
        <f>IFERROR(VLOOKUP(A80,presupuesto!B:R,17,FALSE),0)*E80</f>
        <v>0</v>
      </c>
      <c r="I80" s="73">
        <f>IFERROR(VLOOKUP(A80,seguimiento!C:F,4,FALSE),0)</f>
        <v>0</v>
      </c>
      <c r="J80" s="73">
        <f t="shared" si="4"/>
        <v>0</v>
      </c>
    </row>
    <row r="81" spans="1:604" s="35" customFormat="1" ht="15.5" x14ac:dyDescent="0.35">
      <c r="A81" s="84">
        <f>presupuesto!B72</f>
        <v>43</v>
      </c>
      <c r="B81" s="84">
        <f>IFERROR(VLOOKUP(A81,#REF!,3,FALSE),0)</f>
        <v>0</v>
      </c>
      <c r="C81" s="85" t="str">
        <f>presupuesto!C72</f>
        <v xml:space="preserve">            Macromedidor con camara de protección</v>
      </c>
      <c r="D81" s="86" t="str">
        <f>presupuesto!D72</f>
        <v>Uni</v>
      </c>
      <c r="E81" s="87">
        <f>presupuesto!E72</f>
        <v>1</v>
      </c>
      <c r="F81" s="70" t="str">
        <f>presupuesto!F72</f>
        <v>Tabla: Partida</v>
      </c>
      <c r="G81" s="83" t="e">
        <f t="shared" si="3"/>
        <v>#VALUE!</v>
      </c>
      <c r="H81" s="75">
        <f>IFERROR(VLOOKUP(A81,presupuesto!B:R,17,FALSE),0)*E81</f>
        <v>0</v>
      </c>
      <c r="I81" s="73">
        <f>IFERROR(VLOOKUP(A81,seguimiento!C:F,4,FALSE),0)</f>
        <v>0</v>
      </c>
      <c r="J81" s="73">
        <f t="shared" si="4"/>
        <v>0</v>
      </c>
      <c r="K81" s="33"/>
      <c r="L81" s="34"/>
      <c r="M81" s="33"/>
      <c r="N81" s="34"/>
      <c r="O81" s="33"/>
      <c r="P81" s="34"/>
      <c r="Q81" s="33"/>
      <c r="R81" s="34"/>
      <c r="S81" s="33"/>
      <c r="T81" s="34"/>
      <c r="U81" s="33"/>
      <c r="V81" s="34"/>
      <c r="W81" s="33"/>
      <c r="X81" s="34"/>
      <c r="Y81" s="33"/>
      <c r="Z81" s="34"/>
      <c r="AA81" s="33"/>
      <c r="AB81" s="34"/>
      <c r="AC81" s="33"/>
      <c r="AD81" s="34"/>
      <c r="AE81" s="33"/>
      <c r="AF81" s="34"/>
      <c r="AG81" s="33"/>
      <c r="AH81" s="34"/>
      <c r="AI81" s="33"/>
      <c r="AJ81" s="34"/>
      <c r="AK81" s="33"/>
      <c r="AL81" s="34"/>
      <c r="AM81" s="33"/>
      <c r="AN81" s="34"/>
      <c r="AO81" s="33"/>
      <c r="AP81" s="34"/>
      <c r="AQ81" s="33"/>
      <c r="AR81" s="34"/>
      <c r="AS81" s="33"/>
      <c r="AT81" s="34"/>
      <c r="AU81" s="33"/>
      <c r="AV81" s="34"/>
      <c r="AW81" s="33"/>
      <c r="AX81" s="34"/>
      <c r="AY81" s="33"/>
      <c r="AZ81" s="34"/>
      <c r="BA81" s="33"/>
      <c r="BB81" s="34"/>
      <c r="BC81" s="33"/>
      <c r="BD81" s="34"/>
      <c r="BE81" s="33"/>
      <c r="BF81" s="34"/>
      <c r="BG81" s="33"/>
      <c r="BH81" s="34"/>
      <c r="BI81" s="33"/>
      <c r="BJ81" s="34"/>
      <c r="BK81" s="33"/>
      <c r="BL81" s="34"/>
      <c r="BM81" s="33"/>
      <c r="BN81" s="34"/>
      <c r="BO81" s="33"/>
      <c r="BP81" s="34"/>
      <c r="BQ81" s="33"/>
      <c r="BR81" s="34"/>
      <c r="BS81" s="33"/>
      <c r="BT81" s="34"/>
      <c r="BU81" s="33"/>
      <c r="BV81" s="34"/>
      <c r="BW81" s="33"/>
      <c r="BX81" s="34"/>
      <c r="BY81" s="33"/>
      <c r="BZ81" s="34"/>
      <c r="CA81" s="33"/>
      <c r="CB81" s="34"/>
      <c r="CC81" s="33"/>
      <c r="CD81" s="34"/>
      <c r="CE81" s="33"/>
      <c r="CF81" s="34"/>
      <c r="CG81" s="33"/>
      <c r="CH81" s="34"/>
      <c r="CI81" s="33"/>
      <c r="CJ81" s="34"/>
      <c r="CK81" s="33"/>
      <c r="CL81" s="34"/>
      <c r="CM81" s="33"/>
      <c r="CN81" s="34"/>
      <c r="CO81" s="33"/>
      <c r="CP81" s="34"/>
      <c r="CQ81" s="33"/>
      <c r="CR81" s="34"/>
      <c r="CS81" s="33"/>
      <c r="CT81" s="34"/>
      <c r="CU81" s="33"/>
      <c r="CV81" s="34"/>
      <c r="CW81" s="33"/>
      <c r="CX81" s="34"/>
      <c r="CY81" s="33"/>
      <c r="CZ81" s="34"/>
      <c r="DA81" s="33"/>
      <c r="DB81" s="34"/>
      <c r="DC81" s="33"/>
      <c r="DD81" s="34"/>
      <c r="DE81" s="33"/>
      <c r="DF81" s="34"/>
      <c r="DG81" s="33"/>
      <c r="DH81" s="34"/>
      <c r="DI81" s="33"/>
      <c r="DJ81" s="34"/>
      <c r="DK81" s="33"/>
      <c r="DL81" s="34"/>
      <c r="DM81" s="33"/>
      <c r="DN81" s="34"/>
      <c r="DO81" s="33"/>
      <c r="DP81" s="34"/>
      <c r="DQ81" s="33"/>
      <c r="DR81" s="34"/>
      <c r="DS81" s="33"/>
      <c r="DT81" s="34"/>
      <c r="DU81" s="33"/>
      <c r="DV81" s="34"/>
      <c r="DW81" s="33"/>
      <c r="DX81" s="34"/>
      <c r="DY81" s="33"/>
      <c r="DZ81" s="34"/>
      <c r="EA81" s="33"/>
      <c r="EB81" s="34"/>
      <c r="EC81" s="33"/>
      <c r="ED81" s="34"/>
      <c r="EE81" s="33"/>
      <c r="EF81" s="34"/>
      <c r="EG81" s="33"/>
      <c r="EH81" s="34"/>
      <c r="EI81" s="33"/>
      <c r="EJ81" s="34"/>
      <c r="EK81" s="33"/>
      <c r="EL81" s="34"/>
      <c r="EM81" s="33"/>
      <c r="EN81" s="34"/>
      <c r="EO81" s="33"/>
      <c r="EP81" s="34"/>
      <c r="EQ81" s="33"/>
      <c r="ER81" s="34"/>
      <c r="ES81" s="33"/>
      <c r="ET81" s="34"/>
      <c r="EU81" s="33"/>
      <c r="EV81" s="34"/>
      <c r="EW81" s="33"/>
      <c r="EX81" s="34"/>
      <c r="EY81" s="33"/>
      <c r="EZ81" s="34"/>
      <c r="FA81" s="33"/>
      <c r="FB81" s="34"/>
      <c r="FC81" s="33"/>
      <c r="FD81" s="34"/>
      <c r="FE81" s="33"/>
      <c r="FF81" s="34"/>
      <c r="FG81" s="33"/>
      <c r="FH81" s="34"/>
      <c r="FI81" s="33"/>
      <c r="FJ81" s="34"/>
      <c r="FK81" s="33"/>
      <c r="FL81" s="34"/>
      <c r="FM81" s="33"/>
      <c r="FN81" s="34"/>
      <c r="FO81" s="33"/>
      <c r="FP81" s="34"/>
      <c r="FQ81" s="33"/>
      <c r="FR81" s="34"/>
      <c r="FS81" s="33"/>
      <c r="FT81" s="34"/>
      <c r="FU81" s="33"/>
      <c r="FV81" s="34"/>
      <c r="FW81" s="33"/>
      <c r="FX81" s="34"/>
      <c r="FY81" s="33"/>
      <c r="FZ81" s="34"/>
      <c r="GA81" s="33"/>
      <c r="GB81" s="34"/>
      <c r="GC81" s="33"/>
      <c r="GD81" s="34"/>
      <c r="GE81" s="33"/>
      <c r="GF81" s="34"/>
      <c r="GG81" s="33"/>
      <c r="GH81" s="34"/>
      <c r="GI81" s="33"/>
      <c r="GJ81" s="34"/>
      <c r="GK81" s="33"/>
      <c r="GL81" s="34"/>
      <c r="GM81" s="33"/>
      <c r="GN81" s="34"/>
      <c r="GO81" s="33"/>
      <c r="GP81" s="34"/>
      <c r="GQ81" s="33"/>
      <c r="GR81" s="34"/>
      <c r="GS81" s="33"/>
      <c r="GT81" s="34"/>
      <c r="GU81" s="33"/>
      <c r="GV81" s="34"/>
      <c r="GW81" s="33"/>
      <c r="GX81" s="34"/>
      <c r="GY81" s="33"/>
      <c r="GZ81" s="34"/>
      <c r="HA81" s="33"/>
      <c r="HB81" s="34"/>
      <c r="HC81" s="33"/>
      <c r="HD81" s="34"/>
      <c r="HE81" s="33"/>
      <c r="HF81" s="34"/>
      <c r="HG81" s="33"/>
      <c r="HH81" s="34"/>
      <c r="HI81" s="33"/>
      <c r="HJ81" s="34"/>
      <c r="HK81" s="33"/>
      <c r="HL81" s="34"/>
      <c r="HM81" s="33"/>
      <c r="HN81" s="34"/>
      <c r="HO81" s="33"/>
      <c r="HP81" s="34"/>
      <c r="HQ81" s="33"/>
      <c r="HR81" s="34"/>
      <c r="HS81" s="33"/>
      <c r="HT81" s="34"/>
      <c r="HU81" s="33"/>
      <c r="HV81" s="34"/>
      <c r="HW81" s="33"/>
      <c r="HX81" s="34"/>
      <c r="HY81" s="33"/>
      <c r="HZ81" s="34"/>
      <c r="IA81" s="33"/>
      <c r="IB81" s="34"/>
      <c r="IC81" s="33"/>
      <c r="ID81" s="34"/>
      <c r="IE81" s="33"/>
      <c r="IF81" s="34"/>
      <c r="IG81" s="33"/>
      <c r="IH81" s="34"/>
      <c r="II81" s="33"/>
      <c r="IJ81" s="34"/>
      <c r="IK81" s="33"/>
      <c r="IL81" s="34"/>
      <c r="IM81" s="33"/>
      <c r="IN81" s="34"/>
      <c r="IO81" s="33"/>
      <c r="IP81" s="34"/>
      <c r="IQ81" s="33"/>
      <c r="IR81" s="34"/>
      <c r="IS81" s="33"/>
      <c r="IT81" s="34"/>
      <c r="IU81" s="33"/>
      <c r="IV81" s="34"/>
      <c r="IW81" s="33"/>
      <c r="IX81" s="34"/>
      <c r="IY81" s="33"/>
      <c r="IZ81" s="34"/>
      <c r="JA81" s="33"/>
      <c r="JB81" s="34"/>
      <c r="JC81" s="33"/>
      <c r="JD81" s="34"/>
      <c r="JE81" s="33"/>
      <c r="JF81" s="34"/>
      <c r="JG81" s="33"/>
      <c r="JH81" s="34"/>
      <c r="JI81" s="33"/>
      <c r="JJ81" s="34"/>
      <c r="JK81" s="33"/>
      <c r="JL81" s="34"/>
      <c r="JM81" s="33"/>
      <c r="JN81" s="34"/>
      <c r="JO81" s="33"/>
      <c r="JP81" s="34"/>
      <c r="JQ81" s="33"/>
      <c r="JR81" s="34"/>
      <c r="JS81" s="33"/>
      <c r="JT81" s="34"/>
      <c r="JU81" s="33"/>
      <c r="JV81" s="34"/>
      <c r="JW81" s="33"/>
      <c r="JX81" s="34"/>
      <c r="JY81" s="33"/>
      <c r="JZ81" s="34"/>
      <c r="KA81" s="33"/>
      <c r="KB81" s="34"/>
      <c r="KC81" s="33"/>
      <c r="KD81" s="34"/>
      <c r="KE81" s="33"/>
      <c r="KF81" s="34"/>
      <c r="KG81" s="33"/>
      <c r="KH81" s="34"/>
      <c r="KI81" s="33"/>
      <c r="KJ81" s="34"/>
      <c r="KK81" s="33"/>
      <c r="KL81" s="34"/>
      <c r="KM81" s="33"/>
      <c r="KN81" s="34"/>
      <c r="KO81" s="33"/>
      <c r="KP81" s="34"/>
      <c r="KQ81" s="33"/>
      <c r="KR81" s="34"/>
      <c r="KS81" s="33"/>
      <c r="KT81" s="34"/>
      <c r="KU81" s="33"/>
      <c r="KV81" s="34"/>
      <c r="KW81" s="33"/>
      <c r="KX81" s="34"/>
      <c r="KY81" s="33"/>
      <c r="KZ81" s="34"/>
      <c r="LA81" s="33"/>
      <c r="LB81" s="34"/>
      <c r="LC81" s="33"/>
      <c r="LD81" s="34"/>
      <c r="LE81" s="33"/>
      <c r="LF81" s="34"/>
      <c r="LG81" s="33"/>
      <c r="LH81" s="34"/>
      <c r="LI81" s="33"/>
      <c r="LJ81" s="34"/>
      <c r="LK81" s="33"/>
      <c r="LL81" s="34"/>
      <c r="LM81" s="33"/>
      <c r="LN81" s="34"/>
      <c r="LO81" s="33"/>
      <c r="LP81" s="34"/>
      <c r="LQ81" s="33"/>
      <c r="LR81" s="34"/>
      <c r="LS81" s="33"/>
      <c r="LT81" s="34"/>
      <c r="LU81" s="33"/>
      <c r="LV81" s="34"/>
      <c r="LW81" s="33"/>
      <c r="LX81" s="34"/>
      <c r="LY81" s="33"/>
      <c r="LZ81" s="34"/>
      <c r="MA81" s="33"/>
      <c r="MB81" s="34"/>
      <c r="MC81" s="33"/>
      <c r="MD81" s="34"/>
      <c r="ME81" s="33"/>
      <c r="MF81" s="34"/>
      <c r="MG81" s="33"/>
      <c r="MH81" s="34"/>
      <c r="MI81" s="33"/>
      <c r="MJ81" s="34"/>
      <c r="MK81" s="33"/>
      <c r="ML81" s="34"/>
      <c r="MM81" s="33"/>
      <c r="MN81" s="34"/>
      <c r="MO81" s="33"/>
      <c r="MP81" s="34"/>
      <c r="MQ81" s="33"/>
      <c r="MR81" s="34"/>
      <c r="MS81" s="33"/>
      <c r="MT81" s="34"/>
      <c r="MU81" s="33"/>
      <c r="MV81" s="34"/>
      <c r="MW81" s="33"/>
      <c r="MX81" s="34"/>
      <c r="MY81" s="33"/>
      <c r="MZ81" s="34"/>
      <c r="NA81" s="33"/>
      <c r="NB81" s="34"/>
      <c r="NC81" s="33"/>
      <c r="ND81" s="34"/>
      <c r="NE81" s="33"/>
      <c r="NF81" s="34"/>
      <c r="NG81" s="33"/>
      <c r="NH81" s="34"/>
      <c r="NI81" s="33"/>
      <c r="NJ81" s="34"/>
      <c r="NK81" s="33"/>
      <c r="NL81" s="34"/>
      <c r="NM81" s="33"/>
      <c r="NN81" s="34"/>
      <c r="NO81" s="33"/>
      <c r="NP81" s="34"/>
      <c r="NQ81" s="33"/>
      <c r="NR81" s="34"/>
      <c r="NS81" s="33"/>
      <c r="NT81" s="34"/>
      <c r="NU81" s="33"/>
      <c r="NV81" s="34"/>
      <c r="NW81" s="33"/>
      <c r="NX81" s="34"/>
      <c r="NY81" s="33"/>
      <c r="NZ81" s="34"/>
      <c r="OA81" s="33"/>
      <c r="OB81" s="34"/>
      <c r="OC81" s="33"/>
      <c r="OD81" s="34"/>
      <c r="OE81" s="33"/>
      <c r="OF81" s="34"/>
      <c r="OG81" s="33"/>
      <c r="OH81" s="34"/>
      <c r="OI81" s="33"/>
      <c r="OJ81" s="34"/>
      <c r="OK81" s="33"/>
      <c r="OL81" s="34"/>
      <c r="OM81" s="33"/>
      <c r="ON81" s="34"/>
      <c r="OO81" s="33"/>
      <c r="OP81" s="34"/>
      <c r="OQ81" s="33"/>
      <c r="OR81" s="34"/>
      <c r="OS81" s="33"/>
      <c r="OT81" s="34"/>
      <c r="OU81" s="33"/>
      <c r="OV81" s="34"/>
      <c r="OW81" s="33"/>
      <c r="OX81" s="34"/>
      <c r="OY81" s="33"/>
      <c r="OZ81" s="34"/>
      <c r="PA81" s="33"/>
      <c r="PB81" s="34"/>
      <c r="PC81" s="33"/>
      <c r="PD81" s="34"/>
      <c r="PE81" s="33"/>
      <c r="PF81" s="34"/>
      <c r="PG81" s="33"/>
      <c r="PH81" s="34"/>
      <c r="PI81" s="33"/>
      <c r="PJ81" s="34"/>
      <c r="PK81" s="33"/>
      <c r="PL81" s="34"/>
      <c r="PM81" s="33"/>
      <c r="PN81" s="34"/>
      <c r="PO81" s="33"/>
      <c r="PP81" s="34"/>
      <c r="PQ81" s="33"/>
      <c r="PR81" s="34"/>
      <c r="PS81" s="33"/>
      <c r="PT81" s="34"/>
      <c r="PU81" s="33"/>
      <c r="PV81" s="34"/>
      <c r="PW81" s="33"/>
      <c r="PX81" s="34"/>
      <c r="PY81" s="33"/>
      <c r="PZ81" s="34"/>
      <c r="QA81" s="33"/>
      <c r="QB81" s="34"/>
      <c r="QC81" s="33"/>
      <c r="QD81" s="34"/>
      <c r="QE81" s="33"/>
      <c r="QF81" s="34"/>
      <c r="QG81" s="33"/>
      <c r="QH81" s="34"/>
      <c r="QI81" s="33"/>
      <c r="QJ81" s="34"/>
      <c r="QK81" s="33"/>
      <c r="QL81" s="34"/>
      <c r="QM81" s="33"/>
      <c r="QN81" s="34"/>
      <c r="QO81" s="33"/>
      <c r="QP81" s="34"/>
      <c r="QQ81" s="33"/>
      <c r="QR81" s="34"/>
      <c r="QS81" s="33"/>
      <c r="QT81" s="34"/>
      <c r="QU81" s="33"/>
      <c r="QV81" s="34"/>
      <c r="QW81" s="33"/>
      <c r="QX81" s="34"/>
      <c r="QY81" s="33"/>
      <c r="QZ81" s="34"/>
      <c r="RA81" s="33"/>
      <c r="RB81" s="34"/>
      <c r="RC81" s="33"/>
      <c r="RD81" s="34"/>
      <c r="RE81" s="33"/>
      <c r="RF81" s="34"/>
      <c r="RG81" s="33"/>
      <c r="RH81" s="34"/>
      <c r="RI81" s="33"/>
      <c r="RJ81" s="34"/>
      <c r="RK81" s="33"/>
      <c r="RL81" s="34"/>
      <c r="RM81" s="33"/>
      <c r="RN81" s="34"/>
      <c r="RO81" s="33"/>
      <c r="RP81" s="34"/>
      <c r="RQ81" s="33"/>
      <c r="RR81" s="34"/>
      <c r="RS81" s="33"/>
      <c r="RT81" s="34"/>
      <c r="RU81" s="33"/>
      <c r="RV81" s="34"/>
      <c r="RW81" s="33"/>
      <c r="RX81" s="34"/>
      <c r="RY81" s="33"/>
      <c r="RZ81" s="34"/>
      <c r="SA81" s="33"/>
      <c r="SB81" s="34"/>
      <c r="SC81" s="33"/>
      <c r="SD81" s="34"/>
      <c r="SE81" s="33"/>
      <c r="SF81" s="34"/>
      <c r="SG81" s="33"/>
      <c r="SH81" s="34"/>
      <c r="SI81" s="33"/>
      <c r="SJ81" s="34"/>
      <c r="SK81" s="33"/>
      <c r="SL81" s="34"/>
      <c r="SM81" s="33"/>
      <c r="SN81" s="34"/>
      <c r="SO81" s="33"/>
      <c r="SP81" s="34"/>
      <c r="SQ81" s="33"/>
      <c r="SR81" s="34"/>
      <c r="SS81" s="33"/>
      <c r="ST81" s="34"/>
      <c r="SU81" s="33"/>
      <c r="SV81" s="34"/>
      <c r="SW81" s="33"/>
      <c r="SX81" s="34"/>
      <c r="SY81" s="33"/>
      <c r="SZ81" s="34"/>
      <c r="TA81" s="33"/>
      <c r="TB81" s="34"/>
      <c r="TC81" s="33"/>
      <c r="TD81" s="34"/>
      <c r="TE81" s="33"/>
      <c r="TF81" s="34"/>
      <c r="TG81" s="33"/>
      <c r="TH81" s="34"/>
      <c r="TI81" s="33"/>
      <c r="TJ81" s="34"/>
      <c r="TK81" s="33"/>
      <c r="TL81" s="34"/>
      <c r="TM81" s="33"/>
      <c r="TN81" s="34"/>
      <c r="TO81" s="33"/>
      <c r="TP81" s="34"/>
      <c r="TQ81" s="33"/>
      <c r="TR81" s="34"/>
      <c r="TS81" s="33"/>
      <c r="TT81" s="34"/>
      <c r="TU81" s="33"/>
      <c r="TV81" s="34"/>
      <c r="TW81" s="33"/>
      <c r="TX81" s="34"/>
      <c r="TY81" s="33"/>
      <c r="TZ81" s="34"/>
      <c r="UA81" s="33"/>
      <c r="UB81" s="34"/>
      <c r="UC81" s="33"/>
      <c r="UD81" s="34"/>
      <c r="UE81" s="33"/>
      <c r="UF81" s="34"/>
      <c r="UG81" s="33"/>
      <c r="UH81" s="34"/>
      <c r="UI81" s="33"/>
      <c r="UJ81" s="34"/>
      <c r="UK81" s="33"/>
      <c r="UL81" s="34"/>
      <c r="UM81" s="33"/>
      <c r="UN81" s="34"/>
      <c r="UO81" s="33"/>
      <c r="UP81" s="34"/>
      <c r="UQ81" s="33"/>
      <c r="UR81" s="34"/>
      <c r="US81" s="33"/>
      <c r="UT81" s="34"/>
      <c r="UU81" s="33"/>
      <c r="UV81" s="34"/>
      <c r="UW81" s="33"/>
      <c r="UX81" s="34"/>
      <c r="UY81" s="33"/>
      <c r="UZ81" s="34"/>
      <c r="VA81" s="33"/>
      <c r="VB81" s="34"/>
      <c r="VC81" s="33"/>
      <c r="VD81" s="34"/>
      <c r="VE81" s="33"/>
      <c r="VF81" s="34"/>
      <c r="VG81" s="33"/>
      <c r="VH81" s="34"/>
      <c r="VI81" s="33"/>
      <c r="VJ81" s="34"/>
      <c r="VK81" s="33"/>
      <c r="VL81" s="34"/>
      <c r="VM81" s="33"/>
      <c r="VN81" s="34"/>
      <c r="VO81" s="33"/>
      <c r="VP81" s="34"/>
      <c r="VQ81" s="33"/>
      <c r="VR81" s="34"/>
      <c r="VS81" s="33"/>
      <c r="VT81" s="34"/>
      <c r="VU81" s="33"/>
      <c r="VV81" s="34"/>
      <c r="VW81" s="33"/>
      <c r="VX81" s="34"/>
      <c r="VY81" s="33"/>
      <c r="VZ81" s="34"/>
      <c r="WA81" s="33"/>
      <c r="WB81" s="34"/>
      <c r="WC81" s="33"/>
      <c r="WD81" s="34"/>
      <c r="WE81" s="33"/>
      <c r="WF81" s="34"/>
    </row>
    <row r="82" spans="1:604" s="32" customFormat="1" ht="15.5" x14ac:dyDescent="0.35">
      <c r="A82" s="82" t="str">
        <f>presupuesto!B73</f>
        <v>D.-</v>
      </c>
      <c r="B82" s="82">
        <f>IFERROR(VLOOKUP(A82,#REF!,3,FALSE),0)</f>
        <v>0</v>
      </c>
      <c r="C82" s="77" t="str">
        <f>presupuesto!C73</f>
        <v xml:space="preserve">      OBRAS DE HORMIGÓN</v>
      </c>
      <c r="D82" s="78">
        <f>presupuesto!D73</f>
        <v>0</v>
      </c>
      <c r="E82" s="79">
        <f>presupuesto!E73</f>
        <v>0</v>
      </c>
      <c r="F82" s="74">
        <f>presupuesto!F73</f>
        <v>0</v>
      </c>
      <c r="G82" s="83">
        <f t="shared" si="3"/>
        <v>0</v>
      </c>
      <c r="H82" s="75">
        <f>IFERROR(VLOOKUP(A82,presupuesto!B:R,17,FALSE),0)*E82</f>
        <v>0</v>
      </c>
      <c r="I82" s="73">
        <f>IFERROR(VLOOKUP(A82,seguimiento!C:F,4,FALSE),0)</f>
        <v>0</v>
      </c>
      <c r="J82" s="73">
        <f t="shared" si="4"/>
        <v>0</v>
      </c>
    </row>
    <row r="83" spans="1:604" s="32" customFormat="1" ht="15.5" x14ac:dyDescent="0.35">
      <c r="A83" s="84">
        <f>presupuesto!B74</f>
        <v>44</v>
      </c>
      <c r="B83" s="84">
        <f>IFERROR(VLOOKUP(A83,#REF!,3,FALSE),0)</f>
        <v>0</v>
      </c>
      <c r="C83" s="85" t="str">
        <f>presupuesto!C74</f>
        <v xml:space="preserve">         Machones de anclaje y apoyo</v>
      </c>
      <c r="D83" s="86" t="str">
        <f>presupuesto!D74</f>
        <v>N°</v>
      </c>
      <c r="E83" s="87">
        <f>presupuesto!E74</f>
        <v>15</v>
      </c>
      <c r="F83" s="70" t="str">
        <f>presupuesto!F74</f>
        <v>Tabla: Partida</v>
      </c>
      <c r="G83" s="83" t="e">
        <f t="shared" si="3"/>
        <v>#VALUE!</v>
      </c>
      <c r="H83" s="75">
        <f>IFERROR(VLOOKUP(A83,presupuesto!B:R,17,FALSE),0)*E83</f>
        <v>0</v>
      </c>
      <c r="I83" s="73">
        <f>IFERROR(VLOOKUP(A83,seguimiento!C:F,4,FALSE),0)</f>
        <v>0</v>
      </c>
      <c r="J83" s="73">
        <f t="shared" si="4"/>
        <v>0</v>
      </c>
    </row>
    <row r="84" spans="1:604" s="32" customFormat="1" ht="15.5" x14ac:dyDescent="0.35">
      <c r="A84" s="84">
        <f>presupuesto!B75</f>
        <v>45</v>
      </c>
      <c r="B84" s="84">
        <f>IFERROR(VLOOKUP(A84,#REF!,3,FALSE),0)</f>
        <v>0</v>
      </c>
      <c r="C84" s="85" t="str">
        <f>presupuesto!C75</f>
        <v xml:space="preserve">         Radier para equipos</v>
      </c>
      <c r="D84" s="86" t="str">
        <f>presupuesto!D75</f>
        <v>Uni</v>
      </c>
      <c r="E84" s="87">
        <f>presupuesto!E75</f>
        <v>2</v>
      </c>
      <c r="F84" s="70" t="str">
        <f>presupuesto!F75</f>
        <v>Tabla: Partida</v>
      </c>
      <c r="G84" s="83" t="e">
        <f t="shared" si="3"/>
        <v>#VALUE!</v>
      </c>
      <c r="H84" s="75">
        <f>IFERROR(VLOOKUP(A84,presupuesto!B:R,17,FALSE),0)*E84</f>
        <v>0</v>
      </c>
      <c r="I84" s="73">
        <f>IFERROR(VLOOKUP(A84,seguimiento!C:F,4,FALSE),0)</f>
        <v>0</v>
      </c>
      <c r="J84" s="73">
        <f t="shared" si="4"/>
        <v>0</v>
      </c>
    </row>
    <row r="85" spans="1:604" s="32" customFormat="1" ht="15.5" x14ac:dyDescent="0.35">
      <c r="A85" s="76">
        <f>presupuesto!B76</f>
        <v>0</v>
      </c>
      <c r="B85" s="76">
        <f>IFERROR(VLOOKUP(A85,#REF!,3,FALSE),0)</f>
        <v>0</v>
      </c>
      <c r="C85" s="77" t="str">
        <f>presupuesto!C76</f>
        <v xml:space="preserve">   CAPÍTULO IV: SISTEMA DE REGULACIÓN ESTANQUE METALICO ELEVADO</v>
      </c>
      <c r="D85" s="78">
        <f>presupuesto!D76</f>
        <v>0</v>
      </c>
      <c r="E85" s="79">
        <f>presupuesto!E76</f>
        <v>0</v>
      </c>
      <c r="F85" s="74">
        <f>presupuesto!F76</f>
        <v>0</v>
      </c>
      <c r="G85" s="83">
        <f t="shared" ref="G85" si="5">ROUND(E85*F85,0)</f>
        <v>0</v>
      </c>
      <c r="H85" s="75">
        <f>IFERROR(VLOOKUP(A85,presupuesto!B:R,17,FALSE),0)*E85</f>
        <v>0</v>
      </c>
      <c r="I85" s="73">
        <f>IFERROR(VLOOKUP(A85,seguimiento!C:F,4,FALSE),0)</f>
        <v>0</v>
      </c>
      <c r="J85" s="73">
        <f t="shared" si="4"/>
        <v>0</v>
      </c>
    </row>
    <row r="86" spans="1:604" s="32" customFormat="1" ht="15.5" x14ac:dyDescent="0.35">
      <c r="A86" s="84">
        <f>presupuesto!B77</f>
        <v>46</v>
      </c>
      <c r="B86" s="84">
        <f>IFERROR(VLOOKUP(A86,#REF!,3,FALSE),0)</f>
        <v>0</v>
      </c>
      <c r="C86" s="85" t="str">
        <f>presupuesto!C77</f>
        <v xml:space="preserve">      Demolición estanque existente</v>
      </c>
      <c r="D86" s="86" t="str">
        <f>presupuesto!D77</f>
        <v>Uni</v>
      </c>
      <c r="E86" s="87">
        <f>presupuesto!E77</f>
        <v>1</v>
      </c>
      <c r="F86" s="70" t="str">
        <f>presupuesto!F77</f>
        <v>Tabla: Partida</v>
      </c>
      <c r="G86" s="83" t="e">
        <f t="shared" ref="G86:G149" si="6">ROUND(E86*F86,0)</f>
        <v>#VALUE!</v>
      </c>
      <c r="H86" s="75">
        <f>IFERROR(VLOOKUP(A86,presupuesto!B:R,17,FALSE),0)*E86</f>
        <v>0</v>
      </c>
      <c r="I86" s="73">
        <f>IFERROR(VLOOKUP(A86,seguimiento!C:F,4,FALSE),0)</f>
        <v>0</v>
      </c>
      <c r="J86" s="73">
        <f t="shared" si="4"/>
        <v>0</v>
      </c>
    </row>
    <row r="87" spans="1:604" s="32" customFormat="1" ht="15.5" x14ac:dyDescent="0.35">
      <c r="A87" s="82" t="str">
        <f>presupuesto!B78</f>
        <v>A.-</v>
      </c>
      <c r="B87" s="82">
        <f>IFERROR(VLOOKUP(A87,#REF!,3,FALSE),0)</f>
        <v>0</v>
      </c>
      <c r="C87" s="77" t="str">
        <f>presupuesto!C78</f>
        <v xml:space="preserve">      MOVIMIENTO DE TIERRAS</v>
      </c>
      <c r="D87" s="78">
        <f>presupuesto!D78</f>
        <v>0</v>
      </c>
      <c r="E87" s="79">
        <f>presupuesto!E78</f>
        <v>0</v>
      </c>
      <c r="F87" s="74">
        <f>presupuesto!F78</f>
        <v>0</v>
      </c>
      <c r="G87" s="83">
        <f t="shared" si="6"/>
        <v>0</v>
      </c>
      <c r="H87" s="75">
        <f>IFERROR(VLOOKUP(A87,presupuesto!B:R,17,FALSE),0)*E87</f>
        <v>0</v>
      </c>
      <c r="I87" s="73">
        <f>IFERROR(VLOOKUP(A87,seguimiento!C:F,4,FALSE),0)</f>
        <v>0</v>
      </c>
      <c r="J87" s="73">
        <f t="shared" si="4"/>
        <v>0</v>
      </c>
    </row>
    <row r="88" spans="1:604" s="32" customFormat="1" ht="15.5" x14ac:dyDescent="0.35">
      <c r="A88" s="84">
        <f>presupuesto!B79</f>
        <v>47</v>
      </c>
      <c r="B88" s="84">
        <f>IFERROR(VLOOKUP(A88,#REF!,3,FALSE),0)</f>
        <v>0</v>
      </c>
      <c r="C88" s="85" t="str">
        <f>presupuesto!C79</f>
        <v xml:space="preserve">         Excavación para fundación</v>
      </c>
      <c r="D88" s="86" t="str">
        <f>presupuesto!D79</f>
        <v>m3</v>
      </c>
      <c r="E88" s="87">
        <f>presupuesto!E79</f>
        <v>663</v>
      </c>
      <c r="F88" s="70" t="str">
        <f>presupuesto!F79</f>
        <v>Tabla: Partida</v>
      </c>
      <c r="G88" s="83" t="e">
        <f t="shared" si="6"/>
        <v>#VALUE!</v>
      </c>
      <c r="H88" s="75">
        <f>IFERROR(VLOOKUP(A88,presupuesto!B:R,17,FALSE),0)*E88</f>
        <v>0</v>
      </c>
      <c r="I88" s="73">
        <f>IFERROR(VLOOKUP(A88,seguimiento!C:F,4,FALSE),0)</f>
        <v>0</v>
      </c>
      <c r="J88" s="73">
        <f t="shared" si="4"/>
        <v>0</v>
      </c>
    </row>
    <row r="89" spans="1:604" s="32" customFormat="1" ht="15.5" x14ac:dyDescent="0.35">
      <c r="A89" s="84">
        <f>presupuesto!B80</f>
        <v>48</v>
      </c>
      <c r="B89" s="84">
        <f>IFERROR(VLOOKUP(A89,#REF!,3,FALSE),0)</f>
        <v>0</v>
      </c>
      <c r="C89" s="85" t="str">
        <f>presupuesto!C80</f>
        <v xml:space="preserve">         Relleno Estructural para mejoramiento suelo de fundación</v>
      </c>
      <c r="D89" s="86" t="str">
        <f>presupuesto!D80</f>
        <v>m3</v>
      </c>
      <c r="E89" s="87">
        <f>presupuesto!E80</f>
        <v>270.8</v>
      </c>
      <c r="F89" s="70" t="str">
        <f>presupuesto!F80</f>
        <v>Tabla: Partida</v>
      </c>
      <c r="G89" s="83" t="e">
        <f t="shared" si="6"/>
        <v>#VALUE!</v>
      </c>
      <c r="H89" s="75">
        <f>IFERROR(VLOOKUP(A89,presupuesto!B:R,17,FALSE),0)*E89</f>
        <v>0</v>
      </c>
      <c r="I89" s="73">
        <f>IFERROR(VLOOKUP(A89,seguimiento!C:F,4,FALSE),0)</f>
        <v>0</v>
      </c>
      <c r="J89" s="73">
        <f t="shared" si="4"/>
        <v>0</v>
      </c>
    </row>
    <row r="90" spans="1:604" s="32" customFormat="1" ht="15.5" x14ac:dyDescent="0.35">
      <c r="A90" s="84">
        <f>presupuesto!B81</f>
        <v>49</v>
      </c>
      <c r="B90" s="84">
        <f>IFERROR(VLOOKUP(A90,#REF!,3,FALSE),0)</f>
        <v>0</v>
      </c>
      <c r="C90" s="85" t="str">
        <f>presupuesto!C81</f>
        <v xml:space="preserve">         Relleno de Confinamiento</v>
      </c>
      <c r="D90" s="86" t="str">
        <f>presupuesto!D81</f>
        <v>m3</v>
      </c>
      <c r="E90" s="87">
        <f>presupuesto!E81</f>
        <v>141.5</v>
      </c>
      <c r="F90" s="70" t="str">
        <f>presupuesto!F81</f>
        <v>Tabla: Partida</v>
      </c>
      <c r="G90" s="83" t="e">
        <f t="shared" si="6"/>
        <v>#VALUE!</v>
      </c>
      <c r="H90" s="75">
        <f>IFERROR(VLOOKUP(A90,presupuesto!B:R,17,FALSE),0)*E90</f>
        <v>0</v>
      </c>
      <c r="I90" s="73">
        <f>IFERROR(VLOOKUP(A90,seguimiento!C:F,4,FALSE),0)</f>
        <v>0</v>
      </c>
      <c r="J90" s="73">
        <f t="shared" si="4"/>
        <v>0</v>
      </c>
    </row>
    <row r="91" spans="1:604" s="32" customFormat="1" ht="15.5" x14ac:dyDescent="0.35">
      <c r="A91" s="84">
        <f>presupuesto!B82</f>
        <v>50</v>
      </c>
      <c r="B91" s="84">
        <f>IFERROR(VLOOKUP(A91,#REF!,3,FALSE),0)</f>
        <v>0</v>
      </c>
      <c r="C91" s="85" t="str">
        <f>presupuesto!C82</f>
        <v xml:space="preserve">         Retiro de excedentes</v>
      </c>
      <c r="D91" s="86" t="str">
        <f>presupuesto!D82</f>
        <v>m3</v>
      </c>
      <c r="E91" s="87">
        <f>presupuesto!E82</f>
        <v>507.5</v>
      </c>
      <c r="F91" s="70" t="str">
        <f>presupuesto!F82</f>
        <v>Tabla: Partida</v>
      </c>
      <c r="G91" s="83" t="e">
        <f t="shared" si="6"/>
        <v>#VALUE!</v>
      </c>
      <c r="H91" s="75">
        <f>IFERROR(VLOOKUP(A91,presupuesto!B:R,17,FALSE),0)*E91</f>
        <v>0</v>
      </c>
      <c r="I91" s="73">
        <f>IFERROR(VLOOKUP(A91,seguimiento!C:F,4,FALSE),0)</f>
        <v>0</v>
      </c>
      <c r="J91" s="73">
        <f t="shared" si="4"/>
        <v>0</v>
      </c>
    </row>
    <row r="92" spans="1:604" s="32" customFormat="1" ht="15.5" x14ac:dyDescent="0.35">
      <c r="A92" s="82" t="str">
        <f>presupuesto!B83</f>
        <v>B.-</v>
      </c>
      <c r="B92" s="82">
        <f>IFERROR(VLOOKUP(A92,#REF!,3,FALSE),0)</f>
        <v>0</v>
      </c>
      <c r="C92" s="77" t="str">
        <f>presupuesto!C83</f>
        <v xml:space="preserve">      FUNDACIONES</v>
      </c>
      <c r="D92" s="78">
        <f>presupuesto!D83</f>
        <v>0</v>
      </c>
      <c r="E92" s="79">
        <f>presupuesto!E83</f>
        <v>0</v>
      </c>
      <c r="F92" s="74">
        <f>presupuesto!F83</f>
        <v>0</v>
      </c>
      <c r="G92" s="83">
        <f t="shared" si="6"/>
        <v>0</v>
      </c>
      <c r="H92" s="75">
        <f>IFERROR(VLOOKUP(A92,presupuesto!B:R,17,FALSE),0)*E92</f>
        <v>0</v>
      </c>
      <c r="I92" s="73">
        <f>IFERROR(VLOOKUP(A92,seguimiento!C:F,4,FALSE),0)</f>
        <v>0</v>
      </c>
      <c r="J92" s="73">
        <f t="shared" si="4"/>
        <v>0</v>
      </c>
    </row>
    <row r="93" spans="1:604" s="32" customFormat="1" ht="15.5" x14ac:dyDescent="0.35">
      <c r="A93" s="84">
        <f>presupuesto!B84</f>
        <v>51</v>
      </c>
      <c r="B93" s="84">
        <f>IFERROR(VLOOKUP(A93,#REF!,3,FALSE),0)</f>
        <v>0</v>
      </c>
      <c r="C93" s="85" t="str">
        <f>presupuesto!C84</f>
        <v xml:space="preserve">         Hormigón tipo G-5</v>
      </c>
      <c r="D93" s="86" t="str">
        <f>presupuesto!D84</f>
        <v>m3</v>
      </c>
      <c r="E93" s="87">
        <f>presupuesto!E84</f>
        <v>1.06</v>
      </c>
      <c r="F93" s="70" t="str">
        <f>presupuesto!F84</f>
        <v>Tabla: Partida</v>
      </c>
      <c r="G93" s="83" t="e">
        <f t="shared" si="6"/>
        <v>#VALUE!</v>
      </c>
      <c r="H93" s="75">
        <f>IFERROR(VLOOKUP(A93,presupuesto!B:R,17,FALSE),0)*E93</f>
        <v>0</v>
      </c>
      <c r="I93" s="73">
        <f>IFERROR(VLOOKUP(A93,seguimiento!C:F,4,FALSE),0)</f>
        <v>0</v>
      </c>
      <c r="J93" s="73">
        <f t="shared" si="4"/>
        <v>0</v>
      </c>
    </row>
    <row r="94" spans="1:604" s="32" customFormat="1" ht="15.5" x14ac:dyDescent="0.35">
      <c r="A94" s="84">
        <f>presupuesto!B85</f>
        <v>52</v>
      </c>
      <c r="B94" s="84">
        <f>IFERROR(VLOOKUP(A94,#REF!,3,FALSE),0)</f>
        <v>0</v>
      </c>
      <c r="C94" s="85" t="str">
        <f>presupuesto!C85</f>
        <v xml:space="preserve">         Hormigón tipo G-25</v>
      </c>
      <c r="D94" s="86" t="str">
        <f>presupuesto!D85</f>
        <v>m3</v>
      </c>
      <c r="E94" s="87">
        <f>presupuesto!E85</f>
        <v>22.74</v>
      </c>
      <c r="F94" s="70" t="str">
        <f>presupuesto!F85</f>
        <v>Tabla: Partida</v>
      </c>
      <c r="G94" s="83" t="e">
        <f t="shared" si="6"/>
        <v>#VALUE!</v>
      </c>
      <c r="H94" s="75">
        <f>IFERROR(VLOOKUP(A94,presupuesto!B:R,17,FALSE),0)*E94</f>
        <v>0</v>
      </c>
      <c r="I94" s="73">
        <f>IFERROR(VLOOKUP(A94,seguimiento!C:F,4,FALSE),0)</f>
        <v>0</v>
      </c>
      <c r="J94" s="73">
        <f t="shared" si="4"/>
        <v>0</v>
      </c>
    </row>
    <row r="95" spans="1:604" s="32" customFormat="1" ht="15.75" customHeight="1" x14ac:dyDescent="0.35">
      <c r="A95" s="84">
        <f>presupuesto!B86</f>
        <v>53</v>
      </c>
      <c r="B95" s="84">
        <f>IFERROR(VLOOKUP(A95,#REF!,3,FALSE),0)</f>
        <v>0</v>
      </c>
      <c r="C95" s="85" t="str">
        <f>presupuesto!C86</f>
        <v xml:space="preserve">         Acero de refuerzo A63-42H</v>
      </c>
      <c r="D95" s="86" t="str">
        <f>presupuesto!D86</f>
        <v>Kg</v>
      </c>
      <c r="E95" s="87">
        <f>presupuesto!E86</f>
        <v>2062</v>
      </c>
      <c r="F95" s="70" t="str">
        <f>presupuesto!F86</f>
        <v>Tabla: Partida</v>
      </c>
      <c r="G95" s="83" t="e">
        <f t="shared" si="6"/>
        <v>#VALUE!</v>
      </c>
      <c r="H95" s="75">
        <f>IFERROR(VLOOKUP(A95,presupuesto!B:R,17,FALSE),0)*E95</f>
        <v>0</v>
      </c>
      <c r="I95" s="73">
        <f>IFERROR(VLOOKUP(A95,seguimiento!C:F,4,FALSE),0)</f>
        <v>0</v>
      </c>
      <c r="J95" s="73">
        <f t="shared" si="4"/>
        <v>0</v>
      </c>
    </row>
    <row r="96" spans="1:604" s="32" customFormat="1" ht="15.5" x14ac:dyDescent="0.35">
      <c r="A96" s="82" t="str">
        <f>presupuesto!B87</f>
        <v>C.-</v>
      </c>
      <c r="B96" s="82">
        <f>IFERROR(VLOOKUP(A96,#REF!,3,FALSE),0)</f>
        <v>0</v>
      </c>
      <c r="C96" s="77" t="str">
        <f>presupuesto!C87</f>
        <v xml:space="preserve">      ESTRUCTURA DE ESTANQUE (SUMINISTRO TRANSPORTE Y MONTAJE DE LAS ESTRUCTURAS)</v>
      </c>
      <c r="D96" s="78">
        <f>presupuesto!D87</f>
        <v>0</v>
      </c>
      <c r="E96" s="79">
        <f>presupuesto!E87</f>
        <v>0</v>
      </c>
      <c r="F96" s="74">
        <f>presupuesto!F87</f>
        <v>0</v>
      </c>
      <c r="G96" s="83">
        <f t="shared" si="6"/>
        <v>0</v>
      </c>
      <c r="H96" s="75">
        <f>IFERROR(VLOOKUP(A96,presupuesto!B:R,17,FALSE),0)*E96</f>
        <v>0</v>
      </c>
      <c r="I96" s="73">
        <f>IFERROR(VLOOKUP(A96,seguimiento!C:F,4,FALSE),0)</f>
        <v>0</v>
      </c>
      <c r="J96" s="73">
        <f t="shared" si="4"/>
        <v>0</v>
      </c>
    </row>
    <row r="97" spans="1:10" s="32" customFormat="1" ht="15.5" x14ac:dyDescent="0.35">
      <c r="A97" s="84">
        <f>presupuesto!B88</f>
        <v>54</v>
      </c>
      <c r="B97" s="84">
        <f>IFERROR(VLOOKUP(A97,#REF!,3,FALSE),0)</f>
        <v>0</v>
      </c>
      <c r="C97" s="85" t="str">
        <f>presupuesto!C88</f>
        <v xml:space="preserve">         Pernos de anclaje de 1 " x 1400 mm</v>
      </c>
      <c r="D97" s="86" t="str">
        <f>presupuesto!D88</f>
        <v>Nº</v>
      </c>
      <c r="E97" s="87">
        <f>presupuesto!E88</f>
        <v>32</v>
      </c>
      <c r="F97" s="70" t="str">
        <f>presupuesto!F88</f>
        <v>Tabla: Partida</v>
      </c>
      <c r="G97" s="83" t="e">
        <f t="shared" si="6"/>
        <v>#VALUE!</v>
      </c>
      <c r="H97" s="75">
        <f>IFERROR(VLOOKUP(A97,presupuesto!B:R,17,FALSE),0)*E97</f>
        <v>0</v>
      </c>
      <c r="I97" s="73">
        <f>IFERROR(VLOOKUP(A97,seguimiento!C:F,4,FALSE),0)</f>
        <v>0</v>
      </c>
      <c r="J97" s="73">
        <f t="shared" si="4"/>
        <v>0</v>
      </c>
    </row>
    <row r="98" spans="1:10" s="32" customFormat="1" ht="15.5" x14ac:dyDescent="0.35">
      <c r="A98" s="84">
        <f>presupuesto!B89</f>
        <v>55</v>
      </c>
      <c r="B98" s="84">
        <f>IFERROR(VLOOKUP(A98,#REF!,3,FALSE),0)</f>
        <v>0</v>
      </c>
      <c r="C98" s="85" t="str">
        <f>presupuesto!C89</f>
        <v xml:space="preserve">         Placas de anclaje 540 x 540 x 25 mm de acero calidad A 37 – 24 ES</v>
      </c>
      <c r="D98" s="86" t="str">
        <f>presupuesto!D89</f>
        <v>Nº</v>
      </c>
      <c r="E98" s="87">
        <f>presupuesto!E89</f>
        <v>4</v>
      </c>
      <c r="F98" s="70" t="str">
        <f>presupuesto!F89</f>
        <v>Tabla: Partida</v>
      </c>
      <c r="G98" s="83" t="e">
        <f t="shared" si="6"/>
        <v>#VALUE!</v>
      </c>
      <c r="H98" s="75">
        <f>IFERROR(VLOOKUP(A98,presupuesto!B:R,17,FALSE),0)*E98</f>
        <v>0</v>
      </c>
      <c r="I98" s="73">
        <f>IFERROR(VLOOKUP(A98,seguimiento!C:F,4,FALSE),0)</f>
        <v>0</v>
      </c>
      <c r="J98" s="73">
        <f t="shared" si="4"/>
        <v>0</v>
      </c>
    </row>
    <row r="99" spans="1:10" s="32" customFormat="1" ht="15.5" x14ac:dyDescent="0.35">
      <c r="A99" s="84">
        <f>presupuesto!B90</f>
        <v>56</v>
      </c>
      <c r="B99" s="84">
        <f>IFERROR(VLOOKUP(A99,#REF!,3,FALSE),0)</f>
        <v>0</v>
      </c>
      <c r="C99" s="85" t="str">
        <f>presupuesto!C90</f>
        <v xml:space="preserve">         Torre metalica 15 m de altura</v>
      </c>
      <c r="D99" s="86" t="str">
        <f>presupuesto!D90</f>
        <v>kg</v>
      </c>
      <c r="E99" s="87">
        <f>presupuesto!E90</f>
        <v>5986</v>
      </c>
      <c r="F99" s="70" t="str">
        <f>presupuesto!F90</f>
        <v>Tabla: Partida</v>
      </c>
      <c r="G99" s="83" t="e">
        <f t="shared" si="6"/>
        <v>#VALUE!</v>
      </c>
      <c r="H99" s="75">
        <f>IFERROR(VLOOKUP(A99,presupuesto!B:R,17,FALSE),0)*E99</f>
        <v>0</v>
      </c>
      <c r="I99" s="73">
        <f>IFERROR(VLOOKUP(A99,seguimiento!C:F,4,FALSE),0)</f>
        <v>0</v>
      </c>
      <c r="J99" s="73">
        <f t="shared" si="4"/>
        <v>0</v>
      </c>
    </row>
    <row r="100" spans="1:10" s="32" customFormat="1" ht="15.5" x14ac:dyDescent="0.35">
      <c r="A100" s="84">
        <f>presupuesto!B91</f>
        <v>57</v>
      </c>
      <c r="B100" s="84">
        <f>IFERROR(VLOOKUP(A100,#REF!,3,FALSE),0)</f>
        <v>0</v>
      </c>
      <c r="C100" s="85" t="str">
        <f>presupuesto!C91</f>
        <v xml:space="preserve">         Plataforma</v>
      </c>
      <c r="D100" s="86" t="str">
        <f>presupuesto!D91</f>
        <v>kg</v>
      </c>
      <c r="E100" s="87">
        <f>presupuesto!E91</f>
        <v>1273.5</v>
      </c>
      <c r="F100" s="70" t="str">
        <f>presupuesto!F91</f>
        <v>Tabla: Partida</v>
      </c>
      <c r="G100" s="83" t="e">
        <f t="shared" si="6"/>
        <v>#VALUE!</v>
      </c>
      <c r="H100" s="75">
        <f>IFERROR(VLOOKUP(A100,presupuesto!B:R,17,FALSE),0)*E100</f>
        <v>0</v>
      </c>
      <c r="I100" s="73">
        <f>IFERROR(VLOOKUP(A100,seguimiento!C:F,4,FALSE),0)</f>
        <v>0</v>
      </c>
      <c r="J100" s="73">
        <f t="shared" si="4"/>
        <v>0</v>
      </c>
    </row>
    <row r="101" spans="1:10" s="32" customFormat="1" ht="15.5" x14ac:dyDescent="0.35">
      <c r="A101" s="84">
        <f>presupuesto!B92</f>
        <v>58</v>
      </c>
      <c r="B101" s="84">
        <f>IFERROR(VLOOKUP(A101,#REF!,3,FALSE),0)</f>
        <v>0</v>
      </c>
      <c r="C101" s="85" t="str">
        <f>presupuesto!C92</f>
        <v xml:space="preserve">         Cuba</v>
      </c>
      <c r="D101" s="86" t="str">
        <f>presupuesto!D92</f>
        <v>kg</v>
      </c>
      <c r="E101" s="87">
        <f>presupuesto!E92</f>
        <v>3324.4</v>
      </c>
      <c r="F101" s="70" t="str">
        <f>presupuesto!F92</f>
        <v>Tabla: Partida</v>
      </c>
      <c r="G101" s="83" t="e">
        <f t="shared" si="6"/>
        <v>#VALUE!</v>
      </c>
      <c r="H101" s="75">
        <f>IFERROR(VLOOKUP(A101,presupuesto!B:R,17,FALSE),0)*E101</f>
        <v>0</v>
      </c>
      <c r="I101" s="73">
        <f>IFERROR(VLOOKUP(A101,seguimiento!C:F,4,FALSE),0)</f>
        <v>0</v>
      </c>
      <c r="J101" s="73">
        <f t="shared" si="4"/>
        <v>0</v>
      </c>
    </row>
    <row r="102" spans="1:10" s="32" customFormat="1" ht="15.5" x14ac:dyDescent="0.35">
      <c r="A102" s="84">
        <f>presupuesto!B93</f>
        <v>59</v>
      </c>
      <c r="B102" s="84">
        <f>IFERROR(VLOOKUP(A102,#REF!,3,FALSE),0)</f>
        <v>0</v>
      </c>
      <c r="C102" s="85" t="str">
        <f>presupuesto!C93</f>
        <v xml:space="preserve">         Escotilla, Tapa Ventilación</v>
      </c>
      <c r="D102" s="86" t="str">
        <f>presupuesto!D93</f>
        <v>kg</v>
      </c>
      <c r="E102" s="87">
        <f>presupuesto!E93</f>
        <v>18</v>
      </c>
      <c r="F102" s="70" t="str">
        <f>presupuesto!F93</f>
        <v>Tabla: Partida</v>
      </c>
      <c r="G102" s="83" t="e">
        <f t="shared" si="6"/>
        <v>#VALUE!</v>
      </c>
      <c r="H102" s="75">
        <f>IFERROR(VLOOKUP(A102,presupuesto!B:R,17,FALSE),0)*E102</f>
        <v>0</v>
      </c>
      <c r="I102" s="73">
        <f>IFERROR(VLOOKUP(A102,seguimiento!C:F,4,FALSE),0)</f>
        <v>0</v>
      </c>
      <c r="J102" s="73">
        <f t="shared" si="4"/>
        <v>0</v>
      </c>
    </row>
    <row r="103" spans="1:10" s="32" customFormat="1" ht="15.5" x14ac:dyDescent="0.35">
      <c r="A103" s="84">
        <f>presupuesto!B94</f>
        <v>60</v>
      </c>
      <c r="B103" s="84">
        <f>IFERROR(VLOOKUP(A103,#REF!,3,FALSE),0)</f>
        <v>0</v>
      </c>
      <c r="C103" s="85" t="str">
        <f>presupuesto!C94</f>
        <v xml:space="preserve">         Escalas de acceso y Barandas</v>
      </c>
      <c r="D103" s="86" t="str">
        <f>presupuesto!D94</f>
        <v>kg</v>
      </c>
      <c r="E103" s="87">
        <f>presupuesto!E94</f>
        <v>325.39999999999998</v>
      </c>
      <c r="F103" s="70" t="str">
        <f>presupuesto!F94</f>
        <v>Tabla: Partida</v>
      </c>
      <c r="G103" s="83" t="e">
        <f t="shared" si="6"/>
        <v>#VALUE!</v>
      </c>
      <c r="H103" s="75">
        <f>IFERROR(VLOOKUP(A103,presupuesto!B:R,17,FALSE),0)*E103</f>
        <v>0</v>
      </c>
      <c r="I103" s="73">
        <f>IFERROR(VLOOKUP(A103,seguimiento!C:F,4,FALSE),0)</f>
        <v>0</v>
      </c>
      <c r="J103" s="73">
        <f t="shared" si="4"/>
        <v>0</v>
      </c>
    </row>
    <row r="104" spans="1:10" s="32" customFormat="1" ht="15.5" x14ac:dyDescent="0.35">
      <c r="A104" s="84">
        <f>presupuesto!B95</f>
        <v>61</v>
      </c>
      <c r="B104" s="84">
        <f>IFERROR(VLOOKUP(A104,#REF!,3,FALSE),0)</f>
        <v>0</v>
      </c>
      <c r="C104" s="85" t="str">
        <f>presupuesto!C95</f>
        <v xml:space="preserve">         Escala de Aproximacion</v>
      </c>
      <c r="D104" s="86" t="str">
        <f>presupuesto!D95</f>
        <v>Uni</v>
      </c>
      <c r="E104" s="87">
        <f>presupuesto!E95</f>
        <v>1</v>
      </c>
      <c r="F104" s="70" t="str">
        <f>presupuesto!F95</f>
        <v>Tabla: Partida</v>
      </c>
      <c r="G104" s="83" t="e">
        <f t="shared" si="6"/>
        <v>#VALUE!</v>
      </c>
      <c r="H104" s="75">
        <f>IFERROR(VLOOKUP(A104,presupuesto!B:R,17,FALSE),0)*E104</f>
        <v>0</v>
      </c>
      <c r="I104" s="73">
        <f>IFERROR(VLOOKUP(A104,seguimiento!C:F,4,FALSE),0)</f>
        <v>0</v>
      </c>
      <c r="J104" s="73">
        <f t="shared" si="4"/>
        <v>0</v>
      </c>
    </row>
    <row r="105" spans="1:10" s="32" customFormat="1" ht="15.5" x14ac:dyDescent="0.35">
      <c r="A105" s="84">
        <f>presupuesto!B96</f>
        <v>62</v>
      </c>
      <c r="B105" s="84">
        <f>IFERROR(VLOOKUP(A105,#REF!,3,FALSE),0)</f>
        <v>0</v>
      </c>
      <c r="C105" s="85" t="str">
        <f>presupuesto!C96</f>
        <v xml:space="preserve">         Pintura interior del estanque</v>
      </c>
      <c r="D105" s="86" t="str">
        <f>presupuesto!D96</f>
        <v>Uni</v>
      </c>
      <c r="E105" s="87">
        <f>presupuesto!E96</f>
        <v>1</v>
      </c>
      <c r="F105" s="70" t="str">
        <f>presupuesto!F96</f>
        <v>Tabla: Partida</v>
      </c>
      <c r="G105" s="83" t="e">
        <f t="shared" si="6"/>
        <v>#VALUE!</v>
      </c>
      <c r="H105" s="75">
        <f>IFERROR(VLOOKUP(A105,presupuesto!B:R,17,FALSE),0)*E105</f>
        <v>0</v>
      </c>
      <c r="I105" s="73">
        <f>IFERROR(VLOOKUP(A105,seguimiento!C:F,4,FALSE),0)</f>
        <v>0</v>
      </c>
      <c r="J105" s="73">
        <f t="shared" si="4"/>
        <v>0</v>
      </c>
    </row>
    <row r="106" spans="1:10" s="32" customFormat="1" ht="15.5" x14ac:dyDescent="0.35">
      <c r="A106" s="84">
        <f>presupuesto!B97</f>
        <v>63</v>
      </c>
      <c r="B106" s="84">
        <f>IFERROR(VLOOKUP(A106,#REF!,3,FALSE),0)</f>
        <v>0</v>
      </c>
      <c r="C106" s="85" t="str">
        <f>presupuesto!C97</f>
        <v xml:space="preserve">         Pintura Exterior del estanque y Estructura</v>
      </c>
      <c r="D106" s="86" t="str">
        <f>presupuesto!D97</f>
        <v>Uni</v>
      </c>
      <c r="E106" s="87">
        <f>presupuesto!E97</f>
        <v>1</v>
      </c>
      <c r="F106" s="70" t="str">
        <f>presupuesto!F97</f>
        <v>Tabla: Partida</v>
      </c>
      <c r="G106" s="83" t="e">
        <f t="shared" si="6"/>
        <v>#VALUE!</v>
      </c>
      <c r="H106" s="75">
        <f>IFERROR(VLOOKUP(A106,presupuesto!B:R,17,FALSE),0)*E106</f>
        <v>0</v>
      </c>
      <c r="I106" s="73">
        <f>IFERROR(VLOOKUP(A106,seguimiento!C:F,4,FALSE),0)</f>
        <v>0</v>
      </c>
      <c r="J106" s="73">
        <f t="shared" si="4"/>
        <v>0</v>
      </c>
    </row>
    <row r="107" spans="1:10" s="32" customFormat="1" ht="15.5" x14ac:dyDescent="0.35">
      <c r="A107" s="82" t="str">
        <f>presupuesto!B98</f>
        <v>D.-</v>
      </c>
      <c r="B107" s="82">
        <f>IFERROR(VLOOKUP(A107,#REF!,3,FALSE),0)</f>
        <v>0</v>
      </c>
      <c r="C107" s="77" t="str">
        <f>presupuesto!C98</f>
        <v xml:space="preserve">      INTERCONEXIONES HIDRÁULICAS</v>
      </c>
      <c r="D107" s="78">
        <f>presupuesto!D98</f>
        <v>0</v>
      </c>
      <c r="E107" s="79">
        <f>presupuesto!E98</f>
        <v>0</v>
      </c>
      <c r="F107" s="74">
        <f>presupuesto!F98</f>
        <v>0</v>
      </c>
      <c r="G107" s="83">
        <f t="shared" si="6"/>
        <v>0</v>
      </c>
      <c r="H107" s="75">
        <f>IFERROR(VLOOKUP(A107,presupuesto!B:R,17,FALSE),0)*E107</f>
        <v>0</v>
      </c>
      <c r="I107" s="73">
        <f>IFERROR(VLOOKUP(A107,seguimiento!C:F,4,FALSE),0)</f>
        <v>0</v>
      </c>
      <c r="J107" s="73">
        <f t="shared" si="4"/>
        <v>0</v>
      </c>
    </row>
    <row r="108" spans="1:10" s="32" customFormat="1" ht="15.5" x14ac:dyDescent="0.35">
      <c r="A108" s="82" t="str">
        <f>presupuesto!B99</f>
        <v>D.1.-</v>
      </c>
      <c r="B108" s="82">
        <f>IFERROR(VLOOKUP(A108,#REF!,3,FALSE),0)</f>
        <v>0</v>
      </c>
      <c r="C108" s="77" t="str">
        <f>presupuesto!C99</f>
        <v xml:space="preserve">         Suministro, transporte, transporte interno, colocación y prueba de Tuberías de pvc</v>
      </c>
      <c r="D108" s="78">
        <f>presupuesto!D99</f>
        <v>0</v>
      </c>
      <c r="E108" s="79">
        <f>presupuesto!E99</f>
        <v>0</v>
      </c>
      <c r="F108" s="74">
        <f>presupuesto!F99</f>
        <v>0</v>
      </c>
      <c r="G108" s="83">
        <f t="shared" si="6"/>
        <v>0</v>
      </c>
      <c r="H108" s="75">
        <f>IFERROR(VLOOKUP(A108,presupuesto!B:R,17,FALSE),0)*E108</f>
        <v>0</v>
      </c>
      <c r="I108" s="73">
        <f>IFERROR(VLOOKUP(A108,seguimiento!C:F,4,FALSE),0)</f>
        <v>0</v>
      </c>
      <c r="J108" s="73">
        <f t="shared" si="4"/>
        <v>0</v>
      </c>
    </row>
    <row r="109" spans="1:10" s="32" customFormat="1" ht="15.5" x14ac:dyDescent="0.35">
      <c r="A109" s="84">
        <f>presupuesto!B100</f>
        <v>64</v>
      </c>
      <c r="B109" s="84">
        <f>IFERROR(VLOOKUP(A109,#REF!,3,FALSE),0)</f>
        <v>0</v>
      </c>
      <c r="C109" s="85" t="str">
        <f>presupuesto!C100</f>
        <v xml:space="preserve">            Suministro, Transporte y Transporte Interno, colocación y prueba de tuberías PVC C-6 75 mm</v>
      </c>
      <c r="D109" s="86" t="str">
        <f>presupuesto!D100</f>
        <v>m</v>
      </c>
      <c r="E109" s="87">
        <f>presupuesto!E100</f>
        <v>4.2</v>
      </c>
      <c r="F109" s="70" t="str">
        <f>presupuesto!F100</f>
        <v>Tabla: Partida</v>
      </c>
      <c r="G109" s="83" t="e">
        <f t="shared" si="6"/>
        <v>#VALUE!</v>
      </c>
      <c r="H109" s="75">
        <f>IFERROR(VLOOKUP(A109,presupuesto!B:R,17,FALSE),0)*E109</f>
        <v>0</v>
      </c>
      <c r="I109" s="73">
        <f>IFERROR(VLOOKUP(A109,seguimiento!C:F,4,FALSE),0)</f>
        <v>0</v>
      </c>
      <c r="J109" s="73">
        <f t="shared" si="4"/>
        <v>0</v>
      </c>
    </row>
    <row r="110" spans="1:10" s="32" customFormat="1" ht="15.5" x14ac:dyDescent="0.35">
      <c r="A110" s="82" t="str">
        <f>presupuesto!B101</f>
        <v>D.2.-</v>
      </c>
      <c r="B110" s="82">
        <f>IFERROR(VLOOKUP(A110,#REF!,3,FALSE),0)</f>
        <v>0</v>
      </c>
      <c r="C110" s="77" t="str">
        <f>presupuesto!C101</f>
        <v xml:space="preserve">         Suministro, transporte, transporte interno, colocación y prueba de Tuberías de Acero Galvanizado</v>
      </c>
      <c r="D110" s="78">
        <f>presupuesto!D101</f>
        <v>0</v>
      </c>
      <c r="E110" s="79">
        <f>presupuesto!E101</f>
        <v>0</v>
      </c>
      <c r="F110" s="74">
        <f>presupuesto!F101</f>
        <v>0</v>
      </c>
      <c r="G110" s="83">
        <f t="shared" si="6"/>
        <v>0</v>
      </c>
      <c r="H110" s="75">
        <f>IFERROR(VLOOKUP(A110,presupuesto!B:R,17,FALSE),0)*E110</f>
        <v>0</v>
      </c>
      <c r="I110" s="73">
        <f>IFERROR(VLOOKUP(A110,seguimiento!C:F,4,FALSE),0)</f>
        <v>0</v>
      </c>
      <c r="J110" s="73">
        <f t="shared" si="4"/>
        <v>0</v>
      </c>
    </row>
    <row r="111" spans="1:10" s="32" customFormat="1" ht="15.5" x14ac:dyDescent="0.35">
      <c r="A111" s="84">
        <f>presupuesto!B102</f>
        <v>65</v>
      </c>
      <c r="B111" s="84">
        <f>IFERROR(VLOOKUP(A111,#REF!,3,FALSE),0)</f>
        <v>0</v>
      </c>
      <c r="C111" s="85" t="str">
        <f>presupuesto!C102</f>
        <v xml:space="preserve">            Acero Galvanizado D=3”</v>
      </c>
      <c r="D111" s="86" t="str">
        <f>presupuesto!D102</f>
        <v>m</v>
      </c>
      <c r="E111" s="87">
        <f>presupuesto!E102</f>
        <v>54.9</v>
      </c>
      <c r="F111" s="70" t="str">
        <f>presupuesto!F102</f>
        <v>Tabla: Partida</v>
      </c>
      <c r="G111" s="83" t="e">
        <f t="shared" si="6"/>
        <v>#VALUE!</v>
      </c>
      <c r="H111" s="75">
        <f>IFERROR(VLOOKUP(A111,presupuesto!B:R,17,FALSE),0)*E111</f>
        <v>0</v>
      </c>
      <c r="I111" s="73">
        <f>IFERROR(VLOOKUP(A111,seguimiento!C:F,4,FALSE),0)</f>
        <v>0</v>
      </c>
      <c r="J111" s="73">
        <f t="shared" si="4"/>
        <v>0</v>
      </c>
    </row>
    <row r="112" spans="1:10" s="32" customFormat="1" ht="15.75" customHeight="1" collapsed="1" x14ac:dyDescent="0.35">
      <c r="A112" s="82" t="str">
        <f>presupuesto!B103</f>
        <v>D.3.-</v>
      </c>
      <c r="B112" s="82">
        <f>IFERROR(VLOOKUP(A112,#REF!,3,FALSE),0)</f>
        <v>0</v>
      </c>
      <c r="C112" s="77" t="str">
        <f>presupuesto!C103</f>
        <v xml:space="preserve">         Suministro, transporte, transporte interno, colocación y prueba de Piezas Especiales con/sin mecanismo</v>
      </c>
      <c r="D112" s="78">
        <f>presupuesto!D103</f>
        <v>0</v>
      </c>
      <c r="E112" s="79">
        <f>presupuesto!E103</f>
        <v>0</v>
      </c>
      <c r="F112" s="74">
        <f>presupuesto!F103</f>
        <v>0</v>
      </c>
      <c r="G112" s="83">
        <f t="shared" si="6"/>
        <v>0</v>
      </c>
      <c r="H112" s="75">
        <f>IFERROR(VLOOKUP(A112,presupuesto!B:R,17,FALSE),0)*E112</f>
        <v>0</v>
      </c>
      <c r="I112" s="73">
        <f>IFERROR(VLOOKUP(A112,seguimiento!C:F,4,FALSE),0)</f>
        <v>0</v>
      </c>
      <c r="J112" s="73">
        <f t="shared" si="4"/>
        <v>0</v>
      </c>
    </row>
    <row r="113" spans="1:10" s="32" customFormat="1" ht="15.5" x14ac:dyDescent="0.35">
      <c r="A113" s="84">
        <f>presupuesto!B104</f>
        <v>66</v>
      </c>
      <c r="B113" s="84">
        <f>IFERROR(VLOOKUP(A113,#REF!,3,FALSE),0)</f>
        <v>0</v>
      </c>
      <c r="C113" s="85" t="str">
        <f>presupuesto!C104</f>
        <v xml:space="preserve">            Piezas especiales de Fierro Fundido</v>
      </c>
      <c r="D113" s="86" t="str">
        <f>presupuesto!D104</f>
        <v>kg</v>
      </c>
      <c r="E113" s="87">
        <f>presupuesto!E104</f>
        <v>619</v>
      </c>
      <c r="F113" s="70" t="str">
        <f>presupuesto!F104</f>
        <v>Tabla: Partida</v>
      </c>
      <c r="G113" s="83" t="e">
        <f t="shared" si="6"/>
        <v>#VALUE!</v>
      </c>
      <c r="H113" s="75">
        <f>IFERROR(VLOOKUP(A113,presupuesto!B:R,17,FALSE),0)*E113</f>
        <v>0</v>
      </c>
      <c r="I113" s="73">
        <f>IFERROR(VLOOKUP(A113,seguimiento!C:F,4,FALSE),0)</f>
        <v>0</v>
      </c>
      <c r="J113" s="73">
        <f t="shared" si="4"/>
        <v>0</v>
      </c>
    </row>
    <row r="114" spans="1:10" s="32" customFormat="1" ht="15.5" x14ac:dyDescent="0.35">
      <c r="A114" s="84">
        <f>presupuesto!B105</f>
        <v>67</v>
      </c>
      <c r="B114" s="84">
        <f>IFERROR(VLOOKUP(A114,#REF!,3,FALSE),0)</f>
        <v>0</v>
      </c>
      <c r="C114" s="85" t="str">
        <f>presupuesto!C105</f>
        <v xml:space="preserve">            Piezas especiales de Acero</v>
      </c>
      <c r="D114" s="86" t="str">
        <f>presupuesto!D105</f>
        <v>kg</v>
      </c>
      <c r="E114" s="87">
        <f>presupuesto!E105</f>
        <v>74.8</v>
      </c>
      <c r="F114" s="70" t="str">
        <f>presupuesto!F105</f>
        <v>Tabla: Partida</v>
      </c>
      <c r="G114" s="83" t="e">
        <f t="shared" si="6"/>
        <v>#VALUE!</v>
      </c>
      <c r="H114" s="75">
        <f>IFERROR(VLOOKUP(A114,presupuesto!B:R,17,FALSE),0)*E114</f>
        <v>0</v>
      </c>
      <c r="I114" s="73">
        <f>IFERROR(VLOOKUP(A114,seguimiento!C:F,4,FALSE),0)</f>
        <v>0</v>
      </c>
      <c r="J114" s="73">
        <f t="shared" si="4"/>
        <v>0</v>
      </c>
    </row>
    <row r="115" spans="1:10" s="32" customFormat="1" ht="15.5" x14ac:dyDescent="0.35">
      <c r="A115" s="84">
        <f>presupuesto!B106</f>
        <v>68</v>
      </c>
      <c r="B115" s="84">
        <f>IFERROR(VLOOKUP(A115,#REF!,3,FALSE),0)</f>
        <v>0</v>
      </c>
      <c r="C115" s="85" t="str">
        <f>presupuesto!C106</f>
        <v xml:space="preserve">            Piezas especiales de Conduit</v>
      </c>
      <c r="D115" s="86" t="str">
        <f>presupuesto!D106</f>
        <v>kg</v>
      </c>
      <c r="E115" s="87">
        <f>presupuesto!E106</f>
        <v>4.8</v>
      </c>
      <c r="F115" s="70" t="str">
        <f>presupuesto!F106</f>
        <v>Tabla: Partida</v>
      </c>
      <c r="G115" s="83" t="e">
        <f t="shared" si="6"/>
        <v>#VALUE!</v>
      </c>
      <c r="H115" s="75">
        <f>IFERROR(VLOOKUP(A115,presupuesto!B:R,17,FALSE),0)*E115</f>
        <v>0</v>
      </c>
      <c r="I115" s="73">
        <f>IFERROR(VLOOKUP(A115,seguimiento!C:F,4,FALSE),0)</f>
        <v>0</v>
      </c>
      <c r="J115" s="73">
        <f t="shared" si="4"/>
        <v>0</v>
      </c>
    </row>
    <row r="116" spans="1:10" s="32" customFormat="1" ht="15.5" x14ac:dyDescent="0.35">
      <c r="A116" s="84">
        <f>presupuesto!B107</f>
        <v>69</v>
      </c>
      <c r="B116" s="84">
        <f>IFERROR(VLOOKUP(A116,#REF!,3,FALSE),0)</f>
        <v>0</v>
      </c>
      <c r="C116" s="85" t="str">
        <f>presupuesto!C107</f>
        <v xml:space="preserve">            Piezas Especiales con mecanismo</v>
      </c>
      <c r="D116" s="86" t="str">
        <f>presupuesto!D107</f>
        <v>kg</v>
      </c>
      <c r="E116" s="87">
        <f>presupuesto!E107</f>
        <v>178</v>
      </c>
      <c r="F116" s="70" t="str">
        <f>presupuesto!F107</f>
        <v>Tabla: Partida</v>
      </c>
      <c r="G116" s="83" t="e">
        <f t="shared" si="6"/>
        <v>#VALUE!</v>
      </c>
      <c r="H116" s="75">
        <f>IFERROR(VLOOKUP(A116,presupuesto!B:R,17,FALSE),0)*E116</f>
        <v>0</v>
      </c>
      <c r="I116" s="73">
        <f>IFERROR(VLOOKUP(A116,seguimiento!C:F,4,FALSE),0)</f>
        <v>0</v>
      </c>
      <c r="J116" s="73">
        <f t="shared" si="4"/>
        <v>0</v>
      </c>
    </row>
    <row r="117" spans="1:10" s="32" customFormat="1" ht="15.5" x14ac:dyDescent="0.35">
      <c r="A117" s="84">
        <f>presupuesto!B108</f>
        <v>70</v>
      </c>
      <c r="B117" s="84">
        <f>IFERROR(VLOOKUP(A117,#REF!,3,FALSE),0)</f>
        <v>0</v>
      </c>
      <c r="C117" s="85" t="str">
        <f>presupuesto!C108</f>
        <v xml:space="preserve">            Macromedidor con camara de protección</v>
      </c>
      <c r="D117" s="86" t="str">
        <f>presupuesto!D108</f>
        <v>Uni</v>
      </c>
      <c r="E117" s="87">
        <f>presupuesto!E108</f>
        <v>1</v>
      </c>
      <c r="F117" s="70" t="str">
        <f>presupuesto!F108</f>
        <v>Tabla: Partida</v>
      </c>
      <c r="G117" s="83" t="e">
        <f t="shared" si="6"/>
        <v>#VALUE!</v>
      </c>
      <c r="H117" s="75">
        <f>IFERROR(VLOOKUP(A117,presupuesto!B:R,17,FALSE),0)*E117</f>
        <v>0</v>
      </c>
      <c r="I117" s="73">
        <f>IFERROR(VLOOKUP(A117,seguimiento!C:F,4,FALSE),0)</f>
        <v>0</v>
      </c>
      <c r="J117" s="73">
        <f t="shared" si="4"/>
        <v>0</v>
      </c>
    </row>
    <row r="118" spans="1:10" s="32" customFormat="1" ht="15.5" x14ac:dyDescent="0.35">
      <c r="A118" s="82" t="str">
        <f>presupuesto!B109</f>
        <v>E.-</v>
      </c>
      <c r="B118" s="82">
        <f>IFERROR(VLOOKUP(A118,#REF!,3,FALSE),0)</f>
        <v>0</v>
      </c>
      <c r="C118" s="77" t="str">
        <f>presupuesto!C109</f>
        <v xml:space="preserve">      OBRAS VARIAS</v>
      </c>
      <c r="D118" s="78">
        <f>presupuesto!D109</f>
        <v>0</v>
      </c>
      <c r="E118" s="79">
        <f>presupuesto!E109</f>
        <v>0</v>
      </c>
      <c r="F118" s="74">
        <f>presupuesto!F109</f>
        <v>0</v>
      </c>
      <c r="G118" s="83">
        <f t="shared" si="6"/>
        <v>0</v>
      </c>
      <c r="H118" s="75">
        <f>IFERROR(VLOOKUP(A118,presupuesto!B:R,17,FALSE),0)*E118</f>
        <v>0</v>
      </c>
      <c r="I118" s="73">
        <f>IFERROR(VLOOKUP(A118,seguimiento!C:F,4,FALSE),0)</f>
        <v>0</v>
      </c>
      <c r="J118" s="73">
        <f t="shared" si="4"/>
        <v>0</v>
      </c>
    </row>
    <row r="119" spans="1:10" s="35" customFormat="1" ht="15.5" x14ac:dyDescent="0.35">
      <c r="A119" s="84">
        <f>presupuesto!B110</f>
        <v>71</v>
      </c>
      <c r="B119" s="84">
        <f>IFERROR(VLOOKUP(A119,#REF!,3,FALSE),0)</f>
        <v>0</v>
      </c>
      <c r="C119" s="85" t="str">
        <f>presupuesto!C110</f>
        <v xml:space="preserve">         Machones de apoyo y anclaje</v>
      </c>
      <c r="D119" s="86" t="str">
        <f>presupuesto!D110</f>
        <v>N°</v>
      </c>
      <c r="E119" s="87">
        <f>presupuesto!E110</f>
        <v>12</v>
      </c>
      <c r="F119" s="70" t="str">
        <f>presupuesto!F110</f>
        <v>Tabla: Partida</v>
      </c>
      <c r="G119" s="83" t="e">
        <f t="shared" si="6"/>
        <v>#VALUE!</v>
      </c>
      <c r="H119" s="75">
        <f>IFERROR(VLOOKUP(A119,presupuesto!B:R,17,FALSE),0)*E119</f>
        <v>0</v>
      </c>
      <c r="I119" s="73">
        <f>IFERROR(VLOOKUP(A119,seguimiento!C:F,4,FALSE),0)</f>
        <v>0</v>
      </c>
      <c r="J119" s="73">
        <f t="shared" si="4"/>
        <v>0</v>
      </c>
    </row>
    <row r="120" spans="1:10" s="35" customFormat="1" ht="15.5" x14ac:dyDescent="0.35">
      <c r="A120" s="84">
        <f>presupuesto!B111</f>
        <v>72</v>
      </c>
      <c r="B120" s="84">
        <f>IFERROR(VLOOKUP(A120,#REF!,3,FALSE),0)</f>
        <v>0</v>
      </c>
      <c r="C120" s="85" t="str">
        <f>presupuesto!C111</f>
        <v xml:space="preserve">         Obra de desagüe</v>
      </c>
      <c r="D120" s="86" t="str">
        <f>presupuesto!D111</f>
        <v>Uni</v>
      </c>
      <c r="E120" s="87">
        <f>presupuesto!E111</f>
        <v>1</v>
      </c>
      <c r="F120" s="70" t="str">
        <f>presupuesto!F111</f>
        <v>Tabla: Partida</v>
      </c>
      <c r="G120" s="83" t="e">
        <f t="shared" si="6"/>
        <v>#VALUE!</v>
      </c>
      <c r="H120" s="75">
        <f>IFERROR(VLOOKUP(A120,presupuesto!B:R,17,FALSE),0)*E120</f>
        <v>0</v>
      </c>
      <c r="I120" s="73">
        <f>IFERROR(VLOOKUP(A120,seguimiento!C:F,4,FALSE),0)</f>
        <v>0</v>
      </c>
      <c r="J120" s="73">
        <f t="shared" si="4"/>
        <v>0</v>
      </c>
    </row>
    <row r="121" spans="1:10" s="35" customFormat="1" ht="15.5" x14ac:dyDescent="0.35">
      <c r="A121" s="76">
        <f>presupuesto!B112</f>
        <v>0</v>
      </c>
      <c r="B121" s="76">
        <f>IFERROR(VLOOKUP(A121,#REF!,3,FALSE),0)</f>
        <v>0</v>
      </c>
      <c r="C121" s="77" t="str">
        <f>presupuesto!C112</f>
        <v xml:space="preserve">   CAPÍTULO V: RED DE DISTRIBUCIÓN</v>
      </c>
      <c r="D121" s="78">
        <f>presupuesto!D112</f>
        <v>0</v>
      </c>
      <c r="E121" s="79">
        <f>presupuesto!E112</f>
        <v>0</v>
      </c>
      <c r="F121" s="74">
        <f>presupuesto!F112</f>
        <v>0</v>
      </c>
      <c r="G121" s="83">
        <f t="shared" si="6"/>
        <v>0</v>
      </c>
      <c r="H121" s="75">
        <f>IFERROR(VLOOKUP(A121,presupuesto!B:R,17,FALSE),0)*E121</f>
        <v>0</v>
      </c>
      <c r="I121" s="73">
        <f>IFERROR(VLOOKUP(A121,seguimiento!C:F,4,FALSE),0)</f>
        <v>0</v>
      </c>
      <c r="J121" s="73">
        <f t="shared" si="4"/>
        <v>0</v>
      </c>
    </row>
    <row r="122" spans="1:10" s="35" customFormat="1" ht="15.5" x14ac:dyDescent="0.35">
      <c r="A122" s="82" t="str">
        <f>presupuesto!B113</f>
        <v>A.-</v>
      </c>
      <c r="B122" s="82">
        <f>IFERROR(VLOOKUP(A122,#REF!,3,FALSE),0)</f>
        <v>0</v>
      </c>
      <c r="C122" s="77" t="str">
        <f>presupuesto!C113</f>
        <v xml:space="preserve">      MOVIMIENTOS DE TIERRA</v>
      </c>
      <c r="D122" s="78">
        <f>presupuesto!D113</f>
        <v>0</v>
      </c>
      <c r="E122" s="79">
        <f>presupuesto!E113</f>
        <v>0</v>
      </c>
      <c r="F122" s="74">
        <f>presupuesto!F113</f>
        <v>0</v>
      </c>
      <c r="G122" s="83">
        <f t="shared" si="6"/>
        <v>0</v>
      </c>
      <c r="H122" s="75">
        <f>IFERROR(VLOOKUP(A122,presupuesto!B:R,17,FALSE),0)*E122</f>
        <v>0</v>
      </c>
      <c r="I122" s="73">
        <f>IFERROR(VLOOKUP(A122,seguimiento!C:F,4,FALSE),0)</f>
        <v>0</v>
      </c>
      <c r="J122" s="73">
        <f t="shared" si="4"/>
        <v>0</v>
      </c>
    </row>
    <row r="123" spans="1:10" s="35" customFormat="1" ht="15.5" x14ac:dyDescent="0.35">
      <c r="A123" s="84">
        <f>presupuesto!B114</f>
        <v>73</v>
      </c>
      <c r="B123" s="84">
        <f>IFERROR(VLOOKUP(A123,#REF!,3,FALSE),0)</f>
        <v>0</v>
      </c>
      <c r="C123" s="85" t="str">
        <f>presupuesto!C114</f>
        <v xml:space="preserve">         Excavación de zanja, terreno Tipo III</v>
      </c>
      <c r="D123" s="86" t="str">
        <f>presupuesto!D114</f>
        <v>m3</v>
      </c>
      <c r="E123" s="87">
        <f>presupuesto!E114</f>
        <v>13681.4</v>
      </c>
      <c r="F123" s="70" t="str">
        <f>presupuesto!F114</f>
        <v>Tabla: Partida</v>
      </c>
      <c r="G123" s="83" t="e">
        <f t="shared" si="6"/>
        <v>#VALUE!</v>
      </c>
      <c r="H123" s="75">
        <f>IFERROR(VLOOKUP(A123,presupuesto!B:R,17,FALSE),0)*E123</f>
        <v>0</v>
      </c>
      <c r="I123" s="73">
        <f>IFERROR(VLOOKUP(A123,seguimiento!C:F,4,FALSE),0)</f>
        <v>6557.6150977717143</v>
      </c>
      <c r="J123" s="73">
        <f t="shared" si="4"/>
        <v>6557.6150977717143</v>
      </c>
    </row>
    <row r="124" spans="1:10" s="35" customFormat="1" ht="15.5" x14ac:dyDescent="0.35">
      <c r="A124" s="84">
        <f>presupuesto!B115</f>
        <v>74</v>
      </c>
      <c r="B124" s="84">
        <f>IFERROR(VLOOKUP(A124,#REF!,3,FALSE),0)</f>
        <v>0</v>
      </c>
      <c r="C124" s="85" t="str">
        <f>presupuesto!C115</f>
        <v xml:space="preserve">         Excavación a mano</v>
      </c>
      <c r="D124" s="86" t="str">
        <f>presupuesto!D115</f>
        <v>m3</v>
      </c>
      <c r="E124" s="87">
        <f>presupuesto!E115</f>
        <v>899.9</v>
      </c>
      <c r="F124" s="70" t="str">
        <f>presupuesto!F115</f>
        <v>Tabla: Partida</v>
      </c>
      <c r="G124" s="83" t="e">
        <f t="shared" si="6"/>
        <v>#VALUE!</v>
      </c>
      <c r="H124" s="75">
        <f>IFERROR(VLOOKUP(A124,presupuesto!B:R,17,FALSE),0)*E124</f>
        <v>0</v>
      </c>
      <c r="I124" s="73">
        <f>IFERROR(VLOOKUP(A124,seguimiento!C:F,4,FALSE),0)</f>
        <v>0</v>
      </c>
      <c r="J124" s="73">
        <f t="shared" si="4"/>
        <v>0</v>
      </c>
    </row>
    <row r="125" spans="1:10" s="35" customFormat="1" ht="15.5" x14ac:dyDescent="0.35">
      <c r="A125" s="84">
        <f>presupuesto!B116</f>
        <v>75</v>
      </c>
      <c r="B125" s="84">
        <f>IFERROR(VLOOKUP(A125,#REF!,3,FALSE),0)</f>
        <v>0</v>
      </c>
      <c r="C125" s="85" t="str">
        <f>presupuesto!C116</f>
        <v xml:space="preserve">         Base de apoyo</v>
      </c>
      <c r="D125" s="86" t="str">
        <f>presupuesto!D116</f>
        <v>m3</v>
      </c>
      <c r="E125" s="87">
        <f>presupuesto!E116</f>
        <v>1060.5</v>
      </c>
      <c r="F125" s="70" t="str">
        <f>presupuesto!F116</f>
        <v>Tabla: Partida</v>
      </c>
      <c r="G125" s="83" t="e">
        <f t="shared" si="6"/>
        <v>#VALUE!</v>
      </c>
      <c r="H125" s="75">
        <f>IFERROR(VLOOKUP(A125,presupuesto!B:R,17,FALSE),0)*E125</f>
        <v>0</v>
      </c>
      <c r="I125" s="73">
        <f>IFERROR(VLOOKUP(A125,seguimiento!C:F,4,FALSE),0)</f>
        <v>508.30695770804914</v>
      </c>
      <c r="J125" s="73">
        <f t="shared" si="4"/>
        <v>508.30695770804914</v>
      </c>
    </row>
    <row r="126" spans="1:10" s="35" customFormat="1" ht="15.5" x14ac:dyDescent="0.35">
      <c r="A126" s="84">
        <f>presupuesto!B117</f>
        <v>76</v>
      </c>
      <c r="B126" s="84">
        <f>IFERROR(VLOOKUP(A126,#REF!,3,FALSE),0)</f>
        <v>0</v>
      </c>
      <c r="C126" s="85" t="str">
        <f>presupuesto!C117</f>
        <v xml:space="preserve">         Relleno de zanjas</v>
      </c>
      <c r="D126" s="86" t="str">
        <f>presupuesto!D117</f>
        <v>m3</v>
      </c>
      <c r="E126" s="87">
        <f>presupuesto!E117</f>
        <v>14323.8</v>
      </c>
      <c r="F126" s="70" t="str">
        <f>presupuesto!F117</f>
        <v>Tabla: Partida</v>
      </c>
      <c r="G126" s="83" t="e">
        <f t="shared" si="6"/>
        <v>#VALUE!</v>
      </c>
      <c r="H126" s="75">
        <f>IFERROR(VLOOKUP(A126,presupuesto!B:R,17,FALSE),0)*E126</f>
        <v>0</v>
      </c>
      <c r="I126" s="73">
        <f>IFERROR(VLOOKUP(A126,seguimiento!C:F,4,FALSE),0)</f>
        <v>6865.5230559345146</v>
      </c>
      <c r="J126" s="73">
        <f t="shared" si="4"/>
        <v>6865.5230559345146</v>
      </c>
    </row>
    <row r="127" spans="1:10" s="35" customFormat="1" ht="15.5" x14ac:dyDescent="0.35">
      <c r="A127" s="84">
        <f>presupuesto!B118</f>
        <v>77</v>
      </c>
      <c r="B127" s="84">
        <f>IFERROR(VLOOKUP(A127,#REF!,3,FALSE),0)</f>
        <v>0</v>
      </c>
      <c r="C127" s="85" t="str">
        <f>presupuesto!C118</f>
        <v xml:space="preserve">         Retiro de excedentes</v>
      </c>
      <c r="D127" s="86" t="str">
        <f>presupuesto!D118</f>
        <v>m3</v>
      </c>
      <c r="E127" s="87">
        <f>presupuesto!E118</f>
        <v>3179.2</v>
      </c>
      <c r="F127" s="70" t="str">
        <f>presupuesto!F118</f>
        <v>Tabla: Partida</v>
      </c>
      <c r="G127" s="83" t="e">
        <f t="shared" si="6"/>
        <v>#VALUE!</v>
      </c>
      <c r="H127" s="75">
        <f>IFERROR(VLOOKUP(A127,presupuesto!B:R,17,FALSE),0)*E127</f>
        <v>0</v>
      </c>
      <c r="I127" s="73">
        <f>IFERROR(VLOOKUP(A127,seguimiento!C:F,4,FALSE),0)</f>
        <v>1523.8184629376988</v>
      </c>
      <c r="J127" s="73">
        <f t="shared" si="4"/>
        <v>1523.8184629376988</v>
      </c>
    </row>
    <row r="128" spans="1:10" s="35" customFormat="1" ht="15.5" x14ac:dyDescent="0.35">
      <c r="A128" s="82" t="str">
        <f>presupuesto!B119</f>
        <v>B.-</v>
      </c>
      <c r="B128" s="82">
        <f>IFERROR(VLOOKUP(A128,#REF!,3,FALSE),0)</f>
        <v>0</v>
      </c>
      <c r="C128" s="77" t="str">
        <f>presupuesto!C119</f>
        <v xml:space="preserve">      INTERCONEXIONES HIDRÁULICAS</v>
      </c>
      <c r="D128" s="78">
        <f>presupuesto!D119</f>
        <v>0</v>
      </c>
      <c r="E128" s="79">
        <f>presupuesto!E119</f>
        <v>0</v>
      </c>
      <c r="F128" s="74">
        <f>presupuesto!F119</f>
        <v>0</v>
      </c>
      <c r="G128" s="83">
        <f t="shared" si="6"/>
        <v>0</v>
      </c>
      <c r="H128" s="75">
        <f>IFERROR(VLOOKUP(A128,presupuesto!B:R,17,FALSE),0)*E128</f>
        <v>0</v>
      </c>
      <c r="I128" s="73">
        <f>IFERROR(VLOOKUP(A128,seguimiento!C:F,4,FALSE),0)</f>
        <v>0</v>
      </c>
      <c r="J128" s="73">
        <f t="shared" si="4"/>
        <v>0</v>
      </c>
    </row>
    <row r="129" spans="1:10" s="35" customFormat="1" ht="15.5" x14ac:dyDescent="0.35">
      <c r="A129" s="82" t="str">
        <f>presupuesto!B120</f>
        <v>B.1.-</v>
      </c>
      <c r="B129" s="82">
        <f>IFERROR(VLOOKUP(A129,#REF!,3,FALSE),0)</f>
        <v>0</v>
      </c>
      <c r="C129" s="77" t="str">
        <f>presupuesto!C120</f>
        <v xml:space="preserve">         Suministro, transporte, transporte interno, colocación y prueba de Tuberías de HDPE</v>
      </c>
      <c r="D129" s="78">
        <f>presupuesto!D120</f>
        <v>0</v>
      </c>
      <c r="E129" s="79">
        <f>presupuesto!E120</f>
        <v>0</v>
      </c>
      <c r="F129" s="74">
        <f>presupuesto!F120</f>
        <v>0</v>
      </c>
      <c r="G129" s="83">
        <f t="shared" si="6"/>
        <v>0</v>
      </c>
      <c r="H129" s="75">
        <f>IFERROR(VLOOKUP(A129,presupuesto!B:R,17,FALSE),0)*E129</f>
        <v>0</v>
      </c>
      <c r="I129" s="73">
        <f>IFERROR(VLOOKUP(A129,seguimiento!C:F,4,FALSE),0)</f>
        <v>0</v>
      </c>
      <c r="J129" s="73">
        <f t="shared" si="4"/>
        <v>0</v>
      </c>
    </row>
    <row r="130" spans="1:10" s="35" customFormat="1" ht="15.5" x14ac:dyDescent="0.35">
      <c r="A130" s="84">
        <f>presupuesto!B121</f>
        <v>78</v>
      </c>
      <c r="B130" s="84">
        <f>IFERROR(VLOOKUP(A130,#REF!,3,FALSE),0)</f>
        <v>0</v>
      </c>
      <c r="C130" s="85" t="str">
        <f>presupuesto!C121</f>
        <v xml:space="preserve">            Cañería de HDPE PN 10 D = 75 mm</v>
      </c>
      <c r="D130" s="86" t="str">
        <f>presupuesto!D121</f>
        <v>m</v>
      </c>
      <c r="E130" s="87">
        <f>presupuesto!E121</f>
        <v>17364</v>
      </c>
      <c r="F130" s="70" t="str">
        <f>presupuesto!F121</f>
        <v>Tabla: Partida</v>
      </c>
      <c r="G130" s="83" t="e">
        <f t="shared" si="6"/>
        <v>#VALUE!</v>
      </c>
      <c r="H130" s="75">
        <f>IFERROR(VLOOKUP(A130,presupuesto!B:R,17,FALSE),0)*E130</f>
        <v>0</v>
      </c>
      <c r="I130" s="73">
        <f>IFERROR(VLOOKUP(A130,seguimiento!C:F,4,FALSE),0)</f>
        <v>8432</v>
      </c>
      <c r="J130" s="73">
        <f t="shared" si="4"/>
        <v>8432</v>
      </c>
    </row>
    <row r="131" spans="1:10" s="35" customFormat="1" ht="15.5" x14ac:dyDescent="0.35">
      <c r="A131" s="82" t="str">
        <f>presupuesto!B122</f>
        <v>B.2.-</v>
      </c>
      <c r="B131" s="82">
        <f>IFERROR(VLOOKUP(A131,#REF!,3,FALSE),0)</f>
        <v>0</v>
      </c>
      <c r="C131" s="77" t="str">
        <f>presupuesto!C122</f>
        <v xml:space="preserve">         Suministro, transporte, transporte interno, colocación y prueba de Tuberías de Acero Galvanizado</v>
      </c>
      <c r="D131" s="78">
        <f>presupuesto!D122</f>
        <v>0</v>
      </c>
      <c r="E131" s="79">
        <f>presupuesto!E122</f>
        <v>0</v>
      </c>
      <c r="F131" s="74">
        <f>presupuesto!F122</f>
        <v>0</v>
      </c>
      <c r="G131" s="83">
        <f t="shared" si="6"/>
        <v>0</v>
      </c>
      <c r="H131" s="75">
        <f>IFERROR(VLOOKUP(A131,presupuesto!B:R,17,FALSE),0)*E131</f>
        <v>0</v>
      </c>
      <c r="I131" s="73">
        <f>IFERROR(VLOOKUP(A131,seguimiento!C:F,4,FALSE),0)</f>
        <v>0</v>
      </c>
      <c r="J131" s="73">
        <f t="shared" si="4"/>
        <v>0</v>
      </c>
    </row>
    <row r="132" spans="1:10" s="35" customFormat="1" ht="15.5" x14ac:dyDescent="0.35">
      <c r="A132" s="84">
        <f>presupuesto!B123</f>
        <v>79</v>
      </c>
      <c r="B132" s="84">
        <f>IFERROR(VLOOKUP(A132,#REF!,3,FALSE),0)</f>
        <v>0</v>
      </c>
      <c r="C132" s="85" t="str">
        <f>presupuesto!C123</f>
        <v xml:space="preserve">            Cañería de acero galvanizado Sch 40 D = 3”</v>
      </c>
      <c r="D132" s="86" t="str">
        <f>presupuesto!D123</f>
        <v>m</v>
      </c>
      <c r="E132" s="87">
        <f>presupuesto!E123</f>
        <v>183</v>
      </c>
      <c r="F132" s="70" t="str">
        <f>presupuesto!F123</f>
        <v>Tabla: Partida</v>
      </c>
      <c r="G132" s="83" t="e">
        <f t="shared" si="6"/>
        <v>#VALUE!</v>
      </c>
      <c r="H132" s="75">
        <f>IFERROR(VLOOKUP(A132,presupuesto!B:R,17,FALSE),0)*E132</f>
        <v>0</v>
      </c>
      <c r="I132" s="73">
        <f>IFERROR(VLOOKUP(A132,seguimiento!C:F,4,FALSE),0)</f>
        <v>0</v>
      </c>
      <c r="J132" s="73">
        <f t="shared" si="4"/>
        <v>0</v>
      </c>
    </row>
    <row r="133" spans="1:10" s="35" customFormat="1" ht="15" customHeight="1" x14ac:dyDescent="0.35">
      <c r="A133" s="84">
        <f>presupuesto!B124</f>
        <v>80</v>
      </c>
      <c r="B133" s="84">
        <f>IFERROR(VLOOKUP(A133,#REF!,3,FALSE),0)</f>
        <v>0</v>
      </c>
      <c r="C133" s="85" t="str">
        <f>presupuesto!C124</f>
        <v xml:space="preserve">            Cañería de acero galvanizado Sch 40, D = 6”</v>
      </c>
      <c r="D133" s="86" t="str">
        <f>presupuesto!D124</f>
        <v>m</v>
      </c>
      <c r="E133" s="87">
        <f>presupuesto!E124</f>
        <v>45</v>
      </c>
      <c r="F133" s="70" t="str">
        <f>presupuesto!F124</f>
        <v>Tabla: Partida</v>
      </c>
      <c r="G133" s="83" t="e">
        <f t="shared" si="6"/>
        <v>#VALUE!</v>
      </c>
      <c r="H133" s="75">
        <f>IFERROR(VLOOKUP(A133,presupuesto!B:R,17,FALSE),0)*E133</f>
        <v>0</v>
      </c>
      <c r="I133" s="73">
        <f>IFERROR(VLOOKUP(A133,seguimiento!C:F,4,FALSE),0)</f>
        <v>0</v>
      </c>
      <c r="J133" s="73">
        <f t="shared" si="4"/>
        <v>0</v>
      </c>
    </row>
    <row r="134" spans="1:10" s="35" customFormat="1" ht="15.5" x14ac:dyDescent="0.35">
      <c r="A134" s="82" t="str">
        <f>presupuesto!B125</f>
        <v>B.3.-</v>
      </c>
      <c r="B134" s="82">
        <f>IFERROR(VLOOKUP(A134,#REF!,3,FALSE),0)</f>
        <v>0</v>
      </c>
      <c r="C134" s="77" t="str">
        <f>presupuesto!C125</f>
        <v xml:space="preserve">         Suministro, transporte, transporte interno, colocación y prueba de Piezas Especiales con/sin mecanismo</v>
      </c>
      <c r="D134" s="78">
        <f>presupuesto!D125</f>
        <v>0</v>
      </c>
      <c r="E134" s="79">
        <f>presupuesto!E125</f>
        <v>0</v>
      </c>
      <c r="F134" s="74">
        <f>presupuesto!F125</f>
        <v>0</v>
      </c>
      <c r="G134" s="83">
        <f t="shared" si="6"/>
        <v>0</v>
      </c>
      <c r="H134" s="75">
        <f>IFERROR(VLOOKUP(A134,presupuesto!B:R,17,FALSE),0)*E134</f>
        <v>0</v>
      </c>
      <c r="I134" s="73">
        <f>IFERROR(VLOOKUP(A134,seguimiento!C:F,4,FALSE),0)</f>
        <v>0</v>
      </c>
      <c r="J134" s="73">
        <f t="shared" si="4"/>
        <v>0</v>
      </c>
    </row>
    <row r="135" spans="1:10" s="35" customFormat="1" ht="15.5" x14ac:dyDescent="0.35">
      <c r="A135" s="84">
        <f>presupuesto!B126</f>
        <v>81</v>
      </c>
      <c r="B135" s="84">
        <f>IFERROR(VLOOKUP(A135,#REF!,3,FALSE),0)</f>
        <v>0</v>
      </c>
      <c r="C135" s="85" t="str">
        <f>presupuesto!C126</f>
        <v xml:space="preserve">            Piezas especiales de HDPE</v>
      </c>
      <c r="D135" s="86" t="str">
        <f>presupuesto!D126</f>
        <v>Kg</v>
      </c>
      <c r="E135" s="87">
        <f>presupuesto!E126</f>
        <v>227</v>
      </c>
      <c r="F135" s="70" t="str">
        <f>presupuesto!F126</f>
        <v>Tabla: Partida</v>
      </c>
      <c r="G135" s="83" t="e">
        <f t="shared" si="6"/>
        <v>#VALUE!</v>
      </c>
      <c r="H135" s="75">
        <f>IFERROR(VLOOKUP(A135,presupuesto!B:R,17,FALSE),0)*E135</f>
        <v>0</v>
      </c>
      <c r="I135" s="73">
        <f>IFERROR(VLOOKUP(A135,seguimiento!C:F,4,FALSE),0)</f>
        <v>0</v>
      </c>
      <c r="J135" s="73">
        <f t="shared" si="4"/>
        <v>0</v>
      </c>
    </row>
    <row r="136" spans="1:10" s="35" customFormat="1" ht="15.5" x14ac:dyDescent="0.35">
      <c r="A136" s="84">
        <f>presupuesto!B127</f>
        <v>82</v>
      </c>
      <c r="B136" s="84">
        <f>IFERROR(VLOOKUP(A136,#REF!,3,FALSE),0)</f>
        <v>0</v>
      </c>
      <c r="C136" s="85" t="str">
        <f>presupuesto!C127</f>
        <v xml:space="preserve">            Piezas especiales de Fierro Fundido</v>
      </c>
      <c r="D136" s="86" t="str">
        <f>presupuesto!D127</f>
        <v>kg</v>
      </c>
      <c r="E136" s="87">
        <f>presupuesto!E127</f>
        <v>5196.1000000000004</v>
      </c>
      <c r="F136" s="70" t="str">
        <f>presupuesto!F127</f>
        <v>Tabla: Partida</v>
      </c>
      <c r="G136" s="83" t="e">
        <f t="shared" si="6"/>
        <v>#VALUE!</v>
      </c>
      <c r="H136" s="75">
        <f>IFERROR(VLOOKUP(A136,presupuesto!B:R,17,FALSE),0)*E136</f>
        <v>0</v>
      </c>
      <c r="I136" s="73">
        <f>IFERROR(VLOOKUP(A136,seguimiento!C:F,4,FALSE),0)</f>
        <v>0</v>
      </c>
      <c r="J136" s="73">
        <f t="shared" si="4"/>
        <v>0</v>
      </c>
    </row>
    <row r="137" spans="1:10" s="35" customFormat="1" ht="15.5" x14ac:dyDescent="0.35">
      <c r="A137" s="84">
        <f>presupuesto!B128</f>
        <v>83</v>
      </c>
      <c r="B137" s="84">
        <f>IFERROR(VLOOKUP(A137,#REF!,3,FALSE),0)</f>
        <v>0</v>
      </c>
      <c r="C137" s="85" t="str">
        <f>presupuesto!C128</f>
        <v xml:space="preserve">            Piezas especiales de Acero Galvanizado</v>
      </c>
      <c r="D137" s="86" t="str">
        <f>presupuesto!D128</f>
        <v>kg</v>
      </c>
      <c r="E137" s="87">
        <f>presupuesto!E128</f>
        <v>1174.5</v>
      </c>
      <c r="F137" s="70" t="str">
        <f>presupuesto!F128</f>
        <v>Tabla: Partida</v>
      </c>
      <c r="G137" s="83" t="e">
        <f t="shared" si="6"/>
        <v>#VALUE!</v>
      </c>
      <c r="H137" s="75">
        <f>IFERROR(VLOOKUP(A137,presupuesto!B:R,17,FALSE),0)*E137</f>
        <v>0</v>
      </c>
      <c r="I137" s="73">
        <f>IFERROR(VLOOKUP(A137,seguimiento!C:F,4,FALSE),0)</f>
        <v>0</v>
      </c>
      <c r="J137" s="73">
        <f t="shared" si="4"/>
        <v>0</v>
      </c>
    </row>
    <row r="138" spans="1:10" s="35" customFormat="1" ht="15.5" x14ac:dyDescent="0.35">
      <c r="A138" s="84">
        <f>presupuesto!B129</f>
        <v>84</v>
      </c>
      <c r="B138" s="84">
        <f>IFERROR(VLOOKUP(A138,#REF!,3,FALSE),0)</f>
        <v>0</v>
      </c>
      <c r="C138" s="85" t="str">
        <f>presupuesto!C129</f>
        <v xml:space="preserve">            Piezas Especiales con mecanismo</v>
      </c>
      <c r="D138" s="86" t="str">
        <f>presupuesto!D129</f>
        <v>kg</v>
      </c>
      <c r="E138" s="87">
        <f>presupuesto!E129</f>
        <v>3799</v>
      </c>
      <c r="F138" s="70" t="str">
        <f>presupuesto!F129</f>
        <v>Tabla: Partida</v>
      </c>
      <c r="G138" s="83" t="e">
        <f t="shared" si="6"/>
        <v>#VALUE!</v>
      </c>
      <c r="H138" s="75">
        <f>IFERROR(VLOOKUP(A138,presupuesto!B:R,17,FALSE),0)*E138</f>
        <v>0</v>
      </c>
      <c r="I138" s="73">
        <f>IFERROR(VLOOKUP(A138,seguimiento!C:F,4,FALSE),0)</f>
        <v>0</v>
      </c>
      <c r="J138" s="73">
        <f t="shared" si="4"/>
        <v>0</v>
      </c>
    </row>
    <row r="139" spans="1:10" s="35" customFormat="1" ht="15.5" x14ac:dyDescent="0.35">
      <c r="A139" s="82" t="str">
        <f>presupuesto!B130</f>
        <v>B.4.-</v>
      </c>
      <c r="B139" s="82">
        <f>IFERROR(VLOOKUP(A139,#REF!,3,FALSE),0)</f>
        <v>0</v>
      </c>
      <c r="C139" s="77" t="str">
        <f>presupuesto!C130</f>
        <v xml:space="preserve">         Junturas</v>
      </c>
      <c r="D139" s="78">
        <f>presupuesto!D130</f>
        <v>0</v>
      </c>
      <c r="E139" s="79">
        <f>presupuesto!E130</f>
        <v>0</v>
      </c>
      <c r="F139" s="74">
        <f>presupuesto!F130</f>
        <v>0</v>
      </c>
      <c r="G139" s="83">
        <f t="shared" si="6"/>
        <v>0</v>
      </c>
      <c r="H139" s="75">
        <f>IFERROR(VLOOKUP(A139,presupuesto!B:R,17,FALSE),0)*E139</f>
        <v>0</v>
      </c>
      <c r="I139" s="73">
        <f>IFERROR(VLOOKUP(A139,seguimiento!C:F,4,FALSE),0)</f>
        <v>0</v>
      </c>
      <c r="J139" s="73">
        <f t="shared" si="4"/>
        <v>0</v>
      </c>
    </row>
    <row r="140" spans="1:10" s="35" customFormat="1" ht="15.5" x14ac:dyDescent="0.35">
      <c r="A140" s="84">
        <f>presupuesto!B131</f>
        <v>85</v>
      </c>
      <c r="B140" s="84">
        <f>IFERROR(VLOOKUP(A140,#REF!,3,FALSE),0)</f>
        <v>0</v>
      </c>
      <c r="C140" s="85" t="str">
        <f>presupuesto!C131</f>
        <v xml:space="preserve">            Anger 75 mm</v>
      </c>
      <c r="D140" s="86" t="str">
        <f>presupuesto!D131</f>
        <v>Uni</v>
      </c>
      <c r="E140" s="87">
        <f>presupuesto!E131</f>
        <v>20</v>
      </c>
      <c r="F140" s="70" t="str">
        <f>presupuesto!F131</f>
        <v>Tabla: Partida</v>
      </c>
      <c r="G140" s="83" t="e">
        <f t="shared" si="6"/>
        <v>#VALUE!</v>
      </c>
      <c r="H140" s="75">
        <f>IFERROR(VLOOKUP(A140,presupuesto!B:R,17,FALSE),0)*E140</f>
        <v>0</v>
      </c>
      <c r="I140" s="73">
        <f>IFERROR(VLOOKUP(A140,seguimiento!C:F,4,FALSE),0)</f>
        <v>0</v>
      </c>
      <c r="J140" s="73">
        <f t="shared" si="4"/>
        <v>0</v>
      </c>
    </row>
    <row r="141" spans="1:10" s="35" customFormat="1" ht="15.5" x14ac:dyDescent="0.35">
      <c r="A141" s="84">
        <f>presupuesto!B132</f>
        <v>86</v>
      </c>
      <c r="B141" s="84">
        <f>IFERROR(VLOOKUP(A141,#REF!,3,FALSE),0)</f>
        <v>0</v>
      </c>
      <c r="C141" s="85" t="str">
        <f>presupuesto!C132</f>
        <v xml:space="preserve">            Termofusión 75 mm</v>
      </c>
      <c r="D141" s="86" t="str">
        <f>presupuesto!D132</f>
        <v>Uni</v>
      </c>
      <c r="E141" s="87">
        <f>presupuesto!E132</f>
        <v>213</v>
      </c>
      <c r="F141" s="70" t="str">
        <f>presupuesto!F132</f>
        <v>Tabla: Partida</v>
      </c>
      <c r="G141" s="83" t="e">
        <f t="shared" si="6"/>
        <v>#VALUE!</v>
      </c>
      <c r="H141" s="75">
        <f>IFERROR(VLOOKUP(A141,presupuesto!B:R,17,FALSE),0)*E141</f>
        <v>0</v>
      </c>
      <c r="I141" s="73">
        <f>IFERROR(VLOOKUP(A141,seguimiento!C:F,4,FALSE),0)</f>
        <v>0</v>
      </c>
      <c r="J141" s="73">
        <f t="shared" si="4"/>
        <v>0</v>
      </c>
    </row>
    <row r="142" spans="1:10" s="35" customFormat="1" ht="15.5" x14ac:dyDescent="0.35">
      <c r="A142" s="84">
        <f>presupuesto!B133</f>
        <v>87</v>
      </c>
      <c r="B142" s="84">
        <f>IFERROR(VLOOKUP(A142,#REF!,3,FALSE),0)</f>
        <v>0</v>
      </c>
      <c r="C142" s="85" t="str">
        <f>presupuesto!C133</f>
        <v xml:space="preserve">            Brida, D=3"</v>
      </c>
      <c r="D142" s="86" t="str">
        <f>presupuesto!D133</f>
        <v>Uni</v>
      </c>
      <c r="E142" s="87">
        <f>presupuesto!E133</f>
        <v>835</v>
      </c>
      <c r="F142" s="70" t="str">
        <f>presupuesto!F133</f>
        <v>Tabla: Partida</v>
      </c>
      <c r="G142" s="83" t="e">
        <f t="shared" si="6"/>
        <v>#VALUE!</v>
      </c>
      <c r="H142" s="75">
        <f>IFERROR(VLOOKUP(A142,presupuesto!B:R,17,FALSE),0)*E142</f>
        <v>0</v>
      </c>
      <c r="I142" s="73">
        <f>IFERROR(VLOOKUP(A142,seguimiento!C:F,4,FALSE),0)</f>
        <v>0</v>
      </c>
      <c r="J142" s="73">
        <f t="shared" si="4"/>
        <v>0</v>
      </c>
    </row>
    <row r="143" spans="1:10" s="35" customFormat="1" ht="15.5" x14ac:dyDescent="0.35">
      <c r="A143" s="84">
        <f>presupuesto!B134</f>
        <v>88</v>
      </c>
      <c r="B143" s="84">
        <f>IFERROR(VLOOKUP(A143,#REF!,3,FALSE),0)</f>
        <v>0</v>
      </c>
      <c r="C143" s="85" t="str">
        <f>presupuesto!C134</f>
        <v xml:space="preserve">            Autobloqueante D=3"</v>
      </c>
      <c r="D143" s="86" t="str">
        <f>presupuesto!D134</f>
        <v>Uni</v>
      </c>
      <c r="E143" s="87">
        <f>presupuesto!E134</f>
        <v>81</v>
      </c>
      <c r="F143" s="70" t="str">
        <f>presupuesto!F134</f>
        <v>Tabla: Partida</v>
      </c>
      <c r="G143" s="83" t="e">
        <f t="shared" si="6"/>
        <v>#VALUE!</v>
      </c>
      <c r="H143" s="75">
        <f>IFERROR(VLOOKUP(A143,presupuesto!B:R,17,FALSE),0)*E143</f>
        <v>0</v>
      </c>
      <c r="I143" s="73">
        <f>IFERROR(VLOOKUP(A143,seguimiento!C:F,4,FALSE),0)</f>
        <v>0</v>
      </c>
      <c r="J143" s="73">
        <f t="shared" ref="J143:J181" si="7">+I143-H143</f>
        <v>0</v>
      </c>
    </row>
    <row r="144" spans="1:10" s="35" customFormat="1" ht="15.5" x14ac:dyDescent="0.35">
      <c r="A144" s="84">
        <f>presupuesto!B135</f>
        <v>89</v>
      </c>
      <c r="B144" s="84">
        <f>IFERROR(VLOOKUP(A144,#REF!,3,FALSE),0)</f>
        <v>0</v>
      </c>
      <c r="C144" s="85" t="str">
        <f>presupuesto!C135</f>
        <v xml:space="preserve">            Hilo 3"</v>
      </c>
      <c r="D144" s="86" t="str">
        <f>presupuesto!D135</f>
        <v>Uni</v>
      </c>
      <c r="E144" s="87">
        <f>presupuesto!E135</f>
        <v>210</v>
      </c>
      <c r="F144" s="70" t="str">
        <f>presupuesto!F135</f>
        <v>Tabla: Partida</v>
      </c>
      <c r="G144" s="83" t="e">
        <f t="shared" si="6"/>
        <v>#VALUE!</v>
      </c>
      <c r="H144" s="75">
        <f>IFERROR(VLOOKUP(A144,presupuesto!B:R,17,FALSE),0)*E144</f>
        <v>0</v>
      </c>
      <c r="I144" s="73">
        <f>IFERROR(VLOOKUP(A144,seguimiento!C:F,4,FALSE),0)</f>
        <v>0</v>
      </c>
      <c r="J144" s="73">
        <f t="shared" si="7"/>
        <v>0</v>
      </c>
    </row>
    <row r="145" spans="1:10" s="35" customFormat="1" ht="15.5" x14ac:dyDescent="0.35">
      <c r="A145" s="82" t="str">
        <f>presupuesto!B136</f>
        <v>C.-</v>
      </c>
      <c r="B145" s="82">
        <f>IFERROR(VLOOKUP(A145,#REF!,3,FALSE),0)</f>
        <v>0</v>
      </c>
      <c r="C145" s="77" t="str">
        <f>presupuesto!C136</f>
        <v xml:space="preserve">      ARRANQUES DOMICILIARIOS</v>
      </c>
      <c r="D145" s="78">
        <f>presupuesto!D136</f>
        <v>0</v>
      </c>
      <c r="E145" s="79">
        <f>presupuesto!E136</f>
        <v>0</v>
      </c>
      <c r="F145" s="74">
        <f>presupuesto!F136</f>
        <v>0</v>
      </c>
      <c r="G145" s="83">
        <f t="shared" si="6"/>
        <v>0</v>
      </c>
      <c r="H145" s="75">
        <f>IFERROR(VLOOKUP(A145,presupuesto!B:R,17,FALSE),0)*E145</f>
        <v>0</v>
      </c>
      <c r="I145" s="73">
        <f>IFERROR(VLOOKUP(A145,seguimiento!C:F,4,FALSE),0)</f>
        <v>0</v>
      </c>
      <c r="J145" s="73">
        <f t="shared" si="7"/>
        <v>0</v>
      </c>
    </row>
    <row r="146" spans="1:10" s="35" customFormat="1" ht="15.5" x14ac:dyDescent="0.35">
      <c r="A146" s="84">
        <f>presupuesto!B137</f>
        <v>90</v>
      </c>
      <c r="B146" s="84">
        <f>IFERROR(VLOOKUP(A146,#REF!,3,FALSE),0)</f>
        <v>0</v>
      </c>
      <c r="C146" s="85" t="str">
        <f>presupuesto!C137</f>
        <v xml:space="preserve">         Arranque domiciliario 0-20 m ½” C/ medidor</v>
      </c>
      <c r="D146" s="86" t="str">
        <f>presupuesto!D137</f>
        <v>Uni</v>
      </c>
      <c r="E146" s="87">
        <f>presupuesto!E137</f>
        <v>78</v>
      </c>
      <c r="F146" s="70" t="str">
        <f>presupuesto!F137</f>
        <v>Tabla: Partida</v>
      </c>
      <c r="G146" s="83" t="e">
        <f t="shared" si="6"/>
        <v>#VALUE!</v>
      </c>
      <c r="H146" s="75">
        <f>IFERROR(VLOOKUP(A146,presupuesto!B:R,17,FALSE),0)*E146</f>
        <v>0</v>
      </c>
      <c r="I146" s="73">
        <f>IFERROR(VLOOKUP(A146,seguimiento!C:F,4,FALSE),0)</f>
        <v>0</v>
      </c>
      <c r="J146" s="73">
        <f t="shared" si="7"/>
        <v>0</v>
      </c>
    </row>
    <row r="147" spans="1:10" s="35" customFormat="1" ht="15.5" x14ac:dyDescent="0.35">
      <c r="A147" s="84">
        <f>presupuesto!B138</f>
        <v>91</v>
      </c>
      <c r="B147" s="84">
        <f>IFERROR(VLOOKUP(A147,#REF!,3,FALSE),0)</f>
        <v>0</v>
      </c>
      <c r="C147" s="85" t="str">
        <f>presupuesto!C138</f>
        <v xml:space="preserve">         Arranque domiciliario con atravieso encamisado 0-20 m ½” C/ medidor</v>
      </c>
      <c r="D147" s="86" t="str">
        <f>presupuesto!D138</f>
        <v>Uni</v>
      </c>
      <c r="E147" s="87">
        <f>presupuesto!E138</f>
        <v>5</v>
      </c>
      <c r="F147" s="70" t="str">
        <f>presupuesto!F138</f>
        <v>Tabla: Partida</v>
      </c>
      <c r="G147" s="83" t="e">
        <f t="shared" si="6"/>
        <v>#VALUE!</v>
      </c>
      <c r="H147" s="75">
        <f>IFERROR(VLOOKUP(A147,presupuesto!B:R,17,FALSE),0)*E147</f>
        <v>0</v>
      </c>
      <c r="I147" s="73">
        <f>IFERROR(VLOOKUP(A147,seguimiento!C:F,4,FALSE),0)</f>
        <v>0</v>
      </c>
      <c r="J147" s="73">
        <f t="shared" si="7"/>
        <v>0</v>
      </c>
    </row>
    <row r="148" spans="1:10" s="35" customFormat="1" ht="15.5" x14ac:dyDescent="0.35">
      <c r="A148" s="84">
        <f>presupuesto!B139</f>
        <v>92</v>
      </c>
      <c r="B148" s="84">
        <f>IFERROR(VLOOKUP(A148,#REF!,3,FALSE),0)</f>
        <v>0</v>
      </c>
      <c r="C148" s="85" t="str">
        <f>presupuesto!C139</f>
        <v xml:space="preserve">         Reconexión de Arranque domiciliario por reemplazo de red</v>
      </c>
      <c r="D148" s="86" t="str">
        <f>presupuesto!D139</f>
        <v>Uni</v>
      </c>
      <c r="E148" s="87">
        <f>presupuesto!E139</f>
        <v>19</v>
      </c>
      <c r="F148" s="70" t="str">
        <f>presupuesto!F139</f>
        <v>Tabla: Partida</v>
      </c>
      <c r="G148" s="83" t="e">
        <f t="shared" si="6"/>
        <v>#VALUE!</v>
      </c>
      <c r="H148" s="75">
        <f>IFERROR(VLOOKUP(A148,presupuesto!B:R,17,FALSE),0)*E148</f>
        <v>0</v>
      </c>
      <c r="I148" s="73">
        <f>IFERROR(VLOOKUP(A148,seguimiento!C:F,4,FALSE),0)</f>
        <v>0</v>
      </c>
      <c r="J148" s="73">
        <f t="shared" si="7"/>
        <v>0</v>
      </c>
    </row>
    <row r="149" spans="1:10" s="35" customFormat="1" ht="15.5" x14ac:dyDescent="0.35">
      <c r="A149" s="82" t="str">
        <f>presupuesto!B140</f>
        <v>D.-</v>
      </c>
      <c r="B149" s="82">
        <f>IFERROR(VLOOKUP(A149,#REF!,3,FALSE),0)</f>
        <v>0</v>
      </c>
      <c r="C149" s="77" t="str">
        <f>presupuesto!C140</f>
        <v xml:space="preserve">      OBRAS VARIAS</v>
      </c>
      <c r="D149" s="78">
        <f>presupuesto!D140</f>
        <v>0</v>
      </c>
      <c r="E149" s="79">
        <f>presupuesto!E140</f>
        <v>0</v>
      </c>
      <c r="F149" s="74">
        <f>presupuesto!F140</f>
        <v>0</v>
      </c>
      <c r="G149" s="83">
        <f t="shared" si="6"/>
        <v>0</v>
      </c>
      <c r="H149" s="75">
        <f>IFERROR(VLOOKUP(A149,presupuesto!B:R,17,FALSE),0)*E149</f>
        <v>0</v>
      </c>
      <c r="I149" s="73">
        <f>IFERROR(VLOOKUP(A149,seguimiento!C:F,4,FALSE),0)</f>
        <v>0</v>
      </c>
      <c r="J149" s="73">
        <f t="shared" si="7"/>
        <v>0</v>
      </c>
    </row>
    <row r="150" spans="1:10" s="35" customFormat="1" ht="15.5" x14ac:dyDescent="0.35">
      <c r="A150" s="84">
        <f>presupuesto!B141</f>
        <v>93</v>
      </c>
      <c r="B150" s="84">
        <f>IFERROR(VLOOKUP(A150,#REF!,3,FALSE),0)</f>
        <v>0</v>
      </c>
      <c r="C150" s="85" t="str">
        <f>presupuesto!C141</f>
        <v xml:space="preserve">         Machones de Apoyo y Anclaje</v>
      </c>
      <c r="D150" s="86" t="str">
        <f>presupuesto!D141</f>
        <v>Uni</v>
      </c>
      <c r="E150" s="87">
        <f>presupuesto!E141</f>
        <v>257</v>
      </c>
      <c r="F150" s="70" t="str">
        <f>presupuesto!F141</f>
        <v>Tabla: Partida</v>
      </c>
      <c r="G150" s="83" t="e">
        <f t="shared" ref="G150:G176" si="8">ROUND(E150*F150,0)</f>
        <v>#VALUE!</v>
      </c>
      <c r="H150" s="75">
        <f>IFERROR(VLOOKUP(A150,presupuesto!B:R,17,FALSE),0)*E150</f>
        <v>0</v>
      </c>
      <c r="I150" s="73">
        <f>IFERROR(VLOOKUP(A150,seguimiento!C:F,4,FALSE),0)</f>
        <v>0</v>
      </c>
      <c r="J150" s="73">
        <f t="shared" si="7"/>
        <v>0</v>
      </c>
    </row>
    <row r="151" spans="1:10" s="35" customFormat="1" ht="15.5" x14ac:dyDescent="0.35">
      <c r="A151" s="84">
        <f>presupuesto!B142</f>
        <v>94</v>
      </c>
      <c r="B151" s="84">
        <f>IFERROR(VLOOKUP(A151,#REF!,3,FALSE),0)</f>
        <v>0</v>
      </c>
      <c r="C151" s="85" t="str">
        <f>presupuesto!C142</f>
        <v xml:space="preserve">         Cámara de válvula corte</v>
      </c>
      <c r="D151" s="86" t="str">
        <f>presupuesto!D142</f>
        <v>Uni</v>
      </c>
      <c r="E151" s="87">
        <f>presupuesto!E142</f>
        <v>23</v>
      </c>
      <c r="F151" s="70" t="str">
        <f>presupuesto!F142</f>
        <v>Tabla: Partida</v>
      </c>
      <c r="G151" s="83" t="e">
        <f t="shared" si="8"/>
        <v>#VALUE!</v>
      </c>
      <c r="H151" s="75">
        <f>IFERROR(VLOOKUP(A151,presupuesto!B:R,17,FALSE),0)*E151</f>
        <v>0</v>
      </c>
      <c r="I151" s="73">
        <f>IFERROR(VLOOKUP(A151,seguimiento!C:F,4,FALSE),0)</f>
        <v>0</v>
      </c>
      <c r="J151" s="73">
        <f t="shared" si="7"/>
        <v>0</v>
      </c>
    </row>
    <row r="152" spans="1:10" s="35" customFormat="1" ht="15.5" x14ac:dyDescent="0.35">
      <c r="A152" s="84">
        <f>presupuesto!B143</f>
        <v>95</v>
      </c>
      <c r="B152" s="84">
        <f>IFERROR(VLOOKUP(A152,#REF!,3,FALSE),0)</f>
        <v>0</v>
      </c>
      <c r="C152" s="85" t="str">
        <f>presupuesto!C143</f>
        <v xml:space="preserve">         Cámara Ventosa Bifuncional</v>
      </c>
      <c r="D152" s="86" t="str">
        <f>presupuesto!D143</f>
        <v>Uni</v>
      </c>
      <c r="E152" s="87">
        <f>presupuesto!E143</f>
        <v>29</v>
      </c>
      <c r="F152" s="70" t="str">
        <f>presupuesto!F143</f>
        <v>Tabla: Partida</v>
      </c>
      <c r="G152" s="83" t="e">
        <f t="shared" si="8"/>
        <v>#VALUE!</v>
      </c>
      <c r="H152" s="75">
        <f>IFERROR(VLOOKUP(A152,presupuesto!B:R,17,FALSE),0)*E152</f>
        <v>0</v>
      </c>
      <c r="I152" s="73">
        <f>IFERROR(VLOOKUP(A152,seguimiento!C:F,4,FALSE),0)</f>
        <v>0</v>
      </c>
      <c r="J152" s="73">
        <f t="shared" si="7"/>
        <v>0</v>
      </c>
    </row>
    <row r="153" spans="1:10" s="35" customFormat="1" ht="15.5" x14ac:dyDescent="0.35">
      <c r="A153" s="84">
        <f>presupuesto!B144</f>
        <v>96</v>
      </c>
      <c r="B153" s="84">
        <f>IFERROR(VLOOKUP(A153,#REF!,3,FALSE),0)</f>
        <v>0</v>
      </c>
      <c r="C153" s="85" t="str">
        <f>presupuesto!C144</f>
        <v xml:space="preserve">         Cámara reguladora de presión</v>
      </c>
      <c r="D153" s="86" t="str">
        <f>presupuesto!D144</f>
        <v>Uni</v>
      </c>
      <c r="E153" s="87">
        <f>presupuesto!E144</f>
        <v>1</v>
      </c>
      <c r="F153" s="70" t="str">
        <f>presupuesto!F144</f>
        <v>Tabla: Partida</v>
      </c>
      <c r="G153" s="83" t="e">
        <f t="shared" si="8"/>
        <v>#VALUE!</v>
      </c>
      <c r="H153" s="75">
        <f>IFERROR(VLOOKUP(A153,presupuesto!B:R,17,FALSE),0)*E153</f>
        <v>0</v>
      </c>
      <c r="I153" s="73">
        <f>IFERROR(VLOOKUP(A153,seguimiento!C:F,4,FALSE),0)</f>
        <v>0</v>
      </c>
      <c r="J153" s="73">
        <f t="shared" si="7"/>
        <v>0</v>
      </c>
    </row>
    <row r="154" spans="1:10" s="35" customFormat="1" ht="15.5" x14ac:dyDescent="0.35">
      <c r="A154" s="76">
        <f>presupuesto!B145</f>
        <v>0</v>
      </c>
      <c r="B154" s="76">
        <f>IFERROR(VLOOKUP(A154,#REF!,3,FALSE),0)</f>
        <v>0</v>
      </c>
      <c r="C154" s="77" t="str">
        <f>presupuesto!C145</f>
        <v xml:space="preserve">   CAPÍTULO VI: OBRAS VIALES</v>
      </c>
      <c r="D154" s="78">
        <f>presupuesto!D145</f>
        <v>0</v>
      </c>
      <c r="E154" s="79">
        <f>presupuesto!E145</f>
        <v>0</v>
      </c>
      <c r="F154" s="74">
        <f>presupuesto!F145</f>
        <v>0</v>
      </c>
      <c r="G154" s="83">
        <f t="shared" si="8"/>
        <v>0</v>
      </c>
      <c r="H154" s="75">
        <f>IFERROR(VLOOKUP(A154,presupuesto!B:R,17,FALSE),0)*E154</f>
        <v>0</v>
      </c>
      <c r="I154" s="73">
        <f>IFERROR(VLOOKUP(A154,seguimiento!C:F,4,FALSE),0)</f>
        <v>0</v>
      </c>
      <c r="J154" s="73">
        <f t="shared" si="7"/>
        <v>0</v>
      </c>
    </row>
    <row r="155" spans="1:10" s="35" customFormat="1" ht="15.5" x14ac:dyDescent="0.35">
      <c r="A155" s="84">
        <f>presupuesto!B146</f>
        <v>97</v>
      </c>
      <c r="B155" s="84">
        <f>IFERROR(VLOOKUP(A155,#REF!,3,FALSE),0)</f>
        <v>0</v>
      </c>
      <c r="C155" s="85" t="str">
        <f>presupuesto!C146</f>
        <v xml:space="preserve">      Atravieso red agua potable en zanja</v>
      </c>
      <c r="D155" s="86" t="str">
        <f>presupuesto!D146</f>
        <v>m</v>
      </c>
      <c r="E155" s="87">
        <f>presupuesto!E146</f>
        <v>19.3</v>
      </c>
      <c r="F155" s="70" t="str">
        <f>presupuesto!F146</f>
        <v>Tabla: Partida</v>
      </c>
      <c r="G155" s="83" t="e">
        <f t="shared" si="8"/>
        <v>#VALUE!</v>
      </c>
      <c r="H155" s="75">
        <f>IFERROR(VLOOKUP(A155,presupuesto!B:R,17,FALSE),0)*E155</f>
        <v>0</v>
      </c>
      <c r="I155" s="73">
        <f>IFERROR(VLOOKUP(A155,seguimiento!C:F,4,FALSE),0)</f>
        <v>0</v>
      </c>
      <c r="J155" s="73">
        <f t="shared" si="7"/>
        <v>0</v>
      </c>
    </row>
    <row r="156" spans="1:10" s="35" customFormat="1" ht="15.5" x14ac:dyDescent="0.35">
      <c r="A156" s="84">
        <f>presupuesto!B147</f>
        <v>98</v>
      </c>
      <c r="B156" s="84">
        <f>IFERROR(VLOOKUP(A156,#REF!,3,FALSE),0)</f>
        <v>0</v>
      </c>
      <c r="C156" s="85" t="str">
        <f>presupuesto!C147</f>
        <v xml:space="preserve">      Atravieso red con tunelera</v>
      </c>
      <c r="D156" s="86" t="str">
        <f>presupuesto!D147</f>
        <v>m</v>
      </c>
      <c r="E156" s="87">
        <f>presupuesto!E147</f>
        <v>56.2</v>
      </c>
      <c r="F156" s="70" t="str">
        <f>presupuesto!F147</f>
        <v>Tabla: Partida</v>
      </c>
      <c r="G156" s="83" t="e">
        <f t="shared" si="8"/>
        <v>#VALUE!</v>
      </c>
      <c r="H156" s="75">
        <f>IFERROR(VLOOKUP(A156,presupuesto!B:R,17,FALSE),0)*E156</f>
        <v>0</v>
      </c>
      <c r="I156" s="73">
        <f>IFERROR(VLOOKUP(A156,seguimiento!C:F,4,FALSE),0)</f>
        <v>0</v>
      </c>
      <c r="J156" s="73">
        <f t="shared" si="7"/>
        <v>0</v>
      </c>
    </row>
    <row r="157" spans="1:10" s="35" customFormat="1" ht="15.5" x14ac:dyDescent="0.35">
      <c r="A157" s="84">
        <f>presupuesto!B148</f>
        <v>99</v>
      </c>
      <c r="B157" s="84">
        <f>IFERROR(VLOOKUP(A157,#REF!,3,FALSE),0)</f>
        <v>0</v>
      </c>
      <c r="C157" s="85" t="str">
        <f>presupuesto!C148</f>
        <v xml:space="preserve">      Atravieso arranque domiciliario</v>
      </c>
      <c r="D157" s="86" t="str">
        <f>presupuesto!D148</f>
        <v>m</v>
      </c>
      <c r="E157" s="87">
        <f>presupuesto!E148</f>
        <v>39</v>
      </c>
      <c r="F157" s="70" t="str">
        <f>presupuesto!F148</f>
        <v>Tabla: Partida</v>
      </c>
      <c r="G157" s="83" t="e">
        <f t="shared" si="8"/>
        <v>#VALUE!</v>
      </c>
      <c r="H157" s="75">
        <f>IFERROR(VLOOKUP(A157,presupuesto!B:R,17,FALSE),0)*E157</f>
        <v>0</v>
      </c>
      <c r="I157" s="73">
        <f>IFERROR(VLOOKUP(A157,seguimiento!C:F,4,FALSE),0)</f>
        <v>0</v>
      </c>
      <c r="J157" s="73">
        <f t="shared" si="7"/>
        <v>0</v>
      </c>
    </row>
    <row r="158" spans="1:10" s="35" customFormat="1" ht="15.5" x14ac:dyDescent="0.35">
      <c r="A158" s="76">
        <f>presupuesto!B149</f>
        <v>0</v>
      </c>
      <c r="B158" s="76">
        <f>IFERROR(VLOOKUP(A158,#REF!,3,FALSE),0)</f>
        <v>0</v>
      </c>
      <c r="C158" s="77" t="str">
        <f>presupuesto!C149</f>
        <v xml:space="preserve">   CAPÍTULO VII: OBRAS ESPECIALES</v>
      </c>
      <c r="D158" s="78">
        <f>presupuesto!D149</f>
        <v>0</v>
      </c>
      <c r="E158" s="79">
        <f>presupuesto!E149</f>
        <v>0</v>
      </c>
      <c r="F158" s="74">
        <f>presupuesto!F149</f>
        <v>0</v>
      </c>
      <c r="G158" s="83">
        <f t="shared" si="8"/>
        <v>0</v>
      </c>
      <c r="H158" s="75">
        <f>IFERROR(VLOOKUP(A158,presupuesto!B:R,17,FALSE),0)*E158</f>
        <v>0</v>
      </c>
      <c r="I158" s="73">
        <f>IFERROR(VLOOKUP(A158,seguimiento!C:F,4,FALSE),0)</f>
        <v>0</v>
      </c>
      <c r="J158" s="73">
        <f t="shared" si="7"/>
        <v>0</v>
      </c>
    </row>
    <row r="159" spans="1:10" s="35" customFormat="1" ht="15.5" x14ac:dyDescent="0.35">
      <c r="A159" s="84">
        <f>presupuesto!B150</f>
        <v>100</v>
      </c>
      <c r="B159" s="84">
        <f>IFERROR(VLOOKUP(A159,#REF!,3,FALSE),0)</f>
        <v>0</v>
      </c>
      <c r="C159" s="85" t="str">
        <f>presupuesto!C150</f>
        <v xml:space="preserve">      Marcha Blanca</v>
      </c>
      <c r="D159" s="86" t="str">
        <f>presupuesto!D150</f>
        <v>Días</v>
      </c>
      <c r="E159" s="87">
        <f>presupuesto!E150</f>
        <v>30</v>
      </c>
      <c r="F159" s="70" t="str">
        <f>presupuesto!F150</f>
        <v>Tabla: Partida</v>
      </c>
      <c r="G159" s="83" t="e">
        <f t="shared" si="8"/>
        <v>#VALUE!</v>
      </c>
      <c r="H159" s="75">
        <f>IFERROR(VLOOKUP(A159,presupuesto!B:R,17,FALSE),0)*E159</f>
        <v>0</v>
      </c>
      <c r="I159" s="73">
        <f>IFERROR(VLOOKUP(A159,seguimiento!C:F,4,FALSE),0)</f>
        <v>0</v>
      </c>
      <c r="J159" s="73">
        <f t="shared" si="7"/>
        <v>0</v>
      </c>
    </row>
    <row r="160" spans="1:10" s="35" customFormat="1" ht="15.5" x14ac:dyDescent="0.35">
      <c r="A160" s="76">
        <f>presupuesto!B151</f>
        <v>0</v>
      </c>
      <c r="B160" s="76">
        <f>IFERROR(VLOOKUP(A160,#REF!,3,FALSE),0)</f>
        <v>0</v>
      </c>
      <c r="C160" s="77" t="str">
        <f>presupuesto!C151</f>
        <v xml:space="preserve">   CAPÍTULO VIII: OBRAS ELÉCTRICAS</v>
      </c>
      <c r="D160" s="78">
        <f>presupuesto!D151</f>
        <v>0</v>
      </c>
      <c r="E160" s="79">
        <f>presupuesto!E151</f>
        <v>0</v>
      </c>
      <c r="F160" s="74">
        <f>presupuesto!F151</f>
        <v>0</v>
      </c>
      <c r="G160" s="83">
        <f t="shared" si="8"/>
        <v>0</v>
      </c>
      <c r="H160" s="75">
        <f>IFERROR(VLOOKUP(A160,presupuesto!B:R,17,FALSE),0)*E160</f>
        <v>0</v>
      </c>
      <c r="I160" s="73">
        <f>IFERROR(VLOOKUP(A160,seguimiento!C:F,4,FALSE),0)</f>
        <v>0</v>
      </c>
      <c r="J160" s="73">
        <f t="shared" si="7"/>
        <v>0</v>
      </c>
    </row>
    <row r="161" spans="1:10" s="35" customFormat="1" ht="15.5" x14ac:dyDescent="0.35">
      <c r="A161" s="84">
        <f>presupuesto!B152</f>
        <v>101</v>
      </c>
      <c r="B161" s="84">
        <f>IFERROR(VLOOKUP(A161,#REF!,3,FALSE),0)</f>
        <v>0</v>
      </c>
      <c r="C161" s="85" t="str">
        <f>presupuesto!C152</f>
        <v xml:space="preserve">      SUMINISTRO MATENCION EMPALME ELÉCTRICO CAPTACION</v>
      </c>
      <c r="D161" s="86" t="str">
        <f>presupuesto!D152</f>
        <v>Uni</v>
      </c>
      <c r="E161" s="87">
        <f>presupuesto!E152</f>
        <v>1</v>
      </c>
      <c r="F161" s="70" t="str">
        <f>presupuesto!F152</f>
        <v>Tabla: Partida</v>
      </c>
      <c r="G161" s="83" t="e">
        <f t="shared" si="8"/>
        <v>#VALUE!</v>
      </c>
      <c r="H161" s="75">
        <f>IFERROR(VLOOKUP(A161,presupuesto!B:R,17,FALSE),0)*E161</f>
        <v>0</v>
      </c>
      <c r="I161" s="73">
        <f>IFERROR(VLOOKUP(A161,seguimiento!C:F,4,FALSE),0)</f>
        <v>0</v>
      </c>
      <c r="J161" s="73">
        <f t="shared" si="7"/>
        <v>0</v>
      </c>
    </row>
    <row r="162" spans="1:10" s="35" customFormat="1" ht="15.5" x14ac:dyDescent="0.35">
      <c r="A162" s="84">
        <f>presupuesto!B153</f>
        <v>102</v>
      </c>
      <c r="B162" s="84">
        <f>IFERROR(VLOOKUP(A162,#REF!,3,FALSE),0)</f>
        <v>0</v>
      </c>
      <c r="C162" s="85" t="str">
        <f>presupuesto!C153</f>
        <v xml:space="preserve">      SUMINISTRO E INSTALACIÓN SUB ESTACIÓN CAPTACION COQUIAO</v>
      </c>
      <c r="D162" s="86" t="str">
        <f>presupuesto!D153</f>
        <v>Uni</v>
      </c>
      <c r="E162" s="87">
        <f>presupuesto!E153</f>
        <v>1</v>
      </c>
      <c r="F162" s="70" t="str">
        <f>presupuesto!F153</f>
        <v>Tabla: Partida</v>
      </c>
      <c r="G162" s="83" t="e">
        <f t="shared" si="8"/>
        <v>#VALUE!</v>
      </c>
      <c r="H162" s="75">
        <f>IFERROR(VLOOKUP(A162,presupuesto!B:R,17,FALSE),0)*E162</f>
        <v>0</v>
      </c>
      <c r="I162" s="73">
        <f>IFERROR(VLOOKUP(A162,seguimiento!C:F,4,FALSE),0)</f>
        <v>0</v>
      </c>
      <c r="J162" s="73">
        <f t="shared" si="7"/>
        <v>0</v>
      </c>
    </row>
    <row r="163" spans="1:10" s="35" customFormat="1" ht="15.75" customHeight="1" collapsed="1" x14ac:dyDescent="0.35">
      <c r="A163" s="84">
        <f>presupuesto!B154</f>
        <v>103</v>
      </c>
      <c r="B163" s="84">
        <f>IFERROR(VLOOKUP(A163,#REF!,3,FALSE),0)</f>
        <v>0</v>
      </c>
      <c r="C163" s="85" t="str">
        <f>presupuesto!C154</f>
        <v xml:space="preserve">      MALLA DE PUESTA TIERRA</v>
      </c>
      <c r="D163" s="86" t="str">
        <f>presupuesto!D154</f>
        <v>Uni</v>
      </c>
      <c r="E163" s="87">
        <f>presupuesto!E154</f>
        <v>1</v>
      </c>
      <c r="F163" s="70" t="str">
        <f>presupuesto!F154</f>
        <v>Tabla: Partida</v>
      </c>
      <c r="G163" s="83" t="e">
        <f t="shared" si="8"/>
        <v>#VALUE!</v>
      </c>
      <c r="H163" s="75">
        <f>IFERROR(VLOOKUP(A163,presupuesto!B:R,17,FALSE),0)*E163</f>
        <v>0</v>
      </c>
      <c r="I163" s="73">
        <f>IFERROR(VLOOKUP(A163,seguimiento!C:F,4,FALSE),0)</f>
        <v>0</v>
      </c>
      <c r="J163" s="73">
        <f t="shared" si="7"/>
        <v>0</v>
      </c>
    </row>
    <row r="164" spans="1:10" s="35" customFormat="1" ht="15.5" x14ac:dyDescent="0.35">
      <c r="A164" s="84">
        <f>presupuesto!B155</f>
        <v>104</v>
      </c>
      <c r="B164" s="84">
        <f>IFERROR(VLOOKUP(A164,#REF!,3,FALSE),0)</f>
        <v>0</v>
      </c>
      <c r="C164" s="85" t="str">
        <f>presupuesto!C155</f>
        <v xml:space="preserve">      ALIMENTADOR GENERAL EN BT CAPTACION COQUIAO</v>
      </c>
      <c r="D164" s="86" t="str">
        <f>presupuesto!D155</f>
        <v>Uni</v>
      </c>
      <c r="E164" s="87">
        <f>presupuesto!E155</f>
        <v>1</v>
      </c>
      <c r="F164" s="70" t="str">
        <f>presupuesto!F155</f>
        <v>Tabla: Partida</v>
      </c>
      <c r="G164" s="83" t="e">
        <f t="shared" si="8"/>
        <v>#VALUE!</v>
      </c>
      <c r="H164" s="75">
        <f>IFERROR(VLOOKUP(A164,presupuesto!B:R,17,FALSE),0)*E164</f>
        <v>0</v>
      </c>
      <c r="I164" s="73">
        <f>IFERROR(VLOOKUP(A164,seguimiento!C:F,4,FALSE),0)</f>
        <v>0</v>
      </c>
      <c r="J164" s="73">
        <f t="shared" si="7"/>
        <v>0</v>
      </c>
    </row>
    <row r="165" spans="1:10" s="35" customFormat="1" ht="15.5" x14ac:dyDescent="0.35">
      <c r="A165" s="84">
        <f>presupuesto!B156</f>
        <v>105</v>
      </c>
      <c r="B165" s="84">
        <f>IFERROR(VLOOKUP(A165,#REF!,3,FALSE),0)</f>
        <v>0</v>
      </c>
      <c r="C165" s="85" t="str">
        <f>presupuesto!C156</f>
        <v xml:space="preserve">      ALIMENTADOR GENERAL EN BT PLANTA TRATAMIENTO Y REGULACION COQUIAO</v>
      </c>
      <c r="D165" s="86" t="str">
        <f>presupuesto!D156</f>
        <v>Uni</v>
      </c>
      <c r="E165" s="87">
        <f>presupuesto!E156</f>
        <v>1</v>
      </c>
      <c r="F165" s="70" t="str">
        <f>presupuesto!F156</f>
        <v>Tabla: Partida</v>
      </c>
      <c r="G165" s="83" t="e">
        <f t="shared" si="8"/>
        <v>#VALUE!</v>
      </c>
      <c r="H165" s="75">
        <f>IFERROR(VLOOKUP(A165,presupuesto!B:R,17,FALSE),0)*E165</f>
        <v>0</v>
      </c>
      <c r="I165" s="73">
        <f>IFERROR(VLOOKUP(A165,seguimiento!C:F,4,FALSE),0)</f>
        <v>0</v>
      </c>
      <c r="J165" s="73">
        <f t="shared" si="7"/>
        <v>0</v>
      </c>
    </row>
    <row r="166" spans="1:10" s="35" customFormat="1" ht="15.5" x14ac:dyDescent="0.35">
      <c r="A166" s="84">
        <f>presupuesto!B157</f>
        <v>106</v>
      </c>
      <c r="B166" s="84">
        <f>IFERROR(VLOOKUP(A166,#REF!,3,FALSE),0)</f>
        <v>0</v>
      </c>
      <c r="C166" s="85" t="str">
        <f>presupuesto!C157</f>
        <v xml:space="preserve">      ALIMENTADOR TABLERO FUERZA Y CONTROL A MOTOBOMBAS</v>
      </c>
      <c r="D166" s="86" t="str">
        <f>presupuesto!D157</f>
        <v>Uni</v>
      </c>
      <c r="E166" s="87">
        <f>presupuesto!E157</f>
        <v>1</v>
      </c>
      <c r="F166" s="70" t="str">
        <f>presupuesto!F157</f>
        <v>Tabla: Partida</v>
      </c>
      <c r="G166" s="83" t="e">
        <f t="shared" si="8"/>
        <v>#VALUE!</v>
      </c>
      <c r="H166" s="75">
        <f>IFERROR(VLOOKUP(A166,presupuesto!B:R,17,FALSE),0)*E166</f>
        <v>0</v>
      </c>
      <c r="I166" s="73">
        <f>IFERROR(VLOOKUP(A166,seguimiento!C:F,4,FALSE),0)</f>
        <v>0</v>
      </c>
      <c r="J166" s="73">
        <f t="shared" si="7"/>
        <v>0</v>
      </c>
    </row>
    <row r="167" spans="1:10" s="35" customFormat="1" ht="15.5" x14ac:dyDescent="0.35">
      <c r="A167" s="84">
        <f>presupuesto!B158</f>
        <v>107</v>
      </c>
      <c r="B167" s="84">
        <f>IFERROR(VLOOKUP(A167,#REF!,3,FALSE),0)</f>
        <v>0</v>
      </c>
      <c r="C167" s="85" t="str">
        <f>presupuesto!C158</f>
        <v xml:space="preserve">      CIRCUITO CONTROL “SENTINA SECA”. TDFA Y SENTINA</v>
      </c>
      <c r="D167" s="86" t="str">
        <f>presupuesto!D158</f>
        <v>Uni</v>
      </c>
      <c r="E167" s="87">
        <f>presupuesto!E158</f>
        <v>1</v>
      </c>
      <c r="F167" s="70" t="str">
        <f>presupuesto!F158</f>
        <v>Tabla: Partida</v>
      </c>
      <c r="G167" s="83" t="e">
        <f t="shared" si="8"/>
        <v>#VALUE!</v>
      </c>
      <c r="H167" s="75">
        <f>IFERROR(VLOOKUP(A167,presupuesto!B:R,17,FALSE),0)*E167</f>
        <v>0</v>
      </c>
      <c r="I167" s="73">
        <f>IFERROR(VLOOKUP(A167,seguimiento!C:F,4,FALSE),0)</f>
        <v>0</v>
      </c>
      <c r="J167" s="73">
        <f t="shared" si="7"/>
        <v>0</v>
      </c>
    </row>
    <row r="168" spans="1:10" s="35" customFormat="1" ht="15.5" x14ac:dyDescent="0.35">
      <c r="A168" s="84">
        <f>presupuesto!B159</f>
        <v>108</v>
      </c>
      <c r="B168" s="84">
        <f>IFERROR(VLOOKUP(A168,#REF!,3,FALSE),0)</f>
        <v>0</v>
      </c>
      <c r="C168" s="85" t="str">
        <f>presupuesto!C159</f>
        <v xml:space="preserve">      CIRCUITO CONTROL PRESOSTATO TDFA Y C – PRESOSTATO CAPTACION</v>
      </c>
      <c r="D168" s="86" t="str">
        <f>presupuesto!D159</f>
        <v>Uni</v>
      </c>
      <c r="E168" s="87">
        <f>presupuesto!E159</f>
        <v>1</v>
      </c>
      <c r="F168" s="70" t="str">
        <f>presupuesto!F159</f>
        <v>Tabla: Partida</v>
      </c>
      <c r="G168" s="83" t="e">
        <f t="shared" si="8"/>
        <v>#VALUE!</v>
      </c>
      <c r="H168" s="75">
        <f>IFERROR(VLOOKUP(A168,presupuesto!B:R,17,FALSE),0)*E168</f>
        <v>0</v>
      </c>
      <c r="I168" s="73">
        <f>IFERROR(VLOOKUP(A168,seguimiento!C:F,4,FALSE),0)</f>
        <v>0</v>
      </c>
      <c r="J168" s="73">
        <f t="shared" si="7"/>
        <v>0</v>
      </c>
    </row>
    <row r="169" spans="1:10" s="35" customFormat="1" ht="15.5" x14ac:dyDescent="0.35">
      <c r="A169" s="84">
        <f>presupuesto!B160</f>
        <v>109</v>
      </c>
      <c r="B169" s="84">
        <f>IFERROR(VLOOKUP(A169,#REF!,3,FALSE),0)</f>
        <v>0</v>
      </c>
      <c r="C169" s="85" t="str">
        <f>presupuesto!C160</f>
        <v xml:space="preserve">      CIRCUITO CONTROL PRESOSTATO TDFA Y C – PRESOSTATO PLANTA RyT</v>
      </c>
      <c r="D169" s="86" t="str">
        <f>presupuesto!D160</f>
        <v>Uni</v>
      </c>
      <c r="E169" s="87">
        <f>presupuesto!E160</f>
        <v>1</v>
      </c>
      <c r="F169" s="70" t="str">
        <f>presupuesto!F160</f>
        <v>Tabla: Partida</v>
      </c>
      <c r="G169" s="83" t="e">
        <f t="shared" si="8"/>
        <v>#VALUE!</v>
      </c>
      <c r="H169" s="75">
        <f>IFERROR(VLOOKUP(A169,presupuesto!B:R,17,FALSE),0)*E169</f>
        <v>0</v>
      </c>
      <c r="I169" s="73">
        <f>IFERROR(VLOOKUP(A169,seguimiento!C:F,4,FALSE),0)</f>
        <v>0</v>
      </c>
      <c r="J169" s="73">
        <f t="shared" si="7"/>
        <v>0</v>
      </c>
    </row>
    <row r="170" spans="1:10" s="35" customFormat="1" ht="15.5" x14ac:dyDescent="0.35">
      <c r="A170" s="84">
        <f>presupuesto!B161</f>
        <v>110</v>
      </c>
      <c r="B170" s="84">
        <f>IFERROR(VLOOKUP(A170,#REF!,3,FALSE),0)</f>
        <v>0</v>
      </c>
      <c r="C170" s="85" t="str">
        <f>presupuesto!C161</f>
        <v xml:space="preserve">      CAJA DE CONEXIONES</v>
      </c>
      <c r="D170" s="86" t="str">
        <f>presupuesto!D161</f>
        <v>Uni</v>
      </c>
      <c r="E170" s="87">
        <f>presupuesto!E161</f>
        <v>1</v>
      </c>
      <c r="F170" s="70" t="str">
        <f>presupuesto!F161</f>
        <v>Tabla: Partida</v>
      </c>
      <c r="G170" s="83" t="e">
        <f t="shared" si="8"/>
        <v>#VALUE!</v>
      </c>
      <c r="H170" s="75">
        <f>IFERROR(VLOOKUP(A170,presupuesto!B:R,17,FALSE),0)*E170</f>
        <v>0</v>
      </c>
      <c r="I170" s="73">
        <f>IFERROR(VLOOKUP(A170,seguimiento!C:F,4,FALSE),0)</f>
        <v>0</v>
      </c>
      <c r="J170" s="73">
        <f t="shared" si="7"/>
        <v>0</v>
      </c>
    </row>
    <row r="171" spans="1:10" s="35" customFormat="1" ht="15.5" x14ac:dyDescent="0.35">
      <c r="A171" s="84">
        <f>presupuesto!B162</f>
        <v>111</v>
      </c>
      <c r="B171" s="84">
        <f>IFERROR(VLOOKUP(A171,#REF!,3,FALSE),0)</f>
        <v>0</v>
      </c>
      <c r="C171" s="85" t="str">
        <f>presupuesto!C162</f>
        <v xml:space="preserve">      SUMINISTRO Y MONTAJE TABLERO DE FUERZA Y CONTROL CAPTACIONES</v>
      </c>
      <c r="D171" s="86" t="str">
        <f>presupuesto!D162</f>
        <v>Uni</v>
      </c>
      <c r="E171" s="87">
        <f>presupuesto!E162</f>
        <v>1</v>
      </c>
      <c r="F171" s="70" t="str">
        <f>presupuesto!F162</f>
        <v>Tabla: Partida</v>
      </c>
      <c r="G171" s="83" t="e">
        <f t="shared" si="8"/>
        <v>#VALUE!</v>
      </c>
      <c r="H171" s="75">
        <f>IFERROR(VLOOKUP(A171,presupuesto!B:R,17,FALSE),0)*E171</f>
        <v>0</v>
      </c>
      <c r="I171" s="73">
        <f>IFERROR(VLOOKUP(A171,seguimiento!C:F,4,FALSE),0)</f>
        <v>0</v>
      </c>
      <c r="J171" s="73">
        <f t="shared" si="7"/>
        <v>0</v>
      </c>
    </row>
    <row r="172" spans="1:10" s="35" customFormat="1" ht="15.5" x14ac:dyDescent="0.35">
      <c r="A172" s="84">
        <f>presupuesto!B163</f>
        <v>112</v>
      </c>
      <c r="B172" s="84">
        <f>IFERROR(VLOOKUP(A172,#REF!,3,FALSE),0)</f>
        <v>0</v>
      </c>
      <c r="C172" s="85" t="str">
        <f>presupuesto!C163</f>
        <v xml:space="preserve">      SUMINISTRO Y MONTAJE TABLERO DE FUERZA Y CONTROL PLANTA TyR</v>
      </c>
      <c r="D172" s="86" t="str">
        <f>presupuesto!D163</f>
        <v>Uni</v>
      </c>
      <c r="E172" s="87">
        <f>presupuesto!E163</f>
        <v>1</v>
      </c>
      <c r="F172" s="70" t="str">
        <f>presupuesto!F163</f>
        <v>Tabla: Partida</v>
      </c>
      <c r="G172" s="83" t="e">
        <f t="shared" si="8"/>
        <v>#VALUE!</v>
      </c>
      <c r="H172" s="75">
        <f>IFERROR(VLOOKUP(A172,presupuesto!B:R,17,FALSE),0)*E172</f>
        <v>0</v>
      </c>
      <c r="I172" s="73">
        <f>IFERROR(VLOOKUP(A172,seguimiento!C:F,4,FALSE),0)</f>
        <v>0</v>
      </c>
      <c r="J172" s="73">
        <f t="shared" si="7"/>
        <v>0</v>
      </c>
    </row>
    <row r="173" spans="1:10" s="35" customFormat="1" ht="15.5" x14ac:dyDescent="0.35">
      <c r="A173" s="84">
        <f>presupuesto!B164</f>
        <v>113</v>
      </c>
      <c r="B173" s="84">
        <f>IFERROR(VLOOKUP(A173,#REF!,3,FALSE),0)</f>
        <v>0</v>
      </c>
      <c r="C173" s="85" t="str">
        <f>presupuesto!C164</f>
        <v xml:space="preserve">      CÁMARA ELÉCTRICA TIPO B</v>
      </c>
      <c r="D173" s="86" t="str">
        <f>presupuesto!D164</f>
        <v>Uni</v>
      </c>
      <c r="E173" s="87">
        <f>presupuesto!E164</f>
        <v>1</v>
      </c>
      <c r="F173" s="70" t="str">
        <f>presupuesto!F164</f>
        <v>Tabla: Partida</v>
      </c>
      <c r="G173" s="83" t="e">
        <f t="shared" si="8"/>
        <v>#VALUE!</v>
      </c>
      <c r="H173" s="75">
        <f>IFERROR(VLOOKUP(A173,presupuesto!B:R,17,FALSE),0)*E173</f>
        <v>0</v>
      </c>
      <c r="I173" s="73">
        <f>IFERROR(VLOOKUP(A173,seguimiento!C:F,4,FALSE),0)</f>
        <v>0</v>
      </c>
      <c r="J173" s="73">
        <f t="shared" si="7"/>
        <v>0</v>
      </c>
    </row>
    <row r="174" spans="1:10" s="35" customFormat="1" ht="15.5" x14ac:dyDescent="0.35">
      <c r="A174" s="84">
        <f>presupuesto!B165</f>
        <v>114</v>
      </c>
      <c r="B174" s="84">
        <f>IFERROR(VLOOKUP(A174,#REF!,3,FALSE),0)</f>
        <v>0</v>
      </c>
      <c r="C174" s="85" t="str">
        <f>presupuesto!C165</f>
        <v xml:space="preserve">      ALUMBRADO EXTERIOR APR COQUIAO</v>
      </c>
      <c r="D174" s="86" t="str">
        <f>presupuesto!D165</f>
        <v>Uni</v>
      </c>
      <c r="E174" s="87">
        <f>presupuesto!E165</f>
        <v>6</v>
      </c>
      <c r="F174" s="70" t="str">
        <f>presupuesto!F165</f>
        <v>Tabla: Partida</v>
      </c>
      <c r="G174" s="83" t="e">
        <f t="shared" si="8"/>
        <v>#VALUE!</v>
      </c>
      <c r="H174" s="75">
        <f>IFERROR(VLOOKUP(A174,presupuesto!B:R,17,FALSE),0)*E174</f>
        <v>0</v>
      </c>
      <c r="I174" s="73">
        <f>IFERROR(VLOOKUP(A174,seguimiento!C:F,4,FALSE),0)</f>
        <v>0</v>
      </c>
      <c r="J174" s="73">
        <f t="shared" si="7"/>
        <v>0</v>
      </c>
    </row>
    <row r="175" spans="1:10" s="35" customFormat="1" ht="15.5" x14ac:dyDescent="0.35">
      <c r="A175" s="84">
        <f>presupuesto!B166</f>
        <v>115</v>
      </c>
      <c r="B175" s="84">
        <f>IFERROR(VLOOKUP(A175,#REF!,3,FALSE),0)</f>
        <v>0</v>
      </c>
      <c r="C175" s="85" t="str">
        <f>presupuesto!C166</f>
        <v xml:space="preserve">      CIRCUITO ALUMBRADO INTERIOR PLANTA RyT</v>
      </c>
      <c r="D175" s="86" t="str">
        <f>presupuesto!D166</f>
        <v>Uni</v>
      </c>
      <c r="E175" s="87">
        <f>presupuesto!E166</f>
        <v>1</v>
      </c>
      <c r="F175" s="70" t="str">
        <f>presupuesto!F166</f>
        <v>Tabla: Partida</v>
      </c>
      <c r="G175" s="83" t="e">
        <f t="shared" si="8"/>
        <v>#VALUE!</v>
      </c>
      <c r="H175" s="75">
        <f>IFERROR(VLOOKUP(A175,presupuesto!B:R,17,FALSE),0)*E175</f>
        <v>0</v>
      </c>
      <c r="I175" s="73">
        <f>IFERROR(VLOOKUP(A175,seguimiento!C:F,4,FALSE),0)</f>
        <v>0</v>
      </c>
      <c r="J175" s="73">
        <f t="shared" si="7"/>
        <v>0</v>
      </c>
    </row>
    <row r="176" spans="1:10" s="35" customFormat="1" ht="15.5" x14ac:dyDescent="0.35">
      <c r="A176" s="84">
        <f>presupuesto!B167</f>
        <v>116</v>
      </c>
      <c r="B176" s="84">
        <f>IFERROR(VLOOKUP(A176,#REF!,3,FALSE),0)</f>
        <v>0</v>
      </c>
      <c r="C176" s="85" t="str">
        <f>presupuesto!C167</f>
        <v xml:space="preserve">      CIRCUITO ENCHUFE PLANTA RyT TDFA Y C</v>
      </c>
      <c r="D176" s="86" t="str">
        <f>presupuesto!D167</f>
        <v>Uni</v>
      </c>
      <c r="E176" s="87">
        <f>presupuesto!E167</f>
        <v>1</v>
      </c>
      <c r="F176" s="70" t="str">
        <f>presupuesto!F167</f>
        <v>Tabla: Partida</v>
      </c>
      <c r="G176" s="83" t="e">
        <f t="shared" si="8"/>
        <v>#VALUE!</v>
      </c>
      <c r="H176" s="75">
        <f>IFERROR(VLOOKUP(A176,presupuesto!B:R,17,FALSE),0)*E176</f>
        <v>0</v>
      </c>
      <c r="I176" s="73">
        <f>IFERROR(VLOOKUP(A176,seguimiento!C:F,4,FALSE),0)</f>
        <v>0</v>
      </c>
      <c r="J176" s="73">
        <f t="shared" si="7"/>
        <v>0</v>
      </c>
    </row>
    <row r="177" spans="1:10" s="35" customFormat="1" ht="15.5" collapsed="1" x14ac:dyDescent="0.35">
      <c r="A177" s="76">
        <f>presupuesto!B168</f>
        <v>0</v>
      </c>
      <c r="B177" s="76"/>
      <c r="C177" s="77" t="str">
        <f>presupuesto!C168</f>
        <v xml:space="preserve">   OBRAS PREVIAS</v>
      </c>
      <c r="D177" s="86">
        <f>presupuesto!D168</f>
        <v>0</v>
      </c>
      <c r="E177" s="87">
        <f>presupuesto!E168</f>
        <v>0</v>
      </c>
      <c r="F177" s="70">
        <f>presupuesto!F168</f>
        <v>0</v>
      </c>
      <c r="G177" s="83">
        <f t="shared" ref="G177:G181" si="9">ROUND(E177*F177,0)</f>
        <v>0</v>
      </c>
      <c r="H177" s="75">
        <f>IFERROR(VLOOKUP(A177,presupuesto!B:R,17,FALSE),0)*E177</f>
        <v>0</v>
      </c>
      <c r="I177" s="73">
        <f>IFERROR(VLOOKUP(A177,seguimiento!C:F,4,FALSE),0)</f>
        <v>0</v>
      </c>
      <c r="J177" s="73">
        <f t="shared" si="7"/>
        <v>0</v>
      </c>
    </row>
    <row r="178" spans="1:10" s="35" customFormat="1" ht="15.5" x14ac:dyDescent="0.35">
      <c r="A178" s="76">
        <f>presupuesto!B169</f>
        <v>0</v>
      </c>
      <c r="B178" s="76"/>
      <c r="C178" s="85" t="str">
        <f>presupuesto!C169</f>
        <v xml:space="preserve">      Entrega documentos administrativos</v>
      </c>
      <c r="D178" s="86">
        <f>presupuesto!D169</f>
        <v>0</v>
      </c>
      <c r="E178" s="87">
        <f>presupuesto!E169</f>
        <v>0</v>
      </c>
      <c r="F178" s="70">
        <f>presupuesto!F169</f>
        <v>0</v>
      </c>
      <c r="G178" s="83">
        <f t="shared" si="9"/>
        <v>0</v>
      </c>
      <c r="H178" s="75">
        <f>IFERROR(VLOOKUP(A178,presupuesto!B:R,17,FALSE),0)*E178</f>
        <v>0</v>
      </c>
      <c r="I178" s="73">
        <f>IFERROR(VLOOKUP(A178,seguimiento!C:F,4,FALSE),0)</f>
        <v>0</v>
      </c>
      <c r="J178" s="73">
        <f t="shared" si="7"/>
        <v>0</v>
      </c>
    </row>
    <row r="179" spans="1:10" s="35" customFormat="1" ht="15.75" customHeight="1" x14ac:dyDescent="0.35">
      <c r="A179" s="76">
        <f>presupuesto!B170</f>
        <v>0</v>
      </c>
      <c r="B179" s="76"/>
      <c r="C179" s="85" t="str">
        <f>presupuesto!C170</f>
        <v xml:space="preserve">      Entrega de terreno</v>
      </c>
      <c r="D179" s="86">
        <f>presupuesto!D170</f>
        <v>0</v>
      </c>
      <c r="E179" s="87">
        <f>presupuesto!E170</f>
        <v>0</v>
      </c>
      <c r="F179" s="70">
        <f>presupuesto!F170</f>
        <v>0</v>
      </c>
      <c r="G179" s="83">
        <f t="shared" si="9"/>
        <v>0</v>
      </c>
      <c r="H179" s="75">
        <f>IFERROR(VLOOKUP(A179,presupuesto!B:R,17,FALSE),0)*E179</f>
        <v>0</v>
      </c>
      <c r="I179" s="73">
        <f>IFERROR(VLOOKUP(A179,seguimiento!C:F,4,FALSE),0)</f>
        <v>0</v>
      </c>
      <c r="J179" s="73">
        <f t="shared" si="7"/>
        <v>0</v>
      </c>
    </row>
    <row r="180" spans="1:10" ht="15.5" x14ac:dyDescent="0.35">
      <c r="A180" s="76">
        <f>presupuesto!B171</f>
        <v>0</v>
      </c>
      <c r="B180" s="76"/>
      <c r="C180" s="85" t="str">
        <f>presupuesto!C171</f>
        <v xml:space="preserve">      Instalación de Faenas</v>
      </c>
      <c r="D180" s="86">
        <f>presupuesto!D171</f>
        <v>0</v>
      </c>
      <c r="E180" s="87">
        <f>presupuesto!E171</f>
        <v>0</v>
      </c>
      <c r="F180" s="70">
        <f>presupuesto!F171</f>
        <v>0</v>
      </c>
      <c r="G180" s="83">
        <f t="shared" si="9"/>
        <v>0</v>
      </c>
      <c r="H180" s="75">
        <f>IFERROR(VLOOKUP(A180,presupuesto!B:R,17,FALSE),0)*E180</f>
        <v>0</v>
      </c>
      <c r="I180" s="73">
        <f>IFERROR(VLOOKUP(A180,seguimiento!C:F,4,FALSE),0)</f>
        <v>0</v>
      </c>
      <c r="J180" s="73">
        <f t="shared" si="7"/>
        <v>0</v>
      </c>
    </row>
    <row r="181" spans="1:10" ht="15.5" x14ac:dyDescent="0.35">
      <c r="A181" s="76">
        <f>presupuesto!B172</f>
        <v>0</v>
      </c>
      <c r="B181" s="76"/>
      <c r="C181" s="85" t="str">
        <f>presupuesto!C172</f>
        <v xml:space="preserve">      Tramitación de la obtención de la autorización del funcionamiento de la autoridad sanitaria</v>
      </c>
      <c r="D181" s="86">
        <f>presupuesto!D172</f>
        <v>0</v>
      </c>
      <c r="E181" s="87">
        <f>presupuesto!E172</f>
        <v>0</v>
      </c>
      <c r="F181" s="70">
        <f>presupuesto!F172</f>
        <v>0</v>
      </c>
      <c r="G181" s="83">
        <f t="shared" si="9"/>
        <v>0</v>
      </c>
      <c r="H181" s="75">
        <f>IFERROR(VLOOKUP(A181,presupuesto!B:R,17,FALSE),0)*E181</f>
        <v>0</v>
      </c>
      <c r="I181" s="73">
        <f>IFERROR(VLOOKUP(A181,seguimiento!C:F,4,FALSE),0)</f>
        <v>0</v>
      </c>
      <c r="J181" s="73">
        <f t="shared" si="7"/>
        <v>0</v>
      </c>
    </row>
  </sheetData>
  <sheetProtection selectLockedCells="1"/>
  <mergeCells count="1">
    <mergeCell ref="A1:J1"/>
  </mergeCells>
  <conditionalFormatting sqref="A12:J181">
    <cfRule type="cellIs" dxfId="20" priority="4" operator="equal">
      <formula>0</formula>
    </cfRule>
  </conditionalFormatting>
  <conditionalFormatting sqref="B1:B1048576">
    <cfRule type="cellIs" dxfId="19" priority="1" operator="equal">
      <formula>3</formula>
    </cfRule>
    <cfRule type="cellIs" dxfId="18" priority="2" operator="equal">
      <formula>2</formula>
    </cfRule>
    <cfRule type="cellIs" dxfId="17" priority="3" operator="equal">
      <formula>1</formula>
    </cfRule>
  </conditionalFormatting>
  <conditionalFormatting sqref="J8">
    <cfRule type="cellIs" dxfId="16" priority="5" operator="between">
      <formula>0.9</formula>
      <formula>0.999999</formula>
    </cfRule>
    <cfRule type="cellIs" dxfId="15" priority="6" operator="between">
      <formula>0</formula>
      <formula>0.89999</formula>
    </cfRule>
  </conditionalFormatting>
  <conditionalFormatting sqref="J11 J13:J1048576">
    <cfRule type="cellIs" dxfId="14" priority="16" operator="lessThan">
      <formula>0</formula>
    </cfRule>
  </conditionalFormatting>
  <conditionalFormatting sqref="J11:J1048576">
    <cfRule type="cellIs" dxfId="13" priority="15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40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C00000"/>
    <pageSetUpPr fitToPage="1"/>
  </sheetPr>
  <dimension ref="A1:AK168"/>
  <sheetViews>
    <sheetView showGridLines="0" view="pageBreakPreview" zoomScale="80" zoomScaleNormal="10" zoomScaleSheetLayoutView="80" workbookViewId="0">
      <selection activeCell="M6" sqref="M6"/>
    </sheetView>
  </sheetViews>
  <sheetFormatPr baseColWidth="10" defaultColWidth="11.453125" defaultRowHeight="12.5" x14ac:dyDescent="0.25"/>
  <cols>
    <col min="1" max="1" width="7" style="9" bestFit="1" customWidth="1" collapsed="1"/>
    <col min="2" max="2" width="43.54296875" style="10" bestFit="1" customWidth="1" collapsed="1"/>
    <col min="3" max="3" width="10.453125" style="10" customWidth="1" collapsed="1"/>
    <col min="4" max="5" width="12.54296875" style="10" bestFit="1" customWidth="1" collapsed="1"/>
    <col min="6" max="6" width="7.6328125" style="3" bestFit="1" customWidth="1"/>
    <col min="7" max="36" width="3.26953125" style="175" customWidth="1"/>
    <col min="37" max="37" width="3.81640625" style="175" customWidth="1"/>
    <col min="38" max="16384" width="11.453125" style="3"/>
  </cols>
  <sheetData>
    <row r="1" spans="1:37" s="25" customFormat="1" ht="46" customHeight="1" x14ac:dyDescent="0.35">
      <c r="A1" s="183" t="e">
        <f>CONCATENATE(UPPER("Carta Gantt de seguimiento - "),CONCATENATE("SEMANA ",INT((informe!J2-presupuesto!#REF!)/7)))</f>
        <v>#REF!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37" s="22" customFormat="1" ht="23.5" x14ac:dyDescent="0.35">
      <c r="A2" s="214" t="s">
        <v>32</v>
      </c>
      <c r="B2" s="218" t="s">
        <v>2</v>
      </c>
      <c r="C2" s="216" t="s">
        <v>8</v>
      </c>
      <c r="D2" s="216" t="s">
        <v>5</v>
      </c>
      <c r="E2" s="216" t="s">
        <v>6</v>
      </c>
      <c r="F2" s="216" t="s">
        <v>600</v>
      </c>
      <c r="G2" s="190">
        <f>WEEKDAY(G3,2)+1</f>
        <v>8</v>
      </c>
      <c r="H2" s="190">
        <f t="shared" ref="H2:AK2" si="0">WEEKDAY(H3,2)+1</f>
        <v>2</v>
      </c>
      <c r="I2" s="190">
        <f t="shared" si="0"/>
        <v>3</v>
      </c>
      <c r="J2" s="190">
        <f t="shared" si="0"/>
        <v>4</v>
      </c>
      <c r="K2" s="190">
        <f t="shared" si="0"/>
        <v>5</v>
      </c>
      <c r="L2" s="190">
        <f t="shared" si="0"/>
        <v>6</v>
      </c>
      <c r="M2" s="190">
        <f t="shared" si="0"/>
        <v>7</v>
      </c>
      <c r="N2" s="190">
        <f t="shared" si="0"/>
        <v>8</v>
      </c>
      <c r="O2" s="190">
        <f t="shared" si="0"/>
        <v>2</v>
      </c>
      <c r="P2" s="190">
        <f t="shared" si="0"/>
        <v>3</v>
      </c>
      <c r="Q2" s="190">
        <f t="shared" si="0"/>
        <v>4</v>
      </c>
      <c r="R2" s="190">
        <f t="shared" si="0"/>
        <v>5</v>
      </c>
      <c r="S2" s="190">
        <f t="shared" si="0"/>
        <v>6</v>
      </c>
      <c r="T2" s="190">
        <f t="shared" si="0"/>
        <v>7</v>
      </c>
      <c r="U2" s="190">
        <f t="shared" si="0"/>
        <v>8</v>
      </c>
      <c r="V2" s="190">
        <f t="shared" si="0"/>
        <v>2</v>
      </c>
      <c r="W2" s="190">
        <f t="shared" si="0"/>
        <v>3</v>
      </c>
      <c r="X2" s="190">
        <f t="shared" si="0"/>
        <v>4</v>
      </c>
      <c r="Y2" s="190">
        <f t="shared" si="0"/>
        <v>5</v>
      </c>
      <c r="Z2" s="190">
        <f t="shared" si="0"/>
        <v>6</v>
      </c>
      <c r="AA2" s="190">
        <f t="shared" si="0"/>
        <v>7</v>
      </c>
      <c r="AB2" s="190">
        <f t="shared" si="0"/>
        <v>8</v>
      </c>
      <c r="AC2" s="190">
        <f t="shared" si="0"/>
        <v>2</v>
      </c>
      <c r="AD2" s="190">
        <f t="shared" si="0"/>
        <v>3</v>
      </c>
      <c r="AE2" s="190">
        <f t="shared" si="0"/>
        <v>4</v>
      </c>
      <c r="AF2" s="190">
        <f t="shared" si="0"/>
        <v>5</v>
      </c>
      <c r="AG2" s="190">
        <f t="shared" si="0"/>
        <v>6</v>
      </c>
      <c r="AH2" s="190">
        <f t="shared" si="0"/>
        <v>7</v>
      </c>
      <c r="AI2" s="190">
        <f t="shared" si="0"/>
        <v>8</v>
      </c>
      <c r="AJ2" s="190">
        <f t="shared" si="0"/>
        <v>2</v>
      </c>
      <c r="AK2" s="191">
        <f t="shared" si="0"/>
        <v>3</v>
      </c>
    </row>
    <row r="3" spans="1:37" s="17" customFormat="1" ht="40.5" x14ac:dyDescent="0.35">
      <c r="A3" s="215"/>
      <c r="B3" s="219"/>
      <c r="C3" s="217"/>
      <c r="D3" s="217"/>
      <c r="E3" s="217"/>
      <c r="F3" s="217"/>
      <c r="G3" s="18">
        <v>45627</v>
      </c>
      <c r="H3" s="18">
        <f t="shared" ref="H3:M3" si="1">G3+1</f>
        <v>45628</v>
      </c>
      <c r="I3" s="18">
        <f t="shared" si="1"/>
        <v>45629</v>
      </c>
      <c r="J3" s="18">
        <f t="shared" si="1"/>
        <v>45630</v>
      </c>
      <c r="K3" s="18">
        <f t="shared" si="1"/>
        <v>45631</v>
      </c>
      <c r="L3" s="18">
        <f t="shared" si="1"/>
        <v>45632</v>
      </c>
      <c r="M3" s="18">
        <f t="shared" si="1"/>
        <v>45633</v>
      </c>
      <c r="N3" s="18">
        <f>M3+1</f>
        <v>45634</v>
      </c>
      <c r="O3" s="18">
        <f t="shared" ref="O3:AK3" si="2">N3+1</f>
        <v>45635</v>
      </c>
      <c r="P3" s="18">
        <f t="shared" si="2"/>
        <v>45636</v>
      </c>
      <c r="Q3" s="18">
        <f t="shared" si="2"/>
        <v>45637</v>
      </c>
      <c r="R3" s="18">
        <f t="shared" si="2"/>
        <v>45638</v>
      </c>
      <c r="S3" s="18">
        <f t="shared" si="2"/>
        <v>45639</v>
      </c>
      <c r="T3" s="18">
        <f t="shared" si="2"/>
        <v>45640</v>
      </c>
      <c r="U3" s="18">
        <f t="shared" si="2"/>
        <v>45641</v>
      </c>
      <c r="V3" s="18">
        <f t="shared" si="2"/>
        <v>45642</v>
      </c>
      <c r="W3" s="18">
        <f t="shared" si="2"/>
        <v>45643</v>
      </c>
      <c r="X3" s="18">
        <f t="shared" si="2"/>
        <v>45644</v>
      </c>
      <c r="Y3" s="18">
        <f t="shared" si="2"/>
        <v>45645</v>
      </c>
      <c r="Z3" s="18">
        <f t="shared" si="2"/>
        <v>45646</v>
      </c>
      <c r="AA3" s="18">
        <f t="shared" si="2"/>
        <v>45647</v>
      </c>
      <c r="AB3" s="18">
        <f t="shared" si="2"/>
        <v>45648</v>
      </c>
      <c r="AC3" s="18">
        <f t="shared" si="2"/>
        <v>45649</v>
      </c>
      <c r="AD3" s="18">
        <f t="shared" si="2"/>
        <v>45650</v>
      </c>
      <c r="AE3" s="18">
        <f t="shared" si="2"/>
        <v>45651</v>
      </c>
      <c r="AF3" s="18">
        <f t="shared" si="2"/>
        <v>45652</v>
      </c>
      <c r="AG3" s="18">
        <f t="shared" si="2"/>
        <v>45653</v>
      </c>
      <c r="AH3" s="18">
        <f t="shared" si="2"/>
        <v>45654</v>
      </c>
      <c r="AI3" s="18">
        <f t="shared" si="2"/>
        <v>45655</v>
      </c>
      <c r="AJ3" s="18">
        <f t="shared" si="2"/>
        <v>45656</v>
      </c>
      <c r="AK3" s="192">
        <f t="shared" si="2"/>
        <v>45657</v>
      </c>
    </row>
    <row r="4" spans="1:37" s="1" customFormat="1" ht="15" customHeight="1" x14ac:dyDescent="0.3">
      <c r="A4" s="193">
        <f>presupuesto!B3</f>
        <v>0</v>
      </c>
      <c r="B4" s="181" t="str">
        <f>presupuesto!C3</f>
        <v>AMPLIACION SERVICIO SANITARIO RURAL DE COQUIAO, COMUNA DE ANCUD, REGIÓN DE LOS LAGOS</v>
      </c>
      <c r="C4" s="173" t="str">
        <f>presupuesto!G3</f>
        <v>390 días</v>
      </c>
      <c r="D4" s="176">
        <f>presupuesto!N3</f>
        <v>45545</v>
      </c>
      <c r="E4" s="176">
        <f>presupuesto!O3</f>
        <v>45934</v>
      </c>
      <c r="F4" s="194" t="str">
        <f>IF(AK4="n",CONCATENATE(" - "),IF(AK4="cg",CONCATENATE(" - "),CONCATENATE(ROUND(IFERROR(VLOOKUP(A4,informe!A:J,9,FALSE)/VLOOKUP(A4,informe!A:J,5,FALSE),0)*100,2),"% ")))</f>
        <v xml:space="preserve"> - </v>
      </c>
      <c r="G4" s="195" t="str">
        <f>IF(AND(G$3&gt;=$D4,G$3&lt;=$E4),IF((G$3-$D4+1)*VLOOKUP($A4,presupuesto!$B:$Q,16,FALSE)&gt;=VLOOKUP($A4,informe!$A:$J,9,FALSE),"cg","c"),"n")</f>
        <v>cg</v>
      </c>
      <c r="H4" s="195" t="str">
        <f>IF(AND(H$3&gt;=$D4,H$3&lt;=$E4),IF((H$3-$D4+1)*VLOOKUP($A4,presupuesto!$B:$Q,16,FALSE)&gt;=VLOOKUP($A4,informe!$A:$J,9,FALSE),"cg","c"),"n")</f>
        <v>cg</v>
      </c>
      <c r="I4" s="195" t="str">
        <f>IF(AND(I$3&gt;=$D4,I$3&lt;=$E4),IF((I$3-$D4+1)*VLOOKUP($A4,presupuesto!$B:$Q,16,FALSE)&gt;=VLOOKUP($A4,informe!$A:$J,9,FALSE),"cg","c"),"n")</f>
        <v>cg</v>
      </c>
      <c r="J4" s="195" t="str">
        <f>IF(AND(J$3&gt;=$D4,J$3&lt;=$E4),IF((J$3-$D4+1)*VLOOKUP($A4,presupuesto!$B:$Q,16,FALSE)&gt;=VLOOKUP($A4,informe!$A:$J,9,FALSE),"cg","c"),"n")</f>
        <v>cg</v>
      </c>
      <c r="K4" s="195" t="str">
        <f>IF(AND(K$3&gt;=$D4,K$3&lt;=$E4),IF((K$3-$D4+1)*VLOOKUP($A4,presupuesto!$B:$Q,16,FALSE)&gt;=VLOOKUP($A4,informe!$A:$J,9,FALSE),"cg","c"),"n")</f>
        <v>cg</v>
      </c>
      <c r="L4" s="195" t="str">
        <f>IF(AND(L$3&gt;=$D4,L$3&lt;=$E4),IF((L$3-$D4+1)*VLOOKUP($A4,presupuesto!$B:$Q,16,FALSE)&gt;=VLOOKUP($A4,informe!$A:$J,9,FALSE),"cg","c"),"n")</f>
        <v>cg</v>
      </c>
      <c r="M4" s="195" t="str">
        <f>IF(AND(M$3&gt;=$D4,M$3&lt;=$E4),IF((M$3-$D4+1)*VLOOKUP($A4,presupuesto!$B:$Q,16,FALSE)&gt;=VLOOKUP($A4,informe!$A:$J,9,FALSE),"cg","c"),"n")</f>
        <v>cg</v>
      </c>
      <c r="N4" s="195" t="str">
        <f>IF(AND(N$3&gt;=$D4,N$3&lt;=$E4),IF((N$3-$D4+1)*VLOOKUP($A4,presupuesto!$B:$Q,16,FALSE)&gt;=VLOOKUP($A4,informe!$A:$J,9,FALSE),"cg","c"),"n")</f>
        <v>cg</v>
      </c>
      <c r="O4" s="195" t="str">
        <f>IF(AND(O$3&gt;=$D4,O$3&lt;=$E4),IF((O$3-$D4+1)*VLOOKUP($A4,presupuesto!$B:$Q,16,FALSE)&gt;=VLOOKUP($A4,informe!$A:$J,9,FALSE),"cg","c"),"n")</f>
        <v>cg</v>
      </c>
      <c r="P4" s="195" t="str">
        <f>IF(AND(P$3&gt;=$D4,P$3&lt;=$E4),IF((P$3-$D4+1)*VLOOKUP($A4,presupuesto!$B:$Q,16,FALSE)&gt;=VLOOKUP($A4,informe!$A:$J,9,FALSE),"cg","c"),"n")</f>
        <v>cg</v>
      </c>
      <c r="Q4" s="195" t="str">
        <f>IF(AND(Q$3&gt;=$D4,Q$3&lt;=$E4),IF((Q$3-$D4+1)*VLOOKUP($A4,presupuesto!$B:$Q,16,FALSE)&gt;=VLOOKUP($A4,informe!$A:$J,9,FALSE),"cg","c"),"n")</f>
        <v>cg</v>
      </c>
      <c r="R4" s="195" t="str">
        <f>IF(AND(R$3&gt;=$D4,R$3&lt;=$E4),IF((R$3-$D4+1)*VLOOKUP($A4,presupuesto!$B:$Q,16,FALSE)&gt;=VLOOKUP($A4,informe!$A:$J,9,FALSE),"cg","c"),"n")</f>
        <v>cg</v>
      </c>
      <c r="S4" s="195" t="str">
        <f>IF(AND(S$3&gt;=$D4,S$3&lt;=$E4),IF((S$3-$D4+1)*VLOOKUP($A4,presupuesto!$B:$Q,16,FALSE)&gt;=VLOOKUP($A4,informe!$A:$J,9,FALSE),"cg","c"),"n")</f>
        <v>cg</v>
      </c>
      <c r="T4" s="195" t="str">
        <f>IF(AND(T$3&gt;=$D4,T$3&lt;=$E4),IF((T$3-$D4+1)*VLOOKUP($A4,presupuesto!$B:$Q,16,FALSE)&gt;=VLOOKUP($A4,informe!$A:$J,9,FALSE),"cg","c"),"n")</f>
        <v>cg</v>
      </c>
      <c r="U4" s="195" t="str">
        <f>IF(AND(U$3&gt;=$D4,U$3&lt;=$E4),IF((U$3-$D4+1)*VLOOKUP($A4,presupuesto!$B:$Q,16,FALSE)&gt;=VLOOKUP($A4,informe!$A:$J,9,FALSE),"cg","c"),"n")</f>
        <v>cg</v>
      </c>
      <c r="V4" s="195" t="str">
        <f>IF(AND(V$3&gt;=$D4,V$3&lt;=$E4),IF((V$3-$D4+1)*VLOOKUP($A4,presupuesto!$B:$Q,16,FALSE)&gt;=VLOOKUP($A4,informe!$A:$J,9,FALSE),"cg","c"),"n")</f>
        <v>cg</v>
      </c>
      <c r="W4" s="195" t="str">
        <f>IF(AND(W$3&gt;=$D4,W$3&lt;=$E4),IF((W$3-$D4+1)*VLOOKUP($A4,presupuesto!$B:$Q,16,FALSE)&gt;=VLOOKUP($A4,informe!$A:$J,9,FALSE),"cg","c"),"n")</f>
        <v>cg</v>
      </c>
      <c r="X4" s="195" t="str">
        <f>IF(AND(X$3&gt;=$D4,X$3&lt;=$E4),IF((X$3-$D4+1)*VLOOKUP($A4,presupuesto!$B:$Q,16,FALSE)&gt;=VLOOKUP($A4,informe!$A:$J,9,FALSE),"cg","c"),"n")</f>
        <v>cg</v>
      </c>
      <c r="Y4" s="195" t="str">
        <f>IF(AND(Y$3&gt;=$D4,Y$3&lt;=$E4),IF((Y$3-$D4+1)*VLOOKUP($A4,presupuesto!$B:$Q,16,FALSE)&gt;=VLOOKUP($A4,informe!$A:$J,9,FALSE),"cg","c"),"n")</f>
        <v>cg</v>
      </c>
      <c r="Z4" s="195" t="str">
        <f>IF(AND(Z$3&gt;=$D4,Z$3&lt;=$E4),IF((Z$3-$D4+1)*VLOOKUP($A4,presupuesto!$B:$Q,16,FALSE)&gt;=VLOOKUP($A4,informe!$A:$J,9,FALSE),"cg","c"),"n")</f>
        <v>cg</v>
      </c>
      <c r="AA4" s="195" t="str">
        <f>IF(AND(AA$3&gt;=$D4,AA$3&lt;=$E4),IF((AA$3-$D4+1)*VLOOKUP($A4,presupuesto!$B:$Q,16,FALSE)&gt;=VLOOKUP($A4,informe!$A:$J,9,FALSE),"cg","c"),"n")</f>
        <v>cg</v>
      </c>
      <c r="AB4" s="195" t="str">
        <f>IF(AND(AB$3&gt;=$D4,AB$3&lt;=$E4),IF((AB$3-$D4+1)*VLOOKUP($A4,presupuesto!$B:$Q,16,FALSE)&gt;=VLOOKUP($A4,informe!$A:$J,9,FALSE),"cg","c"),"n")</f>
        <v>cg</v>
      </c>
      <c r="AC4" s="195" t="str">
        <f>IF(AND(AC$3&gt;=$D4,AC$3&lt;=$E4),IF((AC$3-$D4+1)*VLOOKUP($A4,presupuesto!$B:$Q,16,FALSE)&gt;=VLOOKUP($A4,informe!$A:$J,9,FALSE),"cg","c"),"n")</f>
        <v>cg</v>
      </c>
      <c r="AD4" s="195" t="str">
        <f>IF(AND(AD$3&gt;=$D4,AD$3&lt;=$E4),IF((AD$3-$D4+1)*VLOOKUP($A4,presupuesto!$B:$Q,16,FALSE)&gt;=VLOOKUP($A4,informe!$A:$J,9,FALSE),"cg","c"),"n")</f>
        <v>cg</v>
      </c>
      <c r="AE4" s="195" t="str">
        <f>IF(AND(AE$3&gt;=$D4,AE$3&lt;=$E4),IF((AE$3-$D4+1)*VLOOKUP($A4,presupuesto!$B:$Q,16,FALSE)&gt;=VLOOKUP($A4,informe!$A:$J,9,FALSE),"cg","c"),"n")</f>
        <v>cg</v>
      </c>
      <c r="AF4" s="195" t="str">
        <f>IF(AND(AF$3&gt;=$D4,AF$3&lt;=$E4),IF((AF$3-$D4+1)*VLOOKUP($A4,presupuesto!$B:$Q,16,FALSE)&gt;=VLOOKUP($A4,informe!$A:$J,9,FALSE),"cg","c"),"n")</f>
        <v>cg</v>
      </c>
      <c r="AG4" s="195" t="str">
        <f>IF(AND(AG$3&gt;=$D4,AG$3&lt;=$E4),IF((AG$3-$D4+1)*VLOOKUP($A4,presupuesto!$B:$Q,16,FALSE)&gt;=VLOOKUP($A4,informe!$A:$J,9,FALSE),"cg","c"),"n")</f>
        <v>cg</v>
      </c>
      <c r="AH4" s="195" t="str">
        <f>IF(AND(AH$3&gt;=$D4,AH$3&lt;=$E4),IF((AH$3-$D4+1)*VLOOKUP($A4,presupuesto!$B:$Q,16,FALSE)&gt;=VLOOKUP($A4,informe!$A:$J,9,FALSE),"cg","c"),"n")</f>
        <v>cg</v>
      </c>
      <c r="AI4" s="195" t="str">
        <f>IF(AND(AI$3&gt;=$D4,AI$3&lt;=$E4),IF((AI$3-$D4+1)*VLOOKUP($A4,presupuesto!$B:$Q,16,FALSE)&gt;=VLOOKUP($A4,informe!$A:$J,9,FALSE),"cg","c"),"n")</f>
        <v>cg</v>
      </c>
      <c r="AJ4" s="195" t="str">
        <f>IF(AND(AJ$3&gt;=$D4,AJ$3&lt;=$E4),IF((AJ$3-$D4+1)*VLOOKUP($A4,presupuesto!$B:$Q,16,FALSE)&gt;=VLOOKUP($A4,informe!$A:$J,9,FALSE),"cg","c"),"n")</f>
        <v>cg</v>
      </c>
      <c r="AK4" s="196" t="str">
        <f>IF(AND(AK$3&gt;=$D4,AK$3&lt;=$E4),IF((AK$3-$D4+1)*VLOOKUP($A4,presupuesto!$B:$Q,16,FALSE)&gt;=VLOOKUP($A4,informe!$A:$J,9,FALSE),"cg","c"),"n")</f>
        <v>cg</v>
      </c>
    </row>
    <row r="5" spans="1:37" s="1" customFormat="1" ht="15" customHeight="1" x14ac:dyDescent="0.3">
      <c r="A5" s="193">
        <f>presupuesto!B4</f>
        <v>0</v>
      </c>
      <c r="B5" s="181" t="str">
        <f>presupuesto!C4</f>
        <v xml:space="preserve">   CAPÍTULO I: OBRAS CAPTACIÓN</v>
      </c>
      <c r="C5" s="173" t="str">
        <f>presupuesto!G4</f>
        <v>167 días</v>
      </c>
      <c r="D5" s="176">
        <f>presupuesto!N4</f>
        <v>45642</v>
      </c>
      <c r="E5" s="176">
        <f>presupuesto!O4</f>
        <v>45808</v>
      </c>
      <c r="F5" s="194" t="str">
        <f>IF(AK5="n",CONCATENATE(" - "),IF(AK5="cg",CONCATENATE(" - "),CONCATENATE(ROUND(IFERROR(VLOOKUP(A5,informe!A:J,9,FALSE)/VLOOKUP(A5,informe!A:J,5,FALSE),0)*100,2),"% ")))</f>
        <v xml:space="preserve"> - </v>
      </c>
      <c r="G5" s="195" t="str">
        <f>IF(AND(G$3&gt;=$D5,G$3&lt;=$E5),IF((G$3-$D5+1)*VLOOKUP($A5,presupuesto!$B:$Q,16,FALSE)&gt;=VLOOKUP($A5,informe!$A:$J,9,FALSE),"cg","c"),"n")</f>
        <v>n</v>
      </c>
      <c r="H5" s="195" t="str">
        <f>IF(AND(H$3&gt;=$D5,H$3&lt;=$E5),IF((H$3-$D5+1)*VLOOKUP($A5,presupuesto!$B:$Q,16,FALSE)&gt;=VLOOKUP($A5,informe!$A:$J,9,FALSE),"cg","c"),"n")</f>
        <v>n</v>
      </c>
      <c r="I5" s="195" t="str">
        <f>IF(AND(I$3&gt;=$D5,I$3&lt;=$E5),IF((I$3-$D5+1)*VLOOKUP($A5,presupuesto!$B:$Q,16,FALSE)&gt;=VLOOKUP($A5,informe!$A:$J,9,FALSE),"cg","c"),"n")</f>
        <v>n</v>
      </c>
      <c r="J5" s="195" t="str">
        <f>IF(AND(J$3&gt;=$D5,J$3&lt;=$E5),IF((J$3-$D5+1)*VLOOKUP($A5,presupuesto!$B:$Q,16,FALSE)&gt;=VLOOKUP($A5,informe!$A:$J,9,FALSE),"cg","c"),"n")</f>
        <v>n</v>
      </c>
      <c r="K5" s="195" t="str">
        <f>IF(AND(K$3&gt;=$D5,K$3&lt;=$E5),IF((K$3-$D5+1)*VLOOKUP($A5,presupuesto!$B:$Q,16,FALSE)&gt;=VLOOKUP($A5,informe!$A:$J,9,FALSE),"cg","c"),"n")</f>
        <v>n</v>
      </c>
      <c r="L5" s="195" t="str">
        <f>IF(AND(L$3&gt;=$D5,L$3&lt;=$E5),IF((L$3-$D5+1)*VLOOKUP($A5,presupuesto!$B:$Q,16,FALSE)&gt;=VLOOKUP($A5,informe!$A:$J,9,FALSE),"cg","c"),"n")</f>
        <v>n</v>
      </c>
      <c r="M5" s="195" t="str">
        <f>IF(AND(M$3&gt;=$D5,M$3&lt;=$E5),IF((M$3-$D5+1)*VLOOKUP($A5,presupuesto!$B:$Q,16,FALSE)&gt;=VLOOKUP($A5,informe!$A:$J,9,FALSE),"cg","c"),"n")</f>
        <v>n</v>
      </c>
      <c r="N5" s="195" t="str">
        <f>IF(AND(N$3&gt;=$D5,N$3&lt;=$E5),IF((N$3-$D5+1)*VLOOKUP($A5,presupuesto!$B:$Q,16,FALSE)&gt;=VLOOKUP($A5,informe!$A:$J,9,FALSE),"cg","c"),"n")</f>
        <v>n</v>
      </c>
      <c r="O5" s="195" t="str">
        <f>IF(AND(O$3&gt;=$D5,O$3&lt;=$E5),IF((O$3-$D5+1)*VLOOKUP($A5,presupuesto!$B:$Q,16,FALSE)&gt;=VLOOKUP($A5,informe!$A:$J,9,FALSE),"cg","c"),"n")</f>
        <v>n</v>
      </c>
      <c r="P5" s="195" t="str">
        <f>IF(AND(P$3&gt;=$D5,P$3&lt;=$E5),IF((P$3-$D5+1)*VLOOKUP($A5,presupuesto!$B:$Q,16,FALSE)&gt;=VLOOKUP($A5,informe!$A:$J,9,FALSE),"cg","c"),"n")</f>
        <v>n</v>
      </c>
      <c r="Q5" s="195" t="str">
        <f>IF(AND(Q$3&gt;=$D5,Q$3&lt;=$E5),IF((Q$3-$D5+1)*VLOOKUP($A5,presupuesto!$B:$Q,16,FALSE)&gt;=VLOOKUP($A5,informe!$A:$J,9,FALSE),"cg","c"),"n")</f>
        <v>n</v>
      </c>
      <c r="R5" s="195" t="str">
        <f>IF(AND(R$3&gt;=$D5,R$3&lt;=$E5),IF((R$3-$D5+1)*VLOOKUP($A5,presupuesto!$B:$Q,16,FALSE)&gt;=VLOOKUP($A5,informe!$A:$J,9,FALSE),"cg","c"),"n")</f>
        <v>n</v>
      </c>
      <c r="S5" s="195" t="str">
        <f>IF(AND(S$3&gt;=$D5,S$3&lt;=$E5),IF((S$3-$D5+1)*VLOOKUP($A5,presupuesto!$B:$Q,16,FALSE)&gt;=VLOOKUP($A5,informe!$A:$J,9,FALSE),"cg","c"),"n")</f>
        <v>n</v>
      </c>
      <c r="T5" s="195" t="str">
        <f>IF(AND(T$3&gt;=$D5,T$3&lt;=$E5),IF((T$3-$D5+1)*VLOOKUP($A5,presupuesto!$B:$Q,16,FALSE)&gt;=VLOOKUP($A5,informe!$A:$J,9,FALSE),"cg","c"),"n")</f>
        <v>n</v>
      </c>
      <c r="U5" s="195" t="str">
        <f>IF(AND(U$3&gt;=$D5,U$3&lt;=$E5),IF((U$3-$D5+1)*VLOOKUP($A5,presupuesto!$B:$Q,16,FALSE)&gt;=VLOOKUP($A5,informe!$A:$J,9,FALSE),"cg","c"),"n")</f>
        <v>n</v>
      </c>
      <c r="V5" s="195" t="str">
        <f>IF(AND(V$3&gt;=$D5,V$3&lt;=$E5),IF((V$3-$D5+1)*VLOOKUP($A5,presupuesto!$B:$Q,16,FALSE)&gt;=VLOOKUP($A5,informe!$A:$J,9,FALSE),"cg","c"),"n")</f>
        <v>cg</v>
      </c>
      <c r="W5" s="195" t="str">
        <f>IF(AND(W$3&gt;=$D5,W$3&lt;=$E5),IF((W$3-$D5+1)*VLOOKUP($A5,presupuesto!$B:$Q,16,FALSE)&gt;=VLOOKUP($A5,informe!$A:$J,9,FALSE),"cg","c"),"n")</f>
        <v>cg</v>
      </c>
      <c r="X5" s="195" t="str">
        <f>IF(AND(X$3&gt;=$D5,X$3&lt;=$E5),IF((X$3-$D5+1)*VLOOKUP($A5,presupuesto!$B:$Q,16,FALSE)&gt;=VLOOKUP($A5,informe!$A:$J,9,FALSE),"cg","c"),"n")</f>
        <v>cg</v>
      </c>
      <c r="Y5" s="195" t="str">
        <f>IF(AND(Y$3&gt;=$D5,Y$3&lt;=$E5),IF((Y$3-$D5+1)*VLOOKUP($A5,presupuesto!$B:$Q,16,FALSE)&gt;=VLOOKUP($A5,informe!$A:$J,9,FALSE),"cg","c"),"n")</f>
        <v>cg</v>
      </c>
      <c r="Z5" s="195" t="str">
        <f>IF(AND(Z$3&gt;=$D5,Z$3&lt;=$E5),IF((Z$3-$D5+1)*VLOOKUP($A5,presupuesto!$B:$Q,16,FALSE)&gt;=VLOOKUP($A5,informe!$A:$J,9,FALSE),"cg","c"),"n")</f>
        <v>cg</v>
      </c>
      <c r="AA5" s="195" t="str">
        <f>IF(AND(AA$3&gt;=$D5,AA$3&lt;=$E5),IF((AA$3-$D5+1)*VLOOKUP($A5,presupuesto!$B:$Q,16,FALSE)&gt;=VLOOKUP($A5,informe!$A:$J,9,FALSE),"cg","c"),"n")</f>
        <v>cg</v>
      </c>
      <c r="AB5" s="195" t="str">
        <f>IF(AND(AB$3&gt;=$D5,AB$3&lt;=$E5),IF((AB$3-$D5+1)*VLOOKUP($A5,presupuesto!$B:$Q,16,FALSE)&gt;=VLOOKUP($A5,informe!$A:$J,9,FALSE),"cg","c"),"n")</f>
        <v>cg</v>
      </c>
      <c r="AC5" s="195" t="str">
        <f>IF(AND(AC$3&gt;=$D5,AC$3&lt;=$E5),IF((AC$3-$D5+1)*VLOOKUP($A5,presupuesto!$B:$Q,16,FALSE)&gt;=VLOOKUP($A5,informe!$A:$J,9,FALSE),"cg","c"),"n")</f>
        <v>cg</v>
      </c>
      <c r="AD5" s="195" t="str">
        <f>IF(AND(AD$3&gt;=$D5,AD$3&lt;=$E5),IF((AD$3-$D5+1)*VLOOKUP($A5,presupuesto!$B:$Q,16,FALSE)&gt;=VLOOKUP($A5,informe!$A:$J,9,FALSE),"cg","c"),"n")</f>
        <v>cg</v>
      </c>
      <c r="AE5" s="195" t="str">
        <f>IF(AND(AE$3&gt;=$D5,AE$3&lt;=$E5),IF((AE$3-$D5+1)*VLOOKUP($A5,presupuesto!$B:$Q,16,FALSE)&gt;=VLOOKUP($A5,informe!$A:$J,9,FALSE),"cg","c"),"n")</f>
        <v>cg</v>
      </c>
      <c r="AF5" s="195" t="str">
        <f>IF(AND(AF$3&gt;=$D5,AF$3&lt;=$E5),IF((AF$3-$D5+1)*VLOOKUP($A5,presupuesto!$B:$Q,16,FALSE)&gt;=VLOOKUP($A5,informe!$A:$J,9,FALSE),"cg","c"),"n")</f>
        <v>cg</v>
      </c>
      <c r="AG5" s="195" t="str">
        <f>IF(AND(AG$3&gt;=$D5,AG$3&lt;=$E5),IF((AG$3-$D5+1)*VLOOKUP($A5,presupuesto!$B:$Q,16,FALSE)&gt;=VLOOKUP($A5,informe!$A:$J,9,FALSE),"cg","c"),"n")</f>
        <v>cg</v>
      </c>
      <c r="AH5" s="195" t="str">
        <f>IF(AND(AH$3&gt;=$D5,AH$3&lt;=$E5),IF((AH$3-$D5+1)*VLOOKUP($A5,presupuesto!$B:$Q,16,FALSE)&gt;=VLOOKUP($A5,informe!$A:$J,9,FALSE),"cg","c"),"n")</f>
        <v>cg</v>
      </c>
      <c r="AI5" s="195" t="str">
        <f>IF(AND(AI$3&gt;=$D5,AI$3&lt;=$E5),IF((AI$3-$D5+1)*VLOOKUP($A5,presupuesto!$B:$Q,16,FALSE)&gt;=VLOOKUP($A5,informe!$A:$J,9,FALSE),"cg","c"),"n")</f>
        <v>cg</v>
      </c>
      <c r="AJ5" s="195" t="str">
        <f>IF(AND(AJ$3&gt;=$D5,AJ$3&lt;=$E5),IF((AJ$3-$D5+1)*VLOOKUP($A5,presupuesto!$B:$Q,16,FALSE)&gt;=VLOOKUP($A5,informe!$A:$J,9,FALSE),"cg","c"),"n")</f>
        <v>cg</v>
      </c>
      <c r="AK5" s="196" t="str">
        <f>IF(AND(AK$3&gt;=$D5,AK$3&lt;=$E5),IF((AK$3-$D5+1)*VLOOKUP($A5,presupuesto!$B:$Q,16,FALSE)&gt;=VLOOKUP($A5,informe!$A:$J,9,FALSE),"cg","c"),"n")</f>
        <v>cg</v>
      </c>
    </row>
    <row r="6" spans="1:37" s="1" customFormat="1" ht="15" customHeight="1" x14ac:dyDescent="0.3">
      <c r="A6" s="197" t="str">
        <f>presupuesto!B5</f>
        <v>A.-</v>
      </c>
      <c r="B6" s="181" t="str">
        <f>presupuesto!C5</f>
        <v xml:space="preserve">      CAPTACIÓN SUPERFICIAL Y DESARENADOR</v>
      </c>
      <c r="C6" s="174" t="str">
        <f>presupuesto!G5</f>
        <v>167 días</v>
      </c>
      <c r="D6" s="177">
        <f>presupuesto!N5</f>
        <v>45642</v>
      </c>
      <c r="E6" s="177">
        <f>presupuesto!O5</f>
        <v>45808</v>
      </c>
      <c r="F6" s="194" t="str">
        <f>IF(AK6="n",CONCATENATE(" - "),IF(AK6="cg",CONCATENATE(" - "),CONCATENATE(ROUND(IFERROR(VLOOKUP(A6,informe!A:J,9,FALSE)/VLOOKUP(A6,informe!A:J,5,FALSE),0)*100,2),"% ")))</f>
        <v xml:space="preserve"> - </v>
      </c>
      <c r="G6" s="195" t="str">
        <f>IF(AND(G$3&gt;=$D6,G$3&lt;=$E6),IF((G$3-$D6+1)*VLOOKUP($A6,presupuesto!$B:$Q,16,FALSE)&gt;=VLOOKUP($A6,informe!$A:$J,9,FALSE),"cg","c"),"n")</f>
        <v>n</v>
      </c>
      <c r="H6" s="195" t="str">
        <f>IF(AND(H$3&gt;=$D6,H$3&lt;=$E6),IF((H$3-$D6+1)*VLOOKUP($A6,presupuesto!$B:$Q,16,FALSE)&gt;=VLOOKUP($A6,informe!$A:$J,9,FALSE),"cg","c"),"n")</f>
        <v>n</v>
      </c>
      <c r="I6" s="195" t="str">
        <f>IF(AND(I$3&gt;=$D6,I$3&lt;=$E6),IF((I$3-$D6+1)*VLOOKUP($A6,presupuesto!$B:$Q,16,FALSE)&gt;=VLOOKUP($A6,informe!$A:$J,9,FALSE),"cg","c"),"n")</f>
        <v>n</v>
      </c>
      <c r="J6" s="195" t="str">
        <f>IF(AND(J$3&gt;=$D6,J$3&lt;=$E6),IF((J$3-$D6+1)*VLOOKUP($A6,presupuesto!$B:$Q,16,FALSE)&gt;=VLOOKUP($A6,informe!$A:$J,9,FALSE),"cg","c"),"n")</f>
        <v>n</v>
      </c>
      <c r="K6" s="195" t="str">
        <f>IF(AND(K$3&gt;=$D6,K$3&lt;=$E6),IF((K$3-$D6+1)*VLOOKUP($A6,presupuesto!$B:$Q,16,FALSE)&gt;=VLOOKUP($A6,informe!$A:$J,9,FALSE),"cg","c"),"n")</f>
        <v>n</v>
      </c>
      <c r="L6" s="195" t="str">
        <f>IF(AND(L$3&gt;=$D6,L$3&lt;=$E6),IF((L$3-$D6+1)*VLOOKUP($A6,presupuesto!$B:$Q,16,FALSE)&gt;=VLOOKUP($A6,informe!$A:$J,9,FALSE),"cg","c"),"n")</f>
        <v>n</v>
      </c>
      <c r="M6" s="195" t="str">
        <f>IF(AND(M$3&gt;=$D6,M$3&lt;=$E6),IF((M$3-$D6+1)*VLOOKUP($A6,presupuesto!$B:$Q,16,FALSE)&gt;=VLOOKUP($A6,informe!$A:$J,9,FALSE),"cg","c"),"n")</f>
        <v>n</v>
      </c>
      <c r="N6" s="195" t="str">
        <f>IF(AND(N$3&gt;=$D6,N$3&lt;=$E6),IF((N$3-$D6+1)*VLOOKUP($A6,presupuesto!$B:$Q,16,FALSE)&gt;=VLOOKUP($A6,informe!$A:$J,9,FALSE),"cg","c"),"n")</f>
        <v>n</v>
      </c>
      <c r="O6" s="195" t="str">
        <f>IF(AND(O$3&gt;=$D6,O$3&lt;=$E6),IF((O$3-$D6+1)*VLOOKUP($A6,presupuesto!$B:$Q,16,FALSE)&gt;=VLOOKUP($A6,informe!$A:$J,9,FALSE),"cg","c"),"n")</f>
        <v>n</v>
      </c>
      <c r="P6" s="195" t="str">
        <f>IF(AND(P$3&gt;=$D6,P$3&lt;=$E6),IF((P$3-$D6+1)*VLOOKUP($A6,presupuesto!$B:$Q,16,FALSE)&gt;=VLOOKUP($A6,informe!$A:$J,9,FALSE),"cg","c"),"n")</f>
        <v>n</v>
      </c>
      <c r="Q6" s="195" t="str">
        <f>IF(AND(Q$3&gt;=$D6,Q$3&lt;=$E6),IF((Q$3-$D6+1)*VLOOKUP($A6,presupuesto!$B:$Q,16,FALSE)&gt;=VLOOKUP($A6,informe!$A:$J,9,FALSE),"cg","c"),"n")</f>
        <v>n</v>
      </c>
      <c r="R6" s="195" t="str">
        <f>IF(AND(R$3&gt;=$D6,R$3&lt;=$E6),IF((R$3-$D6+1)*VLOOKUP($A6,presupuesto!$B:$Q,16,FALSE)&gt;=VLOOKUP($A6,informe!$A:$J,9,FALSE),"cg","c"),"n")</f>
        <v>n</v>
      </c>
      <c r="S6" s="195" t="str">
        <f>IF(AND(S$3&gt;=$D6,S$3&lt;=$E6),IF((S$3-$D6+1)*VLOOKUP($A6,presupuesto!$B:$Q,16,FALSE)&gt;=VLOOKUP($A6,informe!$A:$J,9,FALSE),"cg","c"),"n")</f>
        <v>n</v>
      </c>
      <c r="T6" s="195" t="str">
        <f>IF(AND(T$3&gt;=$D6,T$3&lt;=$E6),IF((T$3-$D6+1)*VLOOKUP($A6,presupuesto!$B:$Q,16,FALSE)&gt;=VLOOKUP($A6,informe!$A:$J,9,FALSE),"cg","c"),"n")</f>
        <v>n</v>
      </c>
      <c r="U6" s="195" t="str">
        <f>IF(AND(U$3&gt;=$D6,U$3&lt;=$E6),IF((U$3-$D6+1)*VLOOKUP($A6,presupuesto!$B:$Q,16,FALSE)&gt;=VLOOKUP($A6,informe!$A:$J,9,FALSE),"cg","c"),"n")</f>
        <v>n</v>
      </c>
      <c r="V6" s="195" t="str">
        <f>IF(AND(V$3&gt;=$D6,V$3&lt;=$E6),IF((V$3-$D6+1)*VLOOKUP($A6,presupuesto!$B:$Q,16,FALSE)&gt;=VLOOKUP($A6,informe!$A:$J,9,FALSE),"cg","c"),"n")</f>
        <v>cg</v>
      </c>
      <c r="W6" s="195" t="str">
        <f>IF(AND(W$3&gt;=$D6,W$3&lt;=$E6),IF((W$3-$D6+1)*VLOOKUP($A6,presupuesto!$B:$Q,16,FALSE)&gt;=VLOOKUP($A6,informe!$A:$J,9,FALSE),"cg","c"),"n")</f>
        <v>cg</v>
      </c>
      <c r="X6" s="195" t="str">
        <f>IF(AND(X$3&gt;=$D6,X$3&lt;=$E6),IF((X$3-$D6+1)*VLOOKUP($A6,presupuesto!$B:$Q,16,FALSE)&gt;=VLOOKUP($A6,informe!$A:$J,9,FALSE),"cg","c"),"n")</f>
        <v>cg</v>
      </c>
      <c r="Y6" s="195" t="str">
        <f>IF(AND(Y$3&gt;=$D6,Y$3&lt;=$E6),IF((Y$3-$D6+1)*VLOOKUP($A6,presupuesto!$B:$Q,16,FALSE)&gt;=VLOOKUP($A6,informe!$A:$J,9,FALSE),"cg","c"),"n")</f>
        <v>cg</v>
      </c>
      <c r="Z6" s="195" t="str">
        <f>IF(AND(Z$3&gt;=$D6,Z$3&lt;=$E6),IF((Z$3-$D6+1)*VLOOKUP($A6,presupuesto!$B:$Q,16,FALSE)&gt;=VLOOKUP($A6,informe!$A:$J,9,FALSE),"cg","c"),"n")</f>
        <v>cg</v>
      </c>
      <c r="AA6" s="195" t="str">
        <f>IF(AND(AA$3&gt;=$D6,AA$3&lt;=$E6),IF((AA$3-$D6+1)*VLOOKUP($A6,presupuesto!$B:$Q,16,FALSE)&gt;=VLOOKUP($A6,informe!$A:$J,9,FALSE),"cg","c"),"n")</f>
        <v>cg</v>
      </c>
      <c r="AB6" s="195" t="str">
        <f>IF(AND(AB$3&gt;=$D6,AB$3&lt;=$E6),IF((AB$3-$D6+1)*VLOOKUP($A6,presupuesto!$B:$Q,16,FALSE)&gt;=VLOOKUP($A6,informe!$A:$J,9,FALSE),"cg","c"),"n")</f>
        <v>cg</v>
      </c>
      <c r="AC6" s="195" t="str">
        <f>IF(AND(AC$3&gt;=$D6,AC$3&lt;=$E6),IF((AC$3-$D6+1)*VLOOKUP($A6,presupuesto!$B:$Q,16,FALSE)&gt;=VLOOKUP($A6,informe!$A:$J,9,FALSE),"cg","c"),"n")</f>
        <v>cg</v>
      </c>
      <c r="AD6" s="195" t="str">
        <f>IF(AND(AD$3&gt;=$D6,AD$3&lt;=$E6),IF((AD$3-$D6+1)*VLOOKUP($A6,presupuesto!$B:$Q,16,FALSE)&gt;=VLOOKUP($A6,informe!$A:$J,9,FALSE),"cg","c"),"n")</f>
        <v>cg</v>
      </c>
      <c r="AE6" s="195" t="str">
        <f>IF(AND(AE$3&gt;=$D6,AE$3&lt;=$E6),IF((AE$3-$D6+1)*VLOOKUP($A6,presupuesto!$B:$Q,16,FALSE)&gt;=VLOOKUP($A6,informe!$A:$J,9,FALSE),"cg","c"),"n")</f>
        <v>cg</v>
      </c>
      <c r="AF6" s="195" t="str">
        <f>IF(AND(AF$3&gt;=$D6,AF$3&lt;=$E6),IF((AF$3-$D6+1)*VLOOKUP($A6,presupuesto!$B:$Q,16,FALSE)&gt;=VLOOKUP($A6,informe!$A:$J,9,FALSE),"cg","c"),"n")</f>
        <v>cg</v>
      </c>
      <c r="AG6" s="195" t="str">
        <f>IF(AND(AG$3&gt;=$D6,AG$3&lt;=$E6),IF((AG$3-$D6+1)*VLOOKUP($A6,presupuesto!$B:$Q,16,FALSE)&gt;=VLOOKUP($A6,informe!$A:$J,9,FALSE),"cg","c"),"n")</f>
        <v>cg</v>
      </c>
      <c r="AH6" s="195" t="str">
        <f>IF(AND(AH$3&gt;=$D6,AH$3&lt;=$E6),IF((AH$3-$D6+1)*VLOOKUP($A6,presupuesto!$B:$Q,16,FALSE)&gt;=VLOOKUP($A6,informe!$A:$J,9,FALSE),"cg","c"),"n")</f>
        <v>cg</v>
      </c>
      <c r="AI6" s="195" t="str">
        <f>IF(AND(AI$3&gt;=$D6,AI$3&lt;=$E6),IF((AI$3-$D6+1)*VLOOKUP($A6,presupuesto!$B:$Q,16,FALSE)&gt;=VLOOKUP($A6,informe!$A:$J,9,FALSE),"cg","c"),"n")</f>
        <v>cg</v>
      </c>
      <c r="AJ6" s="195" t="str">
        <f>IF(AND(AJ$3&gt;=$D6,AJ$3&lt;=$E6),IF((AJ$3-$D6+1)*VLOOKUP($A6,presupuesto!$B:$Q,16,FALSE)&gt;=VLOOKUP($A6,informe!$A:$J,9,FALSE),"cg","c"),"n")</f>
        <v>cg</v>
      </c>
      <c r="AK6" s="196" t="str">
        <f>IF(AND(AK$3&gt;=$D6,AK$3&lt;=$E6),IF((AK$3-$D6+1)*VLOOKUP($A6,presupuesto!$B:$Q,16,FALSE)&gt;=VLOOKUP($A6,informe!$A:$J,9,FALSE),"cg","c"),"n")</f>
        <v>cg</v>
      </c>
    </row>
    <row r="7" spans="1:37" s="1" customFormat="1" ht="15" customHeight="1" x14ac:dyDescent="0.3">
      <c r="A7" s="197" t="str">
        <f>presupuesto!B6</f>
        <v>A.1.-</v>
      </c>
      <c r="B7" s="181" t="str">
        <f>presupuesto!C6</f>
        <v xml:space="preserve">         DEMOLICION</v>
      </c>
      <c r="C7" s="174" t="str">
        <f>presupuesto!G6</f>
        <v>7 días</v>
      </c>
      <c r="D7" s="177">
        <f>presupuesto!N6</f>
        <v>45720</v>
      </c>
      <c r="E7" s="177">
        <f>presupuesto!O6</f>
        <v>45726</v>
      </c>
      <c r="F7" s="194" t="str">
        <f>IF(AK7="n",CONCATENATE(" - "),IF(AK7="cg",CONCATENATE(" - "),CONCATENATE(ROUND(IFERROR(VLOOKUP(A7,informe!A:J,9,FALSE)/VLOOKUP(A7,informe!A:J,5,FALSE),0)*100,2),"% ")))</f>
        <v xml:space="preserve"> - </v>
      </c>
      <c r="G7" s="195" t="str">
        <f>IF(AND(G$3&gt;=$D7,G$3&lt;=$E7),IF((G$3-$D7+1)*VLOOKUP($A7,presupuesto!$B:$Q,16,FALSE)&gt;=VLOOKUP($A7,informe!$A:$J,9,FALSE),"cg","c"),"n")</f>
        <v>n</v>
      </c>
      <c r="H7" s="195" t="str">
        <f>IF(AND(H$3&gt;=$D7,H$3&lt;=$E7),IF((H$3-$D7+1)*VLOOKUP($A7,presupuesto!$B:$Q,16,FALSE)&gt;=VLOOKUP($A7,informe!$A:$J,9,FALSE),"cg","c"),"n")</f>
        <v>n</v>
      </c>
      <c r="I7" s="195" t="str">
        <f>IF(AND(I$3&gt;=$D7,I$3&lt;=$E7),IF((I$3-$D7+1)*VLOOKUP($A7,presupuesto!$B:$Q,16,FALSE)&gt;=VLOOKUP($A7,informe!$A:$J,9,FALSE),"cg","c"),"n")</f>
        <v>n</v>
      </c>
      <c r="J7" s="195" t="str">
        <f>IF(AND(J$3&gt;=$D7,J$3&lt;=$E7),IF((J$3-$D7+1)*VLOOKUP($A7,presupuesto!$B:$Q,16,FALSE)&gt;=VLOOKUP($A7,informe!$A:$J,9,FALSE),"cg","c"),"n")</f>
        <v>n</v>
      </c>
      <c r="K7" s="195" t="str">
        <f>IF(AND(K$3&gt;=$D7,K$3&lt;=$E7),IF((K$3-$D7+1)*VLOOKUP($A7,presupuesto!$B:$Q,16,FALSE)&gt;=VLOOKUP($A7,informe!$A:$J,9,FALSE),"cg","c"),"n")</f>
        <v>n</v>
      </c>
      <c r="L7" s="195" t="str">
        <f>IF(AND(L$3&gt;=$D7,L$3&lt;=$E7),IF((L$3-$D7+1)*VLOOKUP($A7,presupuesto!$B:$Q,16,FALSE)&gt;=VLOOKUP($A7,informe!$A:$J,9,FALSE),"cg","c"),"n")</f>
        <v>n</v>
      </c>
      <c r="M7" s="195" t="str">
        <f>IF(AND(M$3&gt;=$D7,M$3&lt;=$E7),IF((M$3-$D7+1)*VLOOKUP($A7,presupuesto!$B:$Q,16,FALSE)&gt;=VLOOKUP($A7,informe!$A:$J,9,FALSE),"cg","c"),"n")</f>
        <v>n</v>
      </c>
      <c r="N7" s="195" t="str">
        <f>IF(AND(N$3&gt;=$D7,N$3&lt;=$E7),IF((N$3-$D7+1)*VLOOKUP($A7,presupuesto!$B:$Q,16,FALSE)&gt;=VLOOKUP($A7,informe!$A:$J,9,FALSE),"cg","c"),"n")</f>
        <v>n</v>
      </c>
      <c r="O7" s="195" t="str">
        <f>IF(AND(O$3&gt;=$D7,O$3&lt;=$E7),IF((O$3-$D7+1)*VLOOKUP($A7,presupuesto!$B:$Q,16,FALSE)&gt;=VLOOKUP($A7,informe!$A:$J,9,FALSE),"cg","c"),"n")</f>
        <v>n</v>
      </c>
      <c r="P7" s="195" t="str">
        <f>IF(AND(P$3&gt;=$D7,P$3&lt;=$E7),IF((P$3-$D7+1)*VLOOKUP($A7,presupuesto!$B:$Q,16,FALSE)&gt;=VLOOKUP($A7,informe!$A:$J,9,FALSE),"cg","c"),"n")</f>
        <v>n</v>
      </c>
      <c r="Q7" s="195" t="str">
        <f>IF(AND(Q$3&gt;=$D7,Q$3&lt;=$E7),IF((Q$3-$D7+1)*VLOOKUP($A7,presupuesto!$B:$Q,16,FALSE)&gt;=VLOOKUP($A7,informe!$A:$J,9,FALSE),"cg","c"),"n")</f>
        <v>n</v>
      </c>
      <c r="R7" s="195" t="str">
        <f>IF(AND(R$3&gt;=$D7,R$3&lt;=$E7),IF((R$3-$D7+1)*VLOOKUP($A7,presupuesto!$B:$Q,16,FALSE)&gt;=VLOOKUP($A7,informe!$A:$J,9,FALSE),"cg","c"),"n")</f>
        <v>n</v>
      </c>
      <c r="S7" s="195" t="str">
        <f>IF(AND(S$3&gt;=$D7,S$3&lt;=$E7),IF((S$3-$D7+1)*VLOOKUP($A7,presupuesto!$B:$Q,16,FALSE)&gt;=VLOOKUP($A7,informe!$A:$J,9,FALSE),"cg","c"),"n")</f>
        <v>n</v>
      </c>
      <c r="T7" s="195" t="str">
        <f>IF(AND(T$3&gt;=$D7,T$3&lt;=$E7),IF((T$3-$D7+1)*VLOOKUP($A7,presupuesto!$B:$Q,16,FALSE)&gt;=VLOOKUP($A7,informe!$A:$J,9,FALSE),"cg","c"),"n")</f>
        <v>n</v>
      </c>
      <c r="U7" s="195" t="str">
        <f>IF(AND(U$3&gt;=$D7,U$3&lt;=$E7),IF((U$3-$D7+1)*VLOOKUP($A7,presupuesto!$B:$Q,16,FALSE)&gt;=VLOOKUP($A7,informe!$A:$J,9,FALSE),"cg","c"),"n")</f>
        <v>n</v>
      </c>
      <c r="V7" s="195" t="str">
        <f>IF(AND(V$3&gt;=$D7,V$3&lt;=$E7),IF((V$3-$D7+1)*VLOOKUP($A7,presupuesto!$B:$Q,16,FALSE)&gt;=VLOOKUP($A7,informe!$A:$J,9,FALSE),"cg","c"),"n")</f>
        <v>n</v>
      </c>
      <c r="W7" s="195" t="str">
        <f>IF(AND(W$3&gt;=$D7,W$3&lt;=$E7),IF((W$3-$D7+1)*VLOOKUP($A7,presupuesto!$B:$Q,16,FALSE)&gt;=VLOOKUP($A7,informe!$A:$J,9,FALSE),"cg","c"),"n")</f>
        <v>n</v>
      </c>
      <c r="X7" s="195" t="str">
        <f>IF(AND(X$3&gt;=$D7,X$3&lt;=$E7),IF((X$3-$D7+1)*VLOOKUP($A7,presupuesto!$B:$Q,16,FALSE)&gt;=VLOOKUP($A7,informe!$A:$J,9,FALSE),"cg","c"),"n")</f>
        <v>n</v>
      </c>
      <c r="Y7" s="195" t="str">
        <f>IF(AND(Y$3&gt;=$D7,Y$3&lt;=$E7),IF((Y$3-$D7+1)*VLOOKUP($A7,presupuesto!$B:$Q,16,FALSE)&gt;=VLOOKUP($A7,informe!$A:$J,9,FALSE),"cg","c"),"n")</f>
        <v>n</v>
      </c>
      <c r="Z7" s="195" t="str">
        <f>IF(AND(Z$3&gt;=$D7,Z$3&lt;=$E7),IF((Z$3-$D7+1)*VLOOKUP($A7,presupuesto!$B:$Q,16,FALSE)&gt;=VLOOKUP($A7,informe!$A:$J,9,FALSE),"cg","c"),"n")</f>
        <v>n</v>
      </c>
      <c r="AA7" s="195" t="str">
        <f>IF(AND(AA$3&gt;=$D7,AA$3&lt;=$E7),IF((AA$3-$D7+1)*VLOOKUP($A7,presupuesto!$B:$Q,16,FALSE)&gt;=VLOOKUP($A7,informe!$A:$J,9,FALSE),"cg","c"),"n")</f>
        <v>n</v>
      </c>
      <c r="AB7" s="195" t="str">
        <f>IF(AND(AB$3&gt;=$D7,AB$3&lt;=$E7),IF((AB$3-$D7+1)*VLOOKUP($A7,presupuesto!$B:$Q,16,FALSE)&gt;=VLOOKUP($A7,informe!$A:$J,9,FALSE),"cg","c"),"n")</f>
        <v>n</v>
      </c>
      <c r="AC7" s="195" t="str">
        <f>IF(AND(AC$3&gt;=$D7,AC$3&lt;=$E7),IF((AC$3-$D7+1)*VLOOKUP($A7,presupuesto!$B:$Q,16,FALSE)&gt;=VLOOKUP($A7,informe!$A:$J,9,FALSE),"cg","c"),"n")</f>
        <v>n</v>
      </c>
      <c r="AD7" s="195" t="str">
        <f>IF(AND(AD$3&gt;=$D7,AD$3&lt;=$E7),IF((AD$3-$D7+1)*VLOOKUP($A7,presupuesto!$B:$Q,16,FALSE)&gt;=VLOOKUP($A7,informe!$A:$J,9,FALSE),"cg","c"),"n")</f>
        <v>n</v>
      </c>
      <c r="AE7" s="195" t="str">
        <f>IF(AND(AE$3&gt;=$D7,AE$3&lt;=$E7),IF((AE$3-$D7+1)*VLOOKUP($A7,presupuesto!$B:$Q,16,FALSE)&gt;=VLOOKUP($A7,informe!$A:$J,9,FALSE),"cg","c"),"n")</f>
        <v>n</v>
      </c>
      <c r="AF7" s="195" t="str">
        <f>IF(AND(AF$3&gt;=$D7,AF$3&lt;=$E7),IF((AF$3-$D7+1)*VLOOKUP($A7,presupuesto!$B:$Q,16,FALSE)&gt;=VLOOKUP($A7,informe!$A:$J,9,FALSE),"cg","c"),"n")</f>
        <v>n</v>
      </c>
      <c r="AG7" s="195" t="str">
        <f>IF(AND(AG$3&gt;=$D7,AG$3&lt;=$E7),IF((AG$3-$D7+1)*VLOOKUP($A7,presupuesto!$B:$Q,16,FALSE)&gt;=VLOOKUP($A7,informe!$A:$J,9,FALSE),"cg","c"),"n")</f>
        <v>n</v>
      </c>
      <c r="AH7" s="195" t="str">
        <f>IF(AND(AH$3&gt;=$D7,AH$3&lt;=$E7),IF((AH$3-$D7+1)*VLOOKUP($A7,presupuesto!$B:$Q,16,FALSE)&gt;=VLOOKUP($A7,informe!$A:$J,9,FALSE),"cg","c"),"n")</f>
        <v>n</v>
      </c>
      <c r="AI7" s="195" t="str">
        <f>IF(AND(AI$3&gt;=$D7,AI$3&lt;=$E7),IF((AI$3-$D7+1)*VLOOKUP($A7,presupuesto!$B:$Q,16,FALSE)&gt;=VLOOKUP($A7,informe!$A:$J,9,FALSE),"cg","c"),"n")</f>
        <v>n</v>
      </c>
      <c r="AJ7" s="195" t="str">
        <f>IF(AND(AJ$3&gt;=$D7,AJ$3&lt;=$E7),IF((AJ$3-$D7+1)*VLOOKUP($A7,presupuesto!$B:$Q,16,FALSE)&gt;=VLOOKUP($A7,informe!$A:$J,9,FALSE),"cg","c"),"n")</f>
        <v>n</v>
      </c>
      <c r="AK7" s="196" t="str">
        <f>IF(AND(AK$3&gt;=$D7,AK$3&lt;=$E7),IF((AK$3-$D7+1)*VLOOKUP($A7,presupuesto!$B:$Q,16,FALSE)&gt;=VLOOKUP($A7,informe!$A:$J,9,FALSE),"cg","c"),"n")</f>
        <v>n</v>
      </c>
    </row>
    <row r="8" spans="1:37" s="1" customFormat="1" ht="15" customHeight="1" x14ac:dyDescent="0.25">
      <c r="A8" s="197">
        <f>presupuesto!B7</f>
        <v>1</v>
      </c>
      <c r="B8" s="182" t="str">
        <f>presupuesto!C7</f>
        <v xml:space="preserve">            Demoliciones</v>
      </c>
      <c r="C8" s="174" t="str">
        <f>presupuesto!G7</f>
        <v>7 días</v>
      </c>
      <c r="D8" s="177">
        <f>presupuesto!N7</f>
        <v>45720</v>
      </c>
      <c r="E8" s="177">
        <f>presupuesto!O7</f>
        <v>45726</v>
      </c>
      <c r="F8" s="194" t="str">
        <f>IF(AK8="n",CONCATENATE(" - "),IF(AK8="cg",CONCATENATE(" - "),CONCATENATE(ROUND(IFERROR(VLOOKUP(A8,informe!A:J,9,FALSE)/VLOOKUP(A8,informe!A:J,5,FALSE),0)*100,2),"% ")))</f>
        <v xml:space="preserve"> - </v>
      </c>
      <c r="G8" s="195" t="str">
        <f>IF(AND(G$3&gt;=$D8,G$3&lt;=$E8),IF((G$3-$D8+1)*VLOOKUP($A8,presupuesto!$B:$Q,16,FALSE)&gt;=VLOOKUP($A8,informe!$A:$J,9,FALSE),"cg","c"),"n")</f>
        <v>n</v>
      </c>
      <c r="H8" s="195" t="str">
        <f>IF(AND(H$3&gt;=$D8,H$3&lt;=$E8),IF((H$3-$D8+1)*VLOOKUP($A8,presupuesto!$B:$Q,16,FALSE)&gt;=VLOOKUP($A8,informe!$A:$J,9,FALSE),"cg","c"),"n")</f>
        <v>n</v>
      </c>
      <c r="I8" s="195" t="str">
        <f>IF(AND(I$3&gt;=$D8,I$3&lt;=$E8),IF((I$3-$D8+1)*VLOOKUP($A8,presupuesto!$B:$Q,16,FALSE)&gt;=VLOOKUP($A8,informe!$A:$J,9,FALSE),"cg","c"),"n")</f>
        <v>n</v>
      </c>
      <c r="J8" s="195" t="str">
        <f>IF(AND(J$3&gt;=$D8,J$3&lt;=$E8),IF((J$3-$D8+1)*VLOOKUP($A8,presupuesto!$B:$Q,16,FALSE)&gt;=VLOOKUP($A8,informe!$A:$J,9,FALSE),"cg","c"),"n")</f>
        <v>n</v>
      </c>
      <c r="K8" s="195" t="str">
        <f>IF(AND(K$3&gt;=$D8,K$3&lt;=$E8),IF((K$3-$D8+1)*VLOOKUP($A8,presupuesto!$B:$Q,16,FALSE)&gt;=VLOOKUP($A8,informe!$A:$J,9,FALSE),"cg","c"),"n")</f>
        <v>n</v>
      </c>
      <c r="L8" s="195" t="str">
        <f>IF(AND(L$3&gt;=$D8,L$3&lt;=$E8),IF((L$3-$D8+1)*VLOOKUP($A8,presupuesto!$B:$Q,16,FALSE)&gt;=VLOOKUP($A8,informe!$A:$J,9,FALSE),"cg","c"),"n")</f>
        <v>n</v>
      </c>
      <c r="M8" s="195" t="str">
        <f>IF(AND(M$3&gt;=$D8,M$3&lt;=$E8),IF((M$3-$D8+1)*VLOOKUP($A8,presupuesto!$B:$Q,16,FALSE)&gt;=VLOOKUP($A8,informe!$A:$J,9,FALSE),"cg","c"),"n")</f>
        <v>n</v>
      </c>
      <c r="N8" s="195" t="str">
        <f>IF(AND(N$3&gt;=$D8,N$3&lt;=$E8),IF((N$3-$D8+1)*VLOOKUP($A8,presupuesto!$B:$Q,16,FALSE)&gt;=VLOOKUP($A8,informe!$A:$J,9,FALSE),"cg","c"),"n")</f>
        <v>n</v>
      </c>
      <c r="O8" s="195" t="str">
        <f>IF(AND(O$3&gt;=$D8,O$3&lt;=$E8),IF((O$3-$D8+1)*VLOOKUP($A8,presupuesto!$B:$Q,16,FALSE)&gt;=VLOOKUP($A8,informe!$A:$J,9,FALSE),"cg","c"),"n")</f>
        <v>n</v>
      </c>
      <c r="P8" s="195" t="str">
        <f>IF(AND(P$3&gt;=$D8,P$3&lt;=$E8),IF((P$3-$D8+1)*VLOOKUP($A8,presupuesto!$B:$Q,16,FALSE)&gt;=VLOOKUP($A8,informe!$A:$J,9,FALSE),"cg","c"),"n")</f>
        <v>n</v>
      </c>
      <c r="Q8" s="195" t="str">
        <f>IF(AND(Q$3&gt;=$D8,Q$3&lt;=$E8),IF((Q$3-$D8+1)*VLOOKUP($A8,presupuesto!$B:$Q,16,FALSE)&gt;=VLOOKUP($A8,informe!$A:$J,9,FALSE),"cg","c"),"n")</f>
        <v>n</v>
      </c>
      <c r="R8" s="195" t="str">
        <f>IF(AND(R$3&gt;=$D8,R$3&lt;=$E8),IF((R$3-$D8+1)*VLOOKUP($A8,presupuesto!$B:$Q,16,FALSE)&gt;=VLOOKUP($A8,informe!$A:$J,9,FALSE),"cg","c"),"n")</f>
        <v>n</v>
      </c>
      <c r="S8" s="195" t="str">
        <f>IF(AND(S$3&gt;=$D8,S$3&lt;=$E8),IF((S$3-$D8+1)*VLOOKUP($A8,presupuesto!$B:$Q,16,FALSE)&gt;=VLOOKUP($A8,informe!$A:$J,9,FALSE),"cg","c"),"n")</f>
        <v>n</v>
      </c>
      <c r="T8" s="195" t="str">
        <f>IF(AND(T$3&gt;=$D8,T$3&lt;=$E8),IF((T$3-$D8+1)*VLOOKUP($A8,presupuesto!$B:$Q,16,FALSE)&gt;=VLOOKUP($A8,informe!$A:$J,9,FALSE),"cg","c"),"n")</f>
        <v>n</v>
      </c>
      <c r="U8" s="195" t="str">
        <f>IF(AND(U$3&gt;=$D8,U$3&lt;=$E8),IF((U$3-$D8+1)*VLOOKUP($A8,presupuesto!$B:$Q,16,FALSE)&gt;=VLOOKUP($A8,informe!$A:$J,9,FALSE),"cg","c"),"n")</f>
        <v>n</v>
      </c>
      <c r="V8" s="195" t="str">
        <f>IF(AND(V$3&gt;=$D8,V$3&lt;=$E8),IF((V$3-$D8+1)*VLOOKUP($A8,presupuesto!$B:$Q,16,FALSE)&gt;=VLOOKUP($A8,informe!$A:$J,9,FALSE),"cg","c"),"n")</f>
        <v>n</v>
      </c>
      <c r="W8" s="195" t="str">
        <f>IF(AND(W$3&gt;=$D8,W$3&lt;=$E8),IF((W$3-$D8+1)*VLOOKUP($A8,presupuesto!$B:$Q,16,FALSE)&gt;=VLOOKUP($A8,informe!$A:$J,9,FALSE),"cg","c"),"n")</f>
        <v>n</v>
      </c>
      <c r="X8" s="195" t="str">
        <f>IF(AND(X$3&gt;=$D8,X$3&lt;=$E8),IF((X$3-$D8+1)*VLOOKUP($A8,presupuesto!$B:$Q,16,FALSE)&gt;=VLOOKUP($A8,informe!$A:$J,9,FALSE),"cg","c"),"n")</f>
        <v>n</v>
      </c>
      <c r="Y8" s="195" t="str">
        <f>IF(AND(Y$3&gt;=$D8,Y$3&lt;=$E8),IF((Y$3-$D8+1)*VLOOKUP($A8,presupuesto!$B:$Q,16,FALSE)&gt;=VLOOKUP($A8,informe!$A:$J,9,FALSE),"cg","c"),"n")</f>
        <v>n</v>
      </c>
      <c r="Z8" s="195" t="str">
        <f>IF(AND(Z$3&gt;=$D8,Z$3&lt;=$E8),IF((Z$3-$D8+1)*VLOOKUP($A8,presupuesto!$B:$Q,16,FALSE)&gt;=VLOOKUP($A8,informe!$A:$J,9,FALSE),"cg","c"),"n")</f>
        <v>n</v>
      </c>
      <c r="AA8" s="195" t="str">
        <f>IF(AND(AA$3&gt;=$D8,AA$3&lt;=$E8),IF((AA$3-$D8+1)*VLOOKUP($A8,presupuesto!$B:$Q,16,FALSE)&gt;=VLOOKUP($A8,informe!$A:$J,9,FALSE),"cg","c"),"n")</f>
        <v>n</v>
      </c>
      <c r="AB8" s="195" t="str">
        <f>IF(AND(AB$3&gt;=$D8,AB$3&lt;=$E8),IF((AB$3-$D8+1)*VLOOKUP($A8,presupuesto!$B:$Q,16,FALSE)&gt;=VLOOKUP($A8,informe!$A:$J,9,FALSE),"cg","c"),"n")</f>
        <v>n</v>
      </c>
      <c r="AC8" s="195" t="str">
        <f>IF(AND(AC$3&gt;=$D8,AC$3&lt;=$E8),IF((AC$3-$D8+1)*VLOOKUP($A8,presupuesto!$B:$Q,16,FALSE)&gt;=VLOOKUP($A8,informe!$A:$J,9,FALSE),"cg","c"),"n")</f>
        <v>n</v>
      </c>
      <c r="AD8" s="195" t="str">
        <f>IF(AND(AD$3&gt;=$D8,AD$3&lt;=$E8),IF((AD$3-$D8+1)*VLOOKUP($A8,presupuesto!$B:$Q,16,FALSE)&gt;=VLOOKUP($A8,informe!$A:$J,9,FALSE),"cg","c"),"n")</f>
        <v>n</v>
      </c>
      <c r="AE8" s="195" t="str">
        <f>IF(AND(AE$3&gt;=$D8,AE$3&lt;=$E8),IF((AE$3-$D8+1)*VLOOKUP($A8,presupuesto!$B:$Q,16,FALSE)&gt;=VLOOKUP($A8,informe!$A:$J,9,FALSE),"cg","c"),"n")</f>
        <v>n</v>
      </c>
      <c r="AF8" s="195" t="str">
        <f>IF(AND(AF$3&gt;=$D8,AF$3&lt;=$E8),IF((AF$3-$D8+1)*VLOOKUP($A8,presupuesto!$B:$Q,16,FALSE)&gt;=VLOOKUP($A8,informe!$A:$J,9,FALSE),"cg","c"),"n")</f>
        <v>n</v>
      </c>
      <c r="AG8" s="195" t="str">
        <f>IF(AND(AG$3&gt;=$D8,AG$3&lt;=$E8),IF((AG$3-$D8+1)*VLOOKUP($A8,presupuesto!$B:$Q,16,FALSE)&gt;=VLOOKUP($A8,informe!$A:$J,9,FALSE),"cg","c"),"n")</f>
        <v>n</v>
      </c>
      <c r="AH8" s="195" t="str">
        <f>IF(AND(AH$3&gt;=$D8,AH$3&lt;=$E8),IF((AH$3-$D8+1)*VLOOKUP($A8,presupuesto!$B:$Q,16,FALSE)&gt;=VLOOKUP($A8,informe!$A:$J,9,FALSE),"cg","c"),"n")</f>
        <v>n</v>
      </c>
      <c r="AI8" s="195" t="str">
        <f>IF(AND(AI$3&gt;=$D8,AI$3&lt;=$E8),IF((AI$3-$D8+1)*VLOOKUP($A8,presupuesto!$B:$Q,16,FALSE)&gt;=VLOOKUP($A8,informe!$A:$J,9,FALSE),"cg","c"),"n")</f>
        <v>n</v>
      </c>
      <c r="AJ8" s="195" t="str">
        <f>IF(AND(AJ$3&gt;=$D8,AJ$3&lt;=$E8),IF((AJ$3-$D8+1)*VLOOKUP($A8,presupuesto!$B:$Q,16,FALSE)&gt;=VLOOKUP($A8,informe!$A:$J,9,FALSE),"cg","c"),"n")</f>
        <v>n</v>
      </c>
      <c r="AK8" s="196" t="str">
        <f>IF(AND(AK$3&gt;=$D8,AK$3&lt;=$E8),IF((AK$3-$D8+1)*VLOOKUP($A8,presupuesto!$B:$Q,16,FALSE)&gt;=VLOOKUP($A8,informe!$A:$J,9,FALSE),"cg","c"),"n")</f>
        <v>n</v>
      </c>
    </row>
    <row r="9" spans="1:37" s="1" customFormat="1" ht="15" customHeight="1" x14ac:dyDescent="0.3">
      <c r="A9" s="193" t="str">
        <f>presupuesto!B8</f>
        <v>A.2.-</v>
      </c>
      <c r="B9" s="181" t="str">
        <f>presupuesto!C8</f>
        <v xml:space="preserve">         MOVIMIENTOS DE TIERRA</v>
      </c>
      <c r="C9" s="173" t="str">
        <f>presupuesto!G8</f>
        <v>6 días</v>
      </c>
      <c r="D9" s="176">
        <f>presupuesto!N8</f>
        <v>45727</v>
      </c>
      <c r="E9" s="176">
        <f>presupuesto!O8</f>
        <v>45732</v>
      </c>
      <c r="F9" s="194" t="str">
        <f>IF(AK9="n",CONCATENATE(" - "),IF(AK9="cg",CONCATENATE(" - "),CONCATENATE(ROUND(IFERROR(VLOOKUP(A9,informe!A:J,9,FALSE)/VLOOKUP(A9,informe!A:J,5,FALSE),0)*100,2),"% ")))</f>
        <v xml:space="preserve"> - </v>
      </c>
      <c r="G9" s="195" t="str">
        <f>IF(AND(G$3&gt;=$D9,G$3&lt;=$E9),IF((G$3-$D9+1)*VLOOKUP($A9,presupuesto!$B:$Q,16,FALSE)&gt;=VLOOKUP($A9,informe!$A:$J,9,FALSE),"cg","c"),"n")</f>
        <v>n</v>
      </c>
      <c r="H9" s="195" t="str">
        <f>IF(AND(H$3&gt;=$D9,H$3&lt;=$E9),IF((H$3-$D9+1)*VLOOKUP($A9,presupuesto!$B:$Q,16,FALSE)&gt;=VLOOKUP($A9,informe!$A:$J,9,FALSE),"cg","c"),"n")</f>
        <v>n</v>
      </c>
      <c r="I9" s="195" t="str">
        <f>IF(AND(I$3&gt;=$D9,I$3&lt;=$E9),IF((I$3-$D9+1)*VLOOKUP($A9,presupuesto!$B:$Q,16,FALSE)&gt;=VLOOKUP($A9,informe!$A:$J,9,FALSE),"cg","c"),"n")</f>
        <v>n</v>
      </c>
      <c r="J9" s="195" t="str">
        <f>IF(AND(J$3&gt;=$D9,J$3&lt;=$E9),IF((J$3-$D9+1)*VLOOKUP($A9,presupuesto!$B:$Q,16,FALSE)&gt;=VLOOKUP($A9,informe!$A:$J,9,FALSE),"cg","c"),"n")</f>
        <v>n</v>
      </c>
      <c r="K9" s="195" t="str">
        <f>IF(AND(K$3&gt;=$D9,K$3&lt;=$E9),IF((K$3-$D9+1)*VLOOKUP($A9,presupuesto!$B:$Q,16,FALSE)&gt;=VLOOKUP($A9,informe!$A:$J,9,FALSE),"cg","c"),"n")</f>
        <v>n</v>
      </c>
      <c r="L9" s="195" t="str">
        <f>IF(AND(L$3&gt;=$D9,L$3&lt;=$E9),IF((L$3-$D9+1)*VLOOKUP($A9,presupuesto!$B:$Q,16,FALSE)&gt;=VLOOKUP($A9,informe!$A:$J,9,FALSE),"cg","c"),"n")</f>
        <v>n</v>
      </c>
      <c r="M9" s="195" t="str">
        <f>IF(AND(M$3&gt;=$D9,M$3&lt;=$E9),IF((M$3-$D9+1)*VLOOKUP($A9,presupuesto!$B:$Q,16,FALSE)&gt;=VLOOKUP($A9,informe!$A:$J,9,FALSE),"cg","c"),"n")</f>
        <v>n</v>
      </c>
      <c r="N9" s="195" t="str">
        <f>IF(AND(N$3&gt;=$D9,N$3&lt;=$E9),IF((N$3-$D9+1)*VLOOKUP($A9,presupuesto!$B:$Q,16,FALSE)&gt;=VLOOKUP($A9,informe!$A:$J,9,FALSE),"cg","c"),"n")</f>
        <v>n</v>
      </c>
      <c r="O9" s="195" t="str">
        <f>IF(AND(O$3&gt;=$D9,O$3&lt;=$E9),IF((O$3-$D9+1)*VLOOKUP($A9,presupuesto!$B:$Q,16,FALSE)&gt;=VLOOKUP($A9,informe!$A:$J,9,FALSE),"cg","c"),"n")</f>
        <v>n</v>
      </c>
      <c r="P9" s="195" t="str">
        <f>IF(AND(P$3&gt;=$D9,P$3&lt;=$E9),IF((P$3-$D9+1)*VLOOKUP($A9,presupuesto!$B:$Q,16,FALSE)&gt;=VLOOKUP($A9,informe!$A:$J,9,FALSE),"cg","c"),"n")</f>
        <v>n</v>
      </c>
      <c r="Q9" s="195" t="str">
        <f>IF(AND(Q$3&gt;=$D9,Q$3&lt;=$E9),IF((Q$3-$D9+1)*VLOOKUP($A9,presupuesto!$B:$Q,16,FALSE)&gt;=VLOOKUP($A9,informe!$A:$J,9,FALSE),"cg","c"),"n")</f>
        <v>n</v>
      </c>
      <c r="R9" s="195" t="str">
        <f>IF(AND(R$3&gt;=$D9,R$3&lt;=$E9),IF((R$3-$D9+1)*VLOOKUP($A9,presupuesto!$B:$Q,16,FALSE)&gt;=VLOOKUP($A9,informe!$A:$J,9,FALSE),"cg","c"),"n")</f>
        <v>n</v>
      </c>
      <c r="S9" s="195" t="str">
        <f>IF(AND(S$3&gt;=$D9,S$3&lt;=$E9),IF((S$3-$D9+1)*VLOOKUP($A9,presupuesto!$B:$Q,16,FALSE)&gt;=VLOOKUP($A9,informe!$A:$J,9,FALSE),"cg","c"),"n")</f>
        <v>n</v>
      </c>
      <c r="T9" s="195" t="str">
        <f>IF(AND(T$3&gt;=$D9,T$3&lt;=$E9),IF((T$3-$D9+1)*VLOOKUP($A9,presupuesto!$B:$Q,16,FALSE)&gt;=VLOOKUP($A9,informe!$A:$J,9,FALSE),"cg","c"),"n")</f>
        <v>n</v>
      </c>
      <c r="U9" s="195" t="str">
        <f>IF(AND(U$3&gt;=$D9,U$3&lt;=$E9),IF((U$3-$D9+1)*VLOOKUP($A9,presupuesto!$B:$Q,16,FALSE)&gt;=VLOOKUP($A9,informe!$A:$J,9,FALSE),"cg","c"),"n")</f>
        <v>n</v>
      </c>
      <c r="V9" s="195" t="str">
        <f>IF(AND(V$3&gt;=$D9,V$3&lt;=$E9),IF((V$3-$D9+1)*VLOOKUP($A9,presupuesto!$B:$Q,16,FALSE)&gt;=VLOOKUP($A9,informe!$A:$J,9,FALSE),"cg","c"),"n")</f>
        <v>n</v>
      </c>
      <c r="W9" s="195" t="str">
        <f>IF(AND(W$3&gt;=$D9,W$3&lt;=$E9),IF((W$3-$D9+1)*VLOOKUP($A9,presupuesto!$B:$Q,16,FALSE)&gt;=VLOOKUP($A9,informe!$A:$J,9,FALSE),"cg","c"),"n")</f>
        <v>n</v>
      </c>
      <c r="X9" s="195" t="str">
        <f>IF(AND(X$3&gt;=$D9,X$3&lt;=$E9),IF((X$3-$D9+1)*VLOOKUP($A9,presupuesto!$B:$Q,16,FALSE)&gt;=VLOOKUP($A9,informe!$A:$J,9,FALSE),"cg","c"),"n")</f>
        <v>n</v>
      </c>
      <c r="Y9" s="195" t="str">
        <f>IF(AND(Y$3&gt;=$D9,Y$3&lt;=$E9),IF((Y$3-$D9+1)*VLOOKUP($A9,presupuesto!$B:$Q,16,FALSE)&gt;=VLOOKUP($A9,informe!$A:$J,9,FALSE),"cg","c"),"n")</f>
        <v>n</v>
      </c>
      <c r="Z9" s="195" t="str">
        <f>IF(AND(Z$3&gt;=$D9,Z$3&lt;=$E9),IF((Z$3-$D9+1)*VLOOKUP($A9,presupuesto!$B:$Q,16,FALSE)&gt;=VLOOKUP($A9,informe!$A:$J,9,FALSE),"cg","c"),"n")</f>
        <v>n</v>
      </c>
      <c r="AA9" s="195" t="str">
        <f>IF(AND(AA$3&gt;=$D9,AA$3&lt;=$E9),IF((AA$3-$D9+1)*VLOOKUP($A9,presupuesto!$B:$Q,16,FALSE)&gt;=VLOOKUP($A9,informe!$A:$J,9,FALSE),"cg","c"),"n")</f>
        <v>n</v>
      </c>
      <c r="AB9" s="195" t="str">
        <f>IF(AND(AB$3&gt;=$D9,AB$3&lt;=$E9),IF((AB$3-$D9+1)*VLOOKUP($A9,presupuesto!$B:$Q,16,FALSE)&gt;=VLOOKUP($A9,informe!$A:$J,9,FALSE),"cg","c"),"n")</f>
        <v>n</v>
      </c>
      <c r="AC9" s="195" t="str">
        <f>IF(AND(AC$3&gt;=$D9,AC$3&lt;=$E9),IF((AC$3-$D9+1)*VLOOKUP($A9,presupuesto!$B:$Q,16,FALSE)&gt;=VLOOKUP($A9,informe!$A:$J,9,FALSE),"cg","c"),"n")</f>
        <v>n</v>
      </c>
      <c r="AD9" s="195" t="str">
        <f>IF(AND(AD$3&gt;=$D9,AD$3&lt;=$E9),IF((AD$3-$D9+1)*VLOOKUP($A9,presupuesto!$B:$Q,16,FALSE)&gt;=VLOOKUP($A9,informe!$A:$J,9,FALSE),"cg","c"),"n")</f>
        <v>n</v>
      </c>
      <c r="AE9" s="195" t="str">
        <f>IF(AND(AE$3&gt;=$D9,AE$3&lt;=$E9),IF((AE$3-$D9+1)*VLOOKUP($A9,presupuesto!$B:$Q,16,FALSE)&gt;=VLOOKUP($A9,informe!$A:$J,9,FALSE),"cg","c"),"n")</f>
        <v>n</v>
      </c>
      <c r="AF9" s="195" t="str">
        <f>IF(AND(AF$3&gt;=$D9,AF$3&lt;=$E9),IF((AF$3-$D9+1)*VLOOKUP($A9,presupuesto!$B:$Q,16,FALSE)&gt;=VLOOKUP($A9,informe!$A:$J,9,FALSE),"cg","c"),"n")</f>
        <v>n</v>
      </c>
      <c r="AG9" s="195" t="str">
        <f>IF(AND(AG$3&gt;=$D9,AG$3&lt;=$E9),IF((AG$3-$D9+1)*VLOOKUP($A9,presupuesto!$B:$Q,16,FALSE)&gt;=VLOOKUP($A9,informe!$A:$J,9,FALSE),"cg","c"),"n")</f>
        <v>n</v>
      </c>
      <c r="AH9" s="195" t="str">
        <f>IF(AND(AH$3&gt;=$D9,AH$3&lt;=$E9),IF((AH$3-$D9+1)*VLOOKUP($A9,presupuesto!$B:$Q,16,FALSE)&gt;=VLOOKUP($A9,informe!$A:$J,9,FALSE),"cg","c"),"n")</f>
        <v>n</v>
      </c>
      <c r="AI9" s="195" t="str">
        <f>IF(AND(AI$3&gt;=$D9,AI$3&lt;=$E9),IF((AI$3-$D9+1)*VLOOKUP($A9,presupuesto!$B:$Q,16,FALSE)&gt;=VLOOKUP($A9,informe!$A:$J,9,FALSE),"cg","c"),"n")</f>
        <v>n</v>
      </c>
      <c r="AJ9" s="195" t="str">
        <f>IF(AND(AJ$3&gt;=$D9,AJ$3&lt;=$E9),IF((AJ$3-$D9+1)*VLOOKUP($A9,presupuesto!$B:$Q,16,FALSE)&gt;=VLOOKUP($A9,informe!$A:$J,9,FALSE),"cg","c"),"n")</f>
        <v>n</v>
      </c>
      <c r="AK9" s="196" t="str">
        <f>IF(AND(AK$3&gt;=$D9,AK$3&lt;=$E9),IF((AK$3-$D9+1)*VLOOKUP($A9,presupuesto!$B:$Q,16,FALSE)&gt;=VLOOKUP($A9,informe!$A:$J,9,FALSE),"cg","c"),"n")</f>
        <v>n</v>
      </c>
    </row>
    <row r="10" spans="1:37" s="1" customFormat="1" ht="15" customHeight="1" x14ac:dyDescent="0.25">
      <c r="A10" s="193">
        <f>presupuesto!B9</f>
        <v>2</v>
      </c>
      <c r="B10" s="182" t="str">
        <f>presupuesto!C9</f>
        <v xml:space="preserve">            Excavación para fundación</v>
      </c>
      <c r="C10" s="173" t="str">
        <f>presupuesto!G9</f>
        <v>4 días</v>
      </c>
      <c r="D10" s="176">
        <f>presupuesto!N9</f>
        <v>45727</v>
      </c>
      <c r="E10" s="176">
        <f>presupuesto!O9</f>
        <v>45730</v>
      </c>
      <c r="F10" s="194" t="str">
        <f>IF(AK10="n",CONCATENATE(" - "),IF(AK10="cg",CONCATENATE(" - "),CONCATENATE(ROUND(IFERROR(VLOOKUP(A10,informe!A:J,9,FALSE)/VLOOKUP(A10,informe!A:J,5,FALSE),0)*100,2),"% ")))</f>
        <v xml:space="preserve"> - </v>
      </c>
      <c r="G10" s="195" t="str">
        <f>IF(AND(G$3&gt;=$D10,G$3&lt;=$E10),IF((G$3-$D10+1)*VLOOKUP($A10,presupuesto!$B:$Q,16,FALSE)&gt;=VLOOKUP($A10,informe!$A:$J,9,FALSE),"cg","c"),"n")</f>
        <v>n</v>
      </c>
      <c r="H10" s="195" t="str">
        <f>IF(AND(H$3&gt;=$D10,H$3&lt;=$E10),IF((H$3-$D10+1)*VLOOKUP($A10,presupuesto!$B:$Q,16,FALSE)&gt;=VLOOKUP($A10,informe!$A:$J,9,FALSE),"cg","c"),"n")</f>
        <v>n</v>
      </c>
      <c r="I10" s="195" t="str">
        <f>IF(AND(I$3&gt;=$D10,I$3&lt;=$E10),IF((I$3-$D10+1)*VLOOKUP($A10,presupuesto!$B:$Q,16,FALSE)&gt;=VLOOKUP($A10,informe!$A:$J,9,FALSE),"cg","c"),"n")</f>
        <v>n</v>
      </c>
      <c r="J10" s="195" t="str">
        <f>IF(AND(J$3&gt;=$D10,J$3&lt;=$E10),IF((J$3-$D10+1)*VLOOKUP($A10,presupuesto!$B:$Q,16,FALSE)&gt;=VLOOKUP($A10,informe!$A:$J,9,FALSE),"cg","c"),"n")</f>
        <v>n</v>
      </c>
      <c r="K10" s="195" t="str">
        <f>IF(AND(K$3&gt;=$D10,K$3&lt;=$E10),IF((K$3-$D10+1)*VLOOKUP($A10,presupuesto!$B:$Q,16,FALSE)&gt;=VLOOKUP($A10,informe!$A:$J,9,FALSE),"cg","c"),"n")</f>
        <v>n</v>
      </c>
      <c r="L10" s="195" t="str">
        <f>IF(AND(L$3&gt;=$D10,L$3&lt;=$E10),IF((L$3-$D10+1)*VLOOKUP($A10,presupuesto!$B:$Q,16,FALSE)&gt;=VLOOKUP($A10,informe!$A:$J,9,FALSE),"cg","c"),"n")</f>
        <v>n</v>
      </c>
      <c r="M10" s="195" t="str">
        <f>IF(AND(M$3&gt;=$D10,M$3&lt;=$E10),IF((M$3-$D10+1)*VLOOKUP($A10,presupuesto!$B:$Q,16,FALSE)&gt;=VLOOKUP($A10,informe!$A:$J,9,FALSE),"cg","c"),"n")</f>
        <v>n</v>
      </c>
      <c r="N10" s="195" t="str">
        <f>IF(AND(N$3&gt;=$D10,N$3&lt;=$E10),IF((N$3-$D10+1)*VLOOKUP($A10,presupuesto!$B:$Q,16,FALSE)&gt;=VLOOKUP($A10,informe!$A:$J,9,FALSE),"cg","c"),"n")</f>
        <v>n</v>
      </c>
      <c r="O10" s="195" t="str">
        <f>IF(AND(O$3&gt;=$D10,O$3&lt;=$E10),IF((O$3-$D10+1)*VLOOKUP($A10,presupuesto!$B:$Q,16,FALSE)&gt;=VLOOKUP($A10,informe!$A:$J,9,FALSE),"cg","c"),"n")</f>
        <v>n</v>
      </c>
      <c r="P10" s="195" t="str">
        <f>IF(AND(P$3&gt;=$D10,P$3&lt;=$E10),IF((P$3-$D10+1)*VLOOKUP($A10,presupuesto!$B:$Q,16,FALSE)&gt;=VLOOKUP($A10,informe!$A:$J,9,FALSE),"cg","c"),"n")</f>
        <v>n</v>
      </c>
      <c r="Q10" s="195" t="str">
        <f>IF(AND(Q$3&gt;=$D10,Q$3&lt;=$E10),IF((Q$3-$D10+1)*VLOOKUP($A10,presupuesto!$B:$Q,16,FALSE)&gt;=VLOOKUP($A10,informe!$A:$J,9,FALSE),"cg","c"),"n")</f>
        <v>n</v>
      </c>
      <c r="R10" s="195" t="str">
        <f>IF(AND(R$3&gt;=$D10,R$3&lt;=$E10),IF((R$3-$D10+1)*VLOOKUP($A10,presupuesto!$B:$Q,16,FALSE)&gt;=VLOOKUP($A10,informe!$A:$J,9,FALSE),"cg","c"),"n")</f>
        <v>n</v>
      </c>
      <c r="S10" s="195" t="str">
        <f>IF(AND(S$3&gt;=$D10,S$3&lt;=$E10),IF((S$3-$D10+1)*VLOOKUP($A10,presupuesto!$B:$Q,16,FALSE)&gt;=VLOOKUP($A10,informe!$A:$J,9,FALSE),"cg","c"),"n")</f>
        <v>n</v>
      </c>
      <c r="T10" s="195" t="str">
        <f>IF(AND(T$3&gt;=$D10,T$3&lt;=$E10),IF((T$3-$D10+1)*VLOOKUP($A10,presupuesto!$B:$Q,16,FALSE)&gt;=VLOOKUP($A10,informe!$A:$J,9,FALSE),"cg","c"),"n")</f>
        <v>n</v>
      </c>
      <c r="U10" s="195" t="str">
        <f>IF(AND(U$3&gt;=$D10,U$3&lt;=$E10),IF((U$3-$D10+1)*VLOOKUP($A10,presupuesto!$B:$Q,16,FALSE)&gt;=VLOOKUP($A10,informe!$A:$J,9,FALSE),"cg","c"),"n")</f>
        <v>n</v>
      </c>
      <c r="V10" s="195" t="str">
        <f>IF(AND(V$3&gt;=$D10,V$3&lt;=$E10),IF((V$3-$D10+1)*VLOOKUP($A10,presupuesto!$B:$Q,16,FALSE)&gt;=VLOOKUP($A10,informe!$A:$J,9,FALSE),"cg","c"),"n")</f>
        <v>n</v>
      </c>
      <c r="W10" s="195" t="str">
        <f>IF(AND(W$3&gt;=$D10,W$3&lt;=$E10),IF((W$3-$D10+1)*VLOOKUP($A10,presupuesto!$B:$Q,16,FALSE)&gt;=VLOOKUP($A10,informe!$A:$J,9,FALSE),"cg","c"),"n")</f>
        <v>n</v>
      </c>
      <c r="X10" s="195" t="str">
        <f>IF(AND(X$3&gt;=$D10,X$3&lt;=$E10),IF((X$3-$D10+1)*VLOOKUP($A10,presupuesto!$B:$Q,16,FALSE)&gt;=VLOOKUP($A10,informe!$A:$J,9,FALSE),"cg","c"),"n")</f>
        <v>n</v>
      </c>
      <c r="Y10" s="195" t="str">
        <f>IF(AND(Y$3&gt;=$D10,Y$3&lt;=$E10),IF((Y$3-$D10+1)*VLOOKUP($A10,presupuesto!$B:$Q,16,FALSE)&gt;=VLOOKUP($A10,informe!$A:$J,9,FALSE),"cg","c"),"n")</f>
        <v>n</v>
      </c>
      <c r="Z10" s="195" t="str">
        <f>IF(AND(Z$3&gt;=$D10,Z$3&lt;=$E10),IF((Z$3-$D10+1)*VLOOKUP($A10,presupuesto!$B:$Q,16,FALSE)&gt;=VLOOKUP($A10,informe!$A:$J,9,FALSE),"cg","c"),"n")</f>
        <v>n</v>
      </c>
      <c r="AA10" s="195" t="str">
        <f>IF(AND(AA$3&gt;=$D10,AA$3&lt;=$E10),IF((AA$3-$D10+1)*VLOOKUP($A10,presupuesto!$B:$Q,16,FALSE)&gt;=VLOOKUP($A10,informe!$A:$J,9,FALSE),"cg","c"),"n")</f>
        <v>n</v>
      </c>
      <c r="AB10" s="195" t="str">
        <f>IF(AND(AB$3&gt;=$D10,AB$3&lt;=$E10),IF((AB$3-$D10+1)*VLOOKUP($A10,presupuesto!$B:$Q,16,FALSE)&gt;=VLOOKUP($A10,informe!$A:$J,9,FALSE),"cg","c"),"n")</f>
        <v>n</v>
      </c>
      <c r="AC10" s="195" t="str">
        <f>IF(AND(AC$3&gt;=$D10,AC$3&lt;=$E10),IF((AC$3-$D10+1)*VLOOKUP($A10,presupuesto!$B:$Q,16,FALSE)&gt;=VLOOKUP($A10,informe!$A:$J,9,FALSE),"cg","c"),"n")</f>
        <v>n</v>
      </c>
      <c r="AD10" s="195" t="str">
        <f>IF(AND(AD$3&gt;=$D10,AD$3&lt;=$E10),IF((AD$3-$D10+1)*VLOOKUP($A10,presupuesto!$B:$Q,16,FALSE)&gt;=VLOOKUP($A10,informe!$A:$J,9,FALSE),"cg","c"),"n")</f>
        <v>n</v>
      </c>
      <c r="AE10" s="195" t="str">
        <f>IF(AND(AE$3&gt;=$D10,AE$3&lt;=$E10),IF((AE$3-$D10+1)*VLOOKUP($A10,presupuesto!$B:$Q,16,FALSE)&gt;=VLOOKUP($A10,informe!$A:$J,9,FALSE),"cg","c"),"n")</f>
        <v>n</v>
      </c>
      <c r="AF10" s="195" t="str">
        <f>IF(AND(AF$3&gt;=$D10,AF$3&lt;=$E10),IF((AF$3-$D10+1)*VLOOKUP($A10,presupuesto!$B:$Q,16,FALSE)&gt;=VLOOKUP($A10,informe!$A:$J,9,FALSE),"cg","c"),"n")</f>
        <v>n</v>
      </c>
      <c r="AG10" s="195" t="str">
        <f>IF(AND(AG$3&gt;=$D10,AG$3&lt;=$E10),IF((AG$3-$D10+1)*VLOOKUP($A10,presupuesto!$B:$Q,16,FALSE)&gt;=VLOOKUP($A10,informe!$A:$J,9,FALSE),"cg","c"),"n")</f>
        <v>n</v>
      </c>
      <c r="AH10" s="195" t="str">
        <f>IF(AND(AH$3&gt;=$D10,AH$3&lt;=$E10),IF((AH$3-$D10+1)*VLOOKUP($A10,presupuesto!$B:$Q,16,FALSE)&gt;=VLOOKUP($A10,informe!$A:$J,9,FALSE),"cg","c"),"n")</f>
        <v>n</v>
      </c>
      <c r="AI10" s="195" t="str">
        <f>IF(AND(AI$3&gt;=$D10,AI$3&lt;=$E10),IF((AI$3-$D10+1)*VLOOKUP($A10,presupuesto!$B:$Q,16,FALSE)&gt;=VLOOKUP($A10,informe!$A:$J,9,FALSE),"cg","c"),"n")</f>
        <v>n</v>
      </c>
      <c r="AJ10" s="195" t="str">
        <f>IF(AND(AJ$3&gt;=$D10,AJ$3&lt;=$E10),IF((AJ$3-$D10+1)*VLOOKUP($A10,presupuesto!$B:$Q,16,FALSE)&gt;=VLOOKUP($A10,informe!$A:$J,9,FALSE),"cg","c"),"n")</f>
        <v>n</v>
      </c>
      <c r="AK10" s="196" t="str">
        <f>IF(AND(AK$3&gt;=$D10,AK$3&lt;=$E10),IF((AK$3-$D10+1)*VLOOKUP($A10,presupuesto!$B:$Q,16,FALSE)&gt;=VLOOKUP($A10,informe!$A:$J,9,FALSE),"cg","c"),"n")</f>
        <v>n</v>
      </c>
    </row>
    <row r="11" spans="1:37" s="1" customFormat="1" ht="15" customHeight="1" x14ac:dyDescent="0.25">
      <c r="A11" s="193">
        <f>presupuesto!B10</f>
        <v>3</v>
      </c>
      <c r="B11" s="182" t="str">
        <f>presupuesto!C10</f>
        <v xml:space="preserve">            Relleno de Excavaciones</v>
      </c>
      <c r="C11" s="173" t="str">
        <f>presupuesto!G10</f>
        <v>2 días</v>
      </c>
      <c r="D11" s="176">
        <f>presupuesto!N10</f>
        <v>45731</v>
      </c>
      <c r="E11" s="176">
        <f>presupuesto!O10</f>
        <v>45732</v>
      </c>
      <c r="F11" s="194" t="str">
        <f>IF(AK11="n",CONCATENATE(" - "),IF(AK11="cg",CONCATENATE(" - "),CONCATENATE(ROUND(IFERROR(VLOOKUP(A11,informe!A:J,9,FALSE)/VLOOKUP(A11,informe!A:J,5,FALSE),0)*100,2),"% ")))</f>
        <v xml:space="preserve"> - </v>
      </c>
      <c r="G11" s="195" t="str">
        <f>IF(AND(G$3&gt;=$D11,G$3&lt;=$E11),IF((G$3-$D11+1)*VLOOKUP($A11,presupuesto!$B:$Q,16,FALSE)&gt;=VLOOKUP($A11,informe!$A:$J,9,FALSE),"cg","c"),"n")</f>
        <v>n</v>
      </c>
      <c r="H11" s="195" t="str">
        <f>IF(AND(H$3&gt;=$D11,H$3&lt;=$E11),IF((H$3-$D11+1)*VLOOKUP($A11,presupuesto!$B:$Q,16,FALSE)&gt;=VLOOKUP($A11,informe!$A:$J,9,FALSE),"cg","c"),"n")</f>
        <v>n</v>
      </c>
      <c r="I11" s="195" t="str">
        <f>IF(AND(I$3&gt;=$D11,I$3&lt;=$E11),IF((I$3-$D11+1)*VLOOKUP($A11,presupuesto!$B:$Q,16,FALSE)&gt;=VLOOKUP($A11,informe!$A:$J,9,FALSE),"cg","c"),"n")</f>
        <v>n</v>
      </c>
      <c r="J11" s="195" t="str">
        <f>IF(AND(J$3&gt;=$D11,J$3&lt;=$E11),IF((J$3-$D11+1)*VLOOKUP($A11,presupuesto!$B:$Q,16,FALSE)&gt;=VLOOKUP($A11,informe!$A:$J,9,FALSE),"cg","c"),"n")</f>
        <v>n</v>
      </c>
      <c r="K11" s="195" t="str">
        <f>IF(AND(K$3&gt;=$D11,K$3&lt;=$E11),IF((K$3-$D11+1)*VLOOKUP($A11,presupuesto!$B:$Q,16,FALSE)&gt;=VLOOKUP($A11,informe!$A:$J,9,FALSE),"cg","c"),"n")</f>
        <v>n</v>
      </c>
      <c r="L11" s="195" t="str">
        <f>IF(AND(L$3&gt;=$D11,L$3&lt;=$E11),IF((L$3-$D11+1)*VLOOKUP($A11,presupuesto!$B:$Q,16,FALSE)&gt;=VLOOKUP($A11,informe!$A:$J,9,FALSE),"cg","c"),"n")</f>
        <v>n</v>
      </c>
      <c r="M11" s="195" t="str">
        <f>IF(AND(M$3&gt;=$D11,M$3&lt;=$E11),IF((M$3-$D11+1)*VLOOKUP($A11,presupuesto!$B:$Q,16,FALSE)&gt;=VLOOKUP($A11,informe!$A:$J,9,FALSE),"cg","c"),"n")</f>
        <v>n</v>
      </c>
      <c r="N11" s="195" t="str">
        <f>IF(AND(N$3&gt;=$D11,N$3&lt;=$E11),IF((N$3-$D11+1)*VLOOKUP($A11,presupuesto!$B:$Q,16,FALSE)&gt;=VLOOKUP($A11,informe!$A:$J,9,FALSE),"cg","c"),"n")</f>
        <v>n</v>
      </c>
      <c r="O11" s="195" t="str">
        <f>IF(AND(O$3&gt;=$D11,O$3&lt;=$E11),IF((O$3-$D11+1)*VLOOKUP($A11,presupuesto!$B:$Q,16,FALSE)&gt;=VLOOKUP($A11,informe!$A:$J,9,FALSE),"cg","c"),"n")</f>
        <v>n</v>
      </c>
      <c r="P11" s="195" t="str">
        <f>IF(AND(P$3&gt;=$D11,P$3&lt;=$E11),IF((P$3-$D11+1)*VLOOKUP($A11,presupuesto!$B:$Q,16,FALSE)&gt;=VLOOKUP($A11,informe!$A:$J,9,FALSE),"cg","c"),"n")</f>
        <v>n</v>
      </c>
      <c r="Q11" s="195" t="str">
        <f>IF(AND(Q$3&gt;=$D11,Q$3&lt;=$E11),IF((Q$3-$D11+1)*VLOOKUP($A11,presupuesto!$B:$Q,16,FALSE)&gt;=VLOOKUP($A11,informe!$A:$J,9,FALSE),"cg","c"),"n")</f>
        <v>n</v>
      </c>
      <c r="R11" s="195" t="str">
        <f>IF(AND(R$3&gt;=$D11,R$3&lt;=$E11),IF((R$3-$D11+1)*VLOOKUP($A11,presupuesto!$B:$Q,16,FALSE)&gt;=VLOOKUP($A11,informe!$A:$J,9,FALSE),"cg","c"),"n")</f>
        <v>n</v>
      </c>
      <c r="S11" s="195" t="str">
        <f>IF(AND(S$3&gt;=$D11,S$3&lt;=$E11),IF((S$3-$D11+1)*VLOOKUP($A11,presupuesto!$B:$Q,16,FALSE)&gt;=VLOOKUP($A11,informe!$A:$J,9,FALSE),"cg","c"),"n")</f>
        <v>n</v>
      </c>
      <c r="T11" s="195" t="str">
        <f>IF(AND(T$3&gt;=$D11,T$3&lt;=$E11),IF((T$3-$D11+1)*VLOOKUP($A11,presupuesto!$B:$Q,16,FALSE)&gt;=VLOOKUP($A11,informe!$A:$J,9,FALSE),"cg","c"),"n")</f>
        <v>n</v>
      </c>
      <c r="U11" s="195" t="str">
        <f>IF(AND(U$3&gt;=$D11,U$3&lt;=$E11),IF((U$3-$D11+1)*VLOOKUP($A11,presupuesto!$B:$Q,16,FALSE)&gt;=VLOOKUP($A11,informe!$A:$J,9,FALSE),"cg","c"),"n")</f>
        <v>n</v>
      </c>
      <c r="V11" s="195" t="str">
        <f>IF(AND(V$3&gt;=$D11,V$3&lt;=$E11),IF((V$3-$D11+1)*VLOOKUP($A11,presupuesto!$B:$Q,16,FALSE)&gt;=VLOOKUP($A11,informe!$A:$J,9,FALSE),"cg","c"),"n")</f>
        <v>n</v>
      </c>
      <c r="W11" s="195" t="str">
        <f>IF(AND(W$3&gt;=$D11,W$3&lt;=$E11),IF((W$3-$D11+1)*VLOOKUP($A11,presupuesto!$B:$Q,16,FALSE)&gt;=VLOOKUP($A11,informe!$A:$J,9,FALSE),"cg","c"),"n")</f>
        <v>n</v>
      </c>
      <c r="X11" s="195" t="str">
        <f>IF(AND(X$3&gt;=$D11,X$3&lt;=$E11),IF((X$3-$D11+1)*VLOOKUP($A11,presupuesto!$B:$Q,16,FALSE)&gt;=VLOOKUP($A11,informe!$A:$J,9,FALSE),"cg","c"),"n")</f>
        <v>n</v>
      </c>
      <c r="Y11" s="195" t="str">
        <f>IF(AND(Y$3&gt;=$D11,Y$3&lt;=$E11),IF((Y$3-$D11+1)*VLOOKUP($A11,presupuesto!$B:$Q,16,FALSE)&gt;=VLOOKUP($A11,informe!$A:$J,9,FALSE),"cg","c"),"n")</f>
        <v>n</v>
      </c>
      <c r="Z11" s="195" t="str">
        <f>IF(AND(Z$3&gt;=$D11,Z$3&lt;=$E11),IF((Z$3-$D11+1)*VLOOKUP($A11,presupuesto!$B:$Q,16,FALSE)&gt;=VLOOKUP($A11,informe!$A:$J,9,FALSE),"cg","c"),"n")</f>
        <v>n</v>
      </c>
      <c r="AA11" s="195" t="str">
        <f>IF(AND(AA$3&gt;=$D11,AA$3&lt;=$E11),IF((AA$3-$D11+1)*VLOOKUP($A11,presupuesto!$B:$Q,16,FALSE)&gt;=VLOOKUP($A11,informe!$A:$J,9,FALSE),"cg","c"),"n")</f>
        <v>n</v>
      </c>
      <c r="AB11" s="195" t="str">
        <f>IF(AND(AB$3&gt;=$D11,AB$3&lt;=$E11),IF((AB$3-$D11+1)*VLOOKUP($A11,presupuesto!$B:$Q,16,FALSE)&gt;=VLOOKUP($A11,informe!$A:$J,9,FALSE),"cg","c"),"n")</f>
        <v>n</v>
      </c>
      <c r="AC11" s="195" t="str">
        <f>IF(AND(AC$3&gt;=$D11,AC$3&lt;=$E11),IF((AC$3-$D11+1)*VLOOKUP($A11,presupuesto!$B:$Q,16,FALSE)&gt;=VLOOKUP($A11,informe!$A:$J,9,FALSE),"cg","c"),"n")</f>
        <v>n</v>
      </c>
      <c r="AD11" s="195" t="str">
        <f>IF(AND(AD$3&gt;=$D11,AD$3&lt;=$E11),IF((AD$3-$D11+1)*VLOOKUP($A11,presupuesto!$B:$Q,16,FALSE)&gt;=VLOOKUP($A11,informe!$A:$J,9,FALSE),"cg","c"),"n")</f>
        <v>n</v>
      </c>
      <c r="AE11" s="195" t="str">
        <f>IF(AND(AE$3&gt;=$D11,AE$3&lt;=$E11),IF((AE$3-$D11+1)*VLOOKUP($A11,presupuesto!$B:$Q,16,FALSE)&gt;=VLOOKUP($A11,informe!$A:$J,9,FALSE),"cg","c"),"n")</f>
        <v>n</v>
      </c>
      <c r="AF11" s="195" t="str">
        <f>IF(AND(AF$3&gt;=$D11,AF$3&lt;=$E11),IF((AF$3-$D11+1)*VLOOKUP($A11,presupuesto!$B:$Q,16,FALSE)&gt;=VLOOKUP($A11,informe!$A:$J,9,FALSE),"cg","c"),"n")</f>
        <v>n</v>
      </c>
      <c r="AG11" s="195" t="str">
        <f>IF(AND(AG$3&gt;=$D11,AG$3&lt;=$E11),IF((AG$3-$D11+1)*VLOOKUP($A11,presupuesto!$B:$Q,16,FALSE)&gt;=VLOOKUP($A11,informe!$A:$J,9,FALSE),"cg","c"),"n")</f>
        <v>n</v>
      </c>
      <c r="AH11" s="195" t="str">
        <f>IF(AND(AH$3&gt;=$D11,AH$3&lt;=$E11),IF((AH$3-$D11+1)*VLOOKUP($A11,presupuesto!$B:$Q,16,FALSE)&gt;=VLOOKUP($A11,informe!$A:$J,9,FALSE),"cg","c"),"n")</f>
        <v>n</v>
      </c>
      <c r="AI11" s="195" t="str">
        <f>IF(AND(AI$3&gt;=$D11,AI$3&lt;=$E11),IF((AI$3-$D11+1)*VLOOKUP($A11,presupuesto!$B:$Q,16,FALSE)&gt;=VLOOKUP($A11,informe!$A:$J,9,FALSE),"cg","c"),"n")</f>
        <v>n</v>
      </c>
      <c r="AJ11" s="195" t="str">
        <f>IF(AND(AJ$3&gt;=$D11,AJ$3&lt;=$E11),IF((AJ$3-$D11+1)*VLOOKUP($A11,presupuesto!$B:$Q,16,FALSE)&gt;=VLOOKUP($A11,informe!$A:$J,9,FALSE),"cg","c"),"n")</f>
        <v>n</v>
      </c>
      <c r="AK11" s="196" t="str">
        <f>IF(AND(AK$3&gt;=$D11,AK$3&lt;=$E11),IF((AK$3-$D11+1)*VLOOKUP($A11,presupuesto!$B:$Q,16,FALSE)&gt;=VLOOKUP($A11,informe!$A:$J,9,FALSE),"cg","c"),"n")</f>
        <v>n</v>
      </c>
    </row>
    <row r="12" spans="1:37" s="1" customFormat="1" ht="15" customHeight="1" x14ac:dyDescent="0.25">
      <c r="A12" s="197">
        <f>presupuesto!B11</f>
        <v>4</v>
      </c>
      <c r="B12" s="182" t="str">
        <f>presupuesto!C11</f>
        <v xml:space="preserve">            Retiro de excedentes</v>
      </c>
      <c r="C12" s="174" t="str">
        <f>presupuesto!G11</f>
        <v>2 días</v>
      </c>
      <c r="D12" s="177">
        <f>presupuesto!N11</f>
        <v>45731</v>
      </c>
      <c r="E12" s="177">
        <f>presupuesto!O11</f>
        <v>45732</v>
      </c>
      <c r="F12" s="194" t="str">
        <f>IF(AK12="n",CONCATENATE(" - "),IF(AK12="cg",CONCATENATE(" - "),CONCATENATE(ROUND(IFERROR(VLOOKUP(A12,informe!A:J,9,FALSE)/VLOOKUP(A12,informe!A:J,5,FALSE),0)*100,2),"% ")))</f>
        <v xml:space="preserve"> - </v>
      </c>
      <c r="G12" s="195" t="str">
        <f>IF(AND(G$3&gt;=$D12,G$3&lt;=$E12),IF((G$3-$D12+1)*VLOOKUP($A12,presupuesto!$B:$Q,16,FALSE)&gt;=VLOOKUP($A12,informe!$A:$J,9,FALSE),"cg","c"),"n")</f>
        <v>n</v>
      </c>
      <c r="H12" s="195" t="str">
        <f>IF(AND(H$3&gt;=$D12,H$3&lt;=$E12),IF((H$3-$D12+1)*VLOOKUP($A12,presupuesto!$B:$Q,16,FALSE)&gt;=VLOOKUP($A12,informe!$A:$J,9,FALSE),"cg","c"),"n")</f>
        <v>n</v>
      </c>
      <c r="I12" s="195" t="str">
        <f>IF(AND(I$3&gt;=$D12,I$3&lt;=$E12),IF((I$3-$D12+1)*VLOOKUP($A12,presupuesto!$B:$Q,16,FALSE)&gt;=VLOOKUP($A12,informe!$A:$J,9,FALSE),"cg","c"),"n")</f>
        <v>n</v>
      </c>
      <c r="J12" s="195" t="str">
        <f>IF(AND(J$3&gt;=$D12,J$3&lt;=$E12),IF((J$3-$D12+1)*VLOOKUP($A12,presupuesto!$B:$Q,16,FALSE)&gt;=VLOOKUP($A12,informe!$A:$J,9,FALSE),"cg","c"),"n")</f>
        <v>n</v>
      </c>
      <c r="K12" s="195" t="str">
        <f>IF(AND(K$3&gt;=$D12,K$3&lt;=$E12),IF((K$3-$D12+1)*VLOOKUP($A12,presupuesto!$B:$Q,16,FALSE)&gt;=VLOOKUP($A12,informe!$A:$J,9,FALSE),"cg","c"),"n")</f>
        <v>n</v>
      </c>
      <c r="L12" s="195" t="str">
        <f>IF(AND(L$3&gt;=$D12,L$3&lt;=$E12),IF((L$3-$D12+1)*VLOOKUP($A12,presupuesto!$B:$Q,16,FALSE)&gt;=VLOOKUP($A12,informe!$A:$J,9,FALSE),"cg","c"),"n")</f>
        <v>n</v>
      </c>
      <c r="M12" s="195" t="str">
        <f>IF(AND(M$3&gt;=$D12,M$3&lt;=$E12),IF((M$3-$D12+1)*VLOOKUP($A12,presupuesto!$B:$Q,16,FALSE)&gt;=VLOOKUP($A12,informe!$A:$J,9,FALSE),"cg","c"),"n")</f>
        <v>n</v>
      </c>
      <c r="N12" s="195" t="str">
        <f>IF(AND(N$3&gt;=$D12,N$3&lt;=$E12),IF((N$3-$D12+1)*VLOOKUP($A12,presupuesto!$B:$Q,16,FALSE)&gt;=VLOOKUP($A12,informe!$A:$J,9,FALSE),"cg","c"),"n")</f>
        <v>n</v>
      </c>
      <c r="O12" s="195" t="str">
        <f>IF(AND(O$3&gt;=$D12,O$3&lt;=$E12),IF((O$3-$D12+1)*VLOOKUP($A12,presupuesto!$B:$Q,16,FALSE)&gt;=VLOOKUP($A12,informe!$A:$J,9,FALSE),"cg","c"),"n")</f>
        <v>n</v>
      </c>
      <c r="P12" s="195" t="str">
        <f>IF(AND(P$3&gt;=$D12,P$3&lt;=$E12),IF((P$3-$D12+1)*VLOOKUP($A12,presupuesto!$B:$Q,16,FALSE)&gt;=VLOOKUP($A12,informe!$A:$J,9,FALSE),"cg","c"),"n")</f>
        <v>n</v>
      </c>
      <c r="Q12" s="195" t="str">
        <f>IF(AND(Q$3&gt;=$D12,Q$3&lt;=$E12),IF((Q$3-$D12+1)*VLOOKUP($A12,presupuesto!$B:$Q,16,FALSE)&gt;=VLOOKUP($A12,informe!$A:$J,9,FALSE),"cg","c"),"n")</f>
        <v>n</v>
      </c>
      <c r="R12" s="195" t="str">
        <f>IF(AND(R$3&gt;=$D12,R$3&lt;=$E12),IF((R$3-$D12+1)*VLOOKUP($A12,presupuesto!$B:$Q,16,FALSE)&gt;=VLOOKUP($A12,informe!$A:$J,9,FALSE),"cg","c"),"n")</f>
        <v>n</v>
      </c>
      <c r="S12" s="195" t="str">
        <f>IF(AND(S$3&gt;=$D12,S$3&lt;=$E12),IF((S$3-$D12+1)*VLOOKUP($A12,presupuesto!$B:$Q,16,FALSE)&gt;=VLOOKUP($A12,informe!$A:$J,9,FALSE),"cg","c"),"n")</f>
        <v>n</v>
      </c>
      <c r="T12" s="195" t="str">
        <f>IF(AND(T$3&gt;=$D12,T$3&lt;=$E12),IF((T$3-$D12+1)*VLOOKUP($A12,presupuesto!$B:$Q,16,FALSE)&gt;=VLOOKUP($A12,informe!$A:$J,9,FALSE),"cg","c"),"n")</f>
        <v>n</v>
      </c>
      <c r="U12" s="195" t="str">
        <f>IF(AND(U$3&gt;=$D12,U$3&lt;=$E12),IF((U$3-$D12+1)*VLOOKUP($A12,presupuesto!$B:$Q,16,FALSE)&gt;=VLOOKUP($A12,informe!$A:$J,9,FALSE),"cg","c"),"n")</f>
        <v>n</v>
      </c>
      <c r="V12" s="195" t="str">
        <f>IF(AND(V$3&gt;=$D12,V$3&lt;=$E12),IF((V$3-$D12+1)*VLOOKUP($A12,presupuesto!$B:$Q,16,FALSE)&gt;=VLOOKUP($A12,informe!$A:$J,9,FALSE),"cg","c"),"n")</f>
        <v>n</v>
      </c>
      <c r="W12" s="195" t="str">
        <f>IF(AND(W$3&gt;=$D12,W$3&lt;=$E12),IF((W$3-$D12+1)*VLOOKUP($A12,presupuesto!$B:$Q,16,FALSE)&gt;=VLOOKUP($A12,informe!$A:$J,9,FALSE),"cg","c"),"n")</f>
        <v>n</v>
      </c>
      <c r="X12" s="195" t="str">
        <f>IF(AND(X$3&gt;=$D12,X$3&lt;=$E12),IF((X$3-$D12+1)*VLOOKUP($A12,presupuesto!$B:$Q,16,FALSE)&gt;=VLOOKUP($A12,informe!$A:$J,9,FALSE),"cg","c"),"n")</f>
        <v>n</v>
      </c>
      <c r="Y12" s="195" t="str">
        <f>IF(AND(Y$3&gt;=$D12,Y$3&lt;=$E12),IF((Y$3-$D12+1)*VLOOKUP($A12,presupuesto!$B:$Q,16,FALSE)&gt;=VLOOKUP($A12,informe!$A:$J,9,FALSE),"cg","c"),"n")</f>
        <v>n</v>
      </c>
      <c r="Z12" s="195" t="str">
        <f>IF(AND(Z$3&gt;=$D12,Z$3&lt;=$E12),IF((Z$3-$D12+1)*VLOOKUP($A12,presupuesto!$B:$Q,16,FALSE)&gt;=VLOOKUP($A12,informe!$A:$J,9,FALSE),"cg","c"),"n")</f>
        <v>n</v>
      </c>
      <c r="AA12" s="195" t="str">
        <f>IF(AND(AA$3&gt;=$D12,AA$3&lt;=$E12),IF((AA$3-$D12+1)*VLOOKUP($A12,presupuesto!$B:$Q,16,FALSE)&gt;=VLOOKUP($A12,informe!$A:$J,9,FALSE),"cg","c"),"n")</f>
        <v>n</v>
      </c>
      <c r="AB12" s="195" t="str">
        <f>IF(AND(AB$3&gt;=$D12,AB$3&lt;=$E12),IF((AB$3-$D12+1)*VLOOKUP($A12,presupuesto!$B:$Q,16,FALSE)&gt;=VLOOKUP($A12,informe!$A:$J,9,FALSE),"cg","c"),"n")</f>
        <v>n</v>
      </c>
      <c r="AC12" s="195" t="str">
        <f>IF(AND(AC$3&gt;=$D12,AC$3&lt;=$E12),IF((AC$3-$D12+1)*VLOOKUP($A12,presupuesto!$B:$Q,16,FALSE)&gt;=VLOOKUP($A12,informe!$A:$J,9,FALSE),"cg","c"),"n")</f>
        <v>n</v>
      </c>
      <c r="AD12" s="195" t="str">
        <f>IF(AND(AD$3&gt;=$D12,AD$3&lt;=$E12),IF((AD$3-$D12+1)*VLOOKUP($A12,presupuesto!$B:$Q,16,FALSE)&gt;=VLOOKUP($A12,informe!$A:$J,9,FALSE),"cg","c"),"n")</f>
        <v>n</v>
      </c>
      <c r="AE12" s="195" t="str">
        <f>IF(AND(AE$3&gt;=$D12,AE$3&lt;=$E12),IF((AE$3-$D12+1)*VLOOKUP($A12,presupuesto!$B:$Q,16,FALSE)&gt;=VLOOKUP($A12,informe!$A:$J,9,FALSE),"cg","c"),"n")</f>
        <v>n</v>
      </c>
      <c r="AF12" s="195" t="str">
        <f>IF(AND(AF$3&gt;=$D12,AF$3&lt;=$E12),IF((AF$3-$D12+1)*VLOOKUP($A12,presupuesto!$B:$Q,16,FALSE)&gt;=VLOOKUP($A12,informe!$A:$J,9,FALSE),"cg","c"),"n")</f>
        <v>n</v>
      </c>
      <c r="AG12" s="195" t="str">
        <f>IF(AND(AG$3&gt;=$D12,AG$3&lt;=$E12),IF((AG$3-$D12+1)*VLOOKUP($A12,presupuesto!$B:$Q,16,FALSE)&gt;=VLOOKUP($A12,informe!$A:$J,9,FALSE),"cg","c"),"n")</f>
        <v>n</v>
      </c>
      <c r="AH12" s="195" t="str">
        <f>IF(AND(AH$3&gt;=$D12,AH$3&lt;=$E12),IF((AH$3-$D12+1)*VLOOKUP($A12,presupuesto!$B:$Q,16,FALSE)&gt;=VLOOKUP($A12,informe!$A:$J,9,FALSE),"cg","c"),"n")</f>
        <v>n</v>
      </c>
      <c r="AI12" s="195" t="str">
        <f>IF(AND(AI$3&gt;=$D12,AI$3&lt;=$E12),IF((AI$3-$D12+1)*VLOOKUP($A12,presupuesto!$B:$Q,16,FALSE)&gt;=VLOOKUP($A12,informe!$A:$J,9,FALSE),"cg","c"),"n")</f>
        <v>n</v>
      </c>
      <c r="AJ12" s="195" t="str">
        <f>IF(AND(AJ$3&gt;=$D12,AJ$3&lt;=$E12),IF((AJ$3-$D12+1)*VLOOKUP($A12,presupuesto!$B:$Q,16,FALSE)&gt;=VLOOKUP($A12,informe!$A:$J,9,FALSE),"cg","c"),"n")</f>
        <v>n</v>
      </c>
      <c r="AK12" s="196" t="str">
        <f>IF(AND(AK$3&gt;=$D12,AK$3&lt;=$E12),IF((AK$3-$D12+1)*VLOOKUP($A12,presupuesto!$B:$Q,16,FALSE)&gt;=VLOOKUP($A12,informe!$A:$J,9,FALSE),"cg","c"),"n")</f>
        <v>n</v>
      </c>
    </row>
    <row r="13" spans="1:37" s="1" customFormat="1" ht="15" customHeight="1" x14ac:dyDescent="0.3">
      <c r="A13" s="197" t="str">
        <f>presupuesto!B12</f>
        <v>A.3.-</v>
      </c>
      <c r="B13" s="181" t="str">
        <f>presupuesto!C12</f>
        <v xml:space="preserve">         HORMIGÓN ARMADO</v>
      </c>
      <c r="C13" s="174" t="str">
        <f>presupuesto!G12</f>
        <v>14 días</v>
      </c>
      <c r="D13" s="177">
        <f>presupuesto!N12</f>
        <v>45733</v>
      </c>
      <c r="E13" s="177">
        <f>presupuesto!O12</f>
        <v>45746</v>
      </c>
      <c r="F13" s="194" t="str">
        <f>IF(AK13="n",CONCATENATE(" - "),IF(AK13="cg",CONCATENATE(" - "),CONCATENATE(ROUND(IFERROR(VLOOKUP(A13,informe!A:J,9,FALSE)/VLOOKUP(A13,informe!A:J,5,FALSE),0)*100,2),"% ")))</f>
        <v xml:space="preserve"> - </v>
      </c>
      <c r="G13" s="195" t="str">
        <f>IF(AND(G$3&gt;=$D13,G$3&lt;=$E13),IF((G$3-$D13+1)*VLOOKUP($A13,presupuesto!$B:$Q,16,FALSE)&gt;=VLOOKUP($A13,informe!$A:$J,9,FALSE),"cg","c"),"n")</f>
        <v>n</v>
      </c>
      <c r="H13" s="195" t="str">
        <f>IF(AND(H$3&gt;=$D13,H$3&lt;=$E13),IF((H$3-$D13+1)*VLOOKUP($A13,presupuesto!$B:$Q,16,FALSE)&gt;=VLOOKUP($A13,informe!$A:$J,9,FALSE),"cg","c"),"n")</f>
        <v>n</v>
      </c>
      <c r="I13" s="195" t="str">
        <f>IF(AND(I$3&gt;=$D13,I$3&lt;=$E13),IF((I$3-$D13+1)*VLOOKUP($A13,presupuesto!$B:$Q,16,FALSE)&gt;=VLOOKUP($A13,informe!$A:$J,9,FALSE),"cg","c"),"n")</f>
        <v>n</v>
      </c>
      <c r="J13" s="195" t="str">
        <f>IF(AND(J$3&gt;=$D13,J$3&lt;=$E13),IF((J$3-$D13+1)*VLOOKUP($A13,presupuesto!$B:$Q,16,FALSE)&gt;=VLOOKUP($A13,informe!$A:$J,9,FALSE),"cg","c"),"n")</f>
        <v>n</v>
      </c>
      <c r="K13" s="195" t="str">
        <f>IF(AND(K$3&gt;=$D13,K$3&lt;=$E13),IF((K$3-$D13+1)*VLOOKUP($A13,presupuesto!$B:$Q,16,FALSE)&gt;=VLOOKUP($A13,informe!$A:$J,9,FALSE),"cg","c"),"n")</f>
        <v>n</v>
      </c>
      <c r="L13" s="195" t="str">
        <f>IF(AND(L$3&gt;=$D13,L$3&lt;=$E13),IF((L$3-$D13+1)*VLOOKUP($A13,presupuesto!$B:$Q,16,FALSE)&gt;=VLOOKUP($A13,informe!$A:$J,9,FALSE),"cg","c"),"n")</f>
        <v>n</v>
      </c>
      <c r="M13" s="195" t="str">
        <f>IF(AND(M$3&gt;=$D13,M$3&lt;=$E13),IF((M$3-$D13+1)*VLOOKUP($A13,presupuesto!$B:$Q,16,FALSE)&gt;=VLOOKUP($A13,informe!$A:$J,9,FALSE),"cg","c"),"n")</f>
        <v>n</v>
      </c>
      <c r="N13" s="195" t="str">
        <f>IF(AND(N$3&gt;=$D13,N$3&lt;=$E13),IF((N$3-$D13+1)*VLOOKUP($A13,presupuesto!$B:$Q,16,FALSE)&gt;=VLOOKUP($A13,informe!$A:$J,9,FALSE),"cg","c"),"n")</f>
        <v>n</v>
      </c>
      <c r="O13" s="195" t="str">
        <f>IF(AND(O$3&gt;=$D13,O$3&lt;=$E13),IF((O$3-$D13+1)*VLOOKUP($A13,presupuesto!$B:$Q,16,FALSE)&gt;=VLOOKUP($A13,informe!$A:$J,9,FALSE),"cg","c"),"n")</f>
        <v>n</v>
      </c>
      <c r="P13" s="195" t="str">
        <f>IF(AND(P$3&gt;=$D13,P$3&lt;=$E13),IF((P$3-$D13+1)*VLOOKUP($A13,presupuesto!$B:$Q,16,FALSE)&gt;=VLOOKUP($A13,informe!$A:$J,9,FALSE),"cg","c"),"n")</f>
        <v>n</v>
      </c>
      <c r="Q13" s="195" t="str">
        <f>IF(AND(Q$3&gt;=$D13,Q$3&lt;=$E13),IF((Q$3-$D13+1)*VLOOKUP($A13,presupuesto!$B:$Q,16,FALSE)&gt;=VLOOKUP($A13,informe!$A:$J,9,FALSE),"cg","c"),"n")</f>
        <v>n</v>
      </c>
      <c r="R13" s="195" t="str">
        <f>IF(AND(R$3&gt;=$D13,R$3&lt;=$E13),IF((R$3-$D13+1)*VLOOKUP($A13,presupuesto!$B:$Q,16,FALSE)&gt;=VLOOKUP($A13,informe!$A:$J,9,FALSE),"cg","c"),"n")</f>
        <v>n</v>
      </c>
      <c r="S13" s="195" t="str">
        <f>IF(AND(S$3&gt;=$D13,S$3&lt;=$E13),IF((S$3-$D13+1)*VLOOKUP($A13,presupuesto!$B:$Q,16,FALSE)&gt;=VLOOKUP($A13,informe!$A:$J,9,FALSE),"cg","c"),"n")</f>
        <v>n</v>
      </c>
      <c r="T13" s="195" t="str">
        <f>IF(AND(T$3&gt;=$D13,T$3&lt;=$E13),IF((T$3-$D13+1)*VLOOKUP($A13,presupuesto!$B:$Q,16,FALSE)&gt;=VLOOKUP($A13,informe!$A:$J,9,FALSE),"cg","c"),"n")</f>
        <v>n</v>
      </c>
      <c r="U13" s="195" t="str">
        <f>IF(AND(U$3&gt;=$D13,U$3&lt;=$E13),IF((U$3-$D13+1)*VLOOKUP($A13,presupuesto!$B:$Q,16,FALSE)&gt;=VLOOKUP($A13,informe!$A:$J,9,FALSE),"cg","c"),"n")</f>
        <v>n</v>
      </c>
      <c r="V13" s="195" t="str">
        <f>IF(AND(V$3&gt;=$D13,V$3&lt;=$E13),IF((V$3-$D13+1)*VLOOKUP($A13,presupuesto!$B:$Q,16,FALSE)&gt;=VLOOKUP($A13,informe!$A:$J,9,FALSE),"cg","c"),"n")</f>
        <v>n</v>
      </c>
      <c r="W13" s="195" t="str">
        <f>IF(AND(W$3&gt;=$D13,W$3&lt;=$E13),IF((W$3-$D13+1)*VLOOKUP($A13,presupuesto!$B:$Q,16,FALSE)&gt;=VLOOKUP($A13,informe!$A:$J,9,FALSE),"cg","c"),"n")</f>
        <v>n</v>
      </c>
      <c r="X13" s="195" t="str">
        <f>IF(AND(X$3&gt;=$D13,X$3&lt;=$E13),IF((X$3-$D13+1)*VLOOKUP($A13,presupuesto!$B:$Q,16,FALSE)&gt;=VLOOKUP($A13,informe!$A:$J,9,FALSE),"cg","c"),"n")</f>
        <v>n</v>
      </c>
      <c r="Y13" s="195" t="str">
        <f>IF(AND(Y$3&gt;=$D13,Y$3&lt;=$E13),IF((Y$3-$D13+1)*VLOOKUP($A13,presupuesto!$B:$Q,16,FALSE)&gt;=VLOOKUP($A13,informe!$A:$J,9,FALSE),"cg","c"),"n")</f>
        <v>n</v>
      </c>
      <c r="Z13" s="195" t="str">
        <f>IF(AND(Z$3&gt;=$D13,Z$3&lt;=$E13),IF((Z$3-$D13+1)*VLOOKUP($A13,presupuesto!$B:$Q,16,FALSE)&gt;=VLOOKUP($A13,informe!$A:$J,9,FALSE),"cg","c"),"n")</f>
        <v>n</v>
      </c>
      <c r="AA13" s="195" t="str">
        <f>IF(AND(AA$3&gt;=$D13,AA$3&lt;=$E13),IF((AA$3-$D13+1)*VLOOKUP($A13,presupuesto!$B:$Q,16,FALSE)&gt;=VLOOKUP($A13,informe!$A:$J,9,FALSE),"cg","c"),"n")</f>
        <v>n</v>
      </c>
      <c r="AB13" s="195" t="str">
        <f>IF(AND(AB$3&gt;=$D13,AB$3&lt;=$E13),IF((AB$3-$D13+1)*VLOOKUP($A13,presupuesto!$B:$Q,16,FALSE)&gt;=VLOOKUP($A13,informe!$A:$J,9,FALSE),"cg","c"),"n")</f>
        <v>n</v>
      </c>
      <c r="AC13" s="195" t="str">
        <f>IF(AND(AC$3&gt;=$D13,AC$3&lt;=$E13),IF((AC$3-$D13+1)*VLOOKUP($A13,presupuesto!$B:$Q,16,FALSE)&gt;=VLOOKUP($A13,informe!$A:$J,9,FALSE),"cg","c"),"n")</f>
        <v>n</v>
      </c>
      <c r="AD13" s="195" t="str">
        <f>IF(AND(AD$3&gt;=$D13,AD$3&lt;=$E13),IF((AD$3-$D13+1)*VLOOKUP($A13,presupuesto!$B:$Q,16,FALSE)&gt;=VLOOKUP($A13,informe!$A:$J,9,FALSE),"cg","c"),"n")</f>
        <v>n</v>
      </c>
      <c r="AE13" s="195" t="str">
        <f>IF(AND(AE$3&gt;=$D13,AE$3&lt;=$E13),IF((AE$3-$D13+1)*VLOOKUP($A13,presupuesto!$B:$Q,16,FALSE)&gt;=VLOOKUP($A13,informe!$A:$J,9,FALSE),"cg","c"),"n")</f>
        <v>n</v>
      </c>
      <c r="AF13" s="195" t="str">
        <f>IF(AND(AF$3&gt;=$D13,AF$3&lt;=$E13),IF((AF$3-$D13+1)*VLOOKUP($A13,presupuesto!$B:$Q,16,FALSE)&gt;=VLOOKUP($A13,informe!$A:$J,9,FALSE),"cg","c"),"n")</f>
        <v>n</v>
      </c>
      <c r="AG13" s="195" t="str">
        <f>IF(AND(AG$3&gt;=$D13,AG$3&lt;=$E13),IF((AG$3-$D13+1)*VLOOKUP($A13,presupuesto!$B:$Q,16,FALSE)&gt;=VLOOKUP($A13,informe!$A:$J,9,FALSE),"cg","c"),"n")</f>
        <v>n</v>
      </c>
      <c r="AH13" s="195" t="str">
        <f>IF(AND(AH$3&gt;=$D13,AH$3&lt;=$E13),IF((AH$3-$D13+1)*VLOOKUP($A13,presupuesto!$B:$Q,16,FALSE)&gt;=VLOOKUP($A13,informe!$A:$J,9,FALSE),"cg","c"),"n")</f>
        <v>n</v>
      </c>
      <c r="AI13" s="195" t="str">
        <f>IF(AND(AI$3&gt;=$D13,AI$3&lt;=$E13),IF((AI$3-$D13+1)*VLOOKUP($A13,presupuesto!$B:$Q,16,FALSE)&gt;=VLOOKUP($A13,informe!$A:$J,9,FALSE),"cg","c"),"n")</f>
        <v>n</v>
      </c>
      <c r="AJ13" s="195" t="str">
        <f>IF(AND(AJ$3&gt;=$D13,AJ$3&lt;=$E13),IF((AJ$3-$D13+1)*VLOOKUP($A13,presupuesto!$B:$Q,16,FALSE)&gt;=VLOOKUP($A13,informe!$A:$J,9,FALSE),"cg","c"),"n")</f>
        <v>n</v>
      </c>
      <c r="AK13" s="196" t="str">
        <f>IF(AND(AK$3&gt;=$D13,AK$3&lt;=$E13),IF((AK$3-$D13+1)*VLOOKUP($A13,presupuesto!$B:$Q,16,FALSE)&gt;=VLOOKUP($A13,informe!$A:$J,9,FALSE),"cg","c"),"n")</f>
        <v>n</v>
      </c>
    </row>
    <row r="14" spans="1:37" s="1" customFormat="1" ht="15" customHeight="1" x14ac:dyDescent="0.25">
      <c r="A14" s="197">
        <f>presupuesto!B13</f>
        <v>5</v>
      </c>
      <c r="B14" s="182" t="str">
        <f>presupuesto!C13</f>
        <v xml:space="preserve">            Hormigón G-5 Emplantillado</v>
      </c>
      <c r="C14" s="174" t="str">
        <f>presupuesto!G13</f>
        <v>2 días</v>
      </c>
      <c r="D14" s="177">
        <f>presupuesto!N13</f>
        <v>45733</v>
      </c>
      <c r="E14" s="177">
        <f>presupuesto!O13</f>
        <v>45734</v>
      </c>
      <c r="F14" s="194" t="str">
        <f>IF(AK14="n",CONCATENATE(" - "),IF(AK14="cg",CONCATENATE(" - "),CONCATENATE(ROUND(IFERROR(VLOOKUP(A14,informe!A:J,9,FALSE)/VLOOKUP(A14,informe!A:J,5,FALSE),0)*100,2),"% ")))</f>
        <v xml:space="preserve"> - </v>
      </c>
      <c r="G14" s="195" t="str">
        <f>IF(AND(G$3&gt;=$D14,G$3&lt;=$E14),IF((G$3-$D14+1)*VLOOKUP($A14,presupuesto!$B:$Q,16,FALSE)&gt;=VLOOKUP($A14,informe!$A:$J,9,FALSE),"cg","c"),"n")</f>
        <v>n</v>
      </c>
      <c r="H14" s="195" t="str">
        <f>IF(AND(H$3&gt;=$D14,H$3&lt;=$E14),IF((H$3-$D14+1)*VLOOKUP($A14,presupuesto!$B:$Q,16,FALSE)&gt;=VLOOKUP($A14,informe!$A:$J,9,FALSE),"cg","c"),"n")</f>
        <v>n</v>
      </c>
      <c r="I14" s="195" t="str">
        <f>IF(AND(I$3&gt;=$D14,I$3&lt;=$E14),IF((I$3-$D14+1)*VLOOKUP($A14,presupuesto!$B:$Q,16,FALSE)&gt;=VLOOKUP($A14,informe!$A:$J,9,FALSE),"cg","c"),"n")</f>
        <v>n</v>
      </c>
      <c r="J14" s="195" t="str">
        <f>IF(AND(J$3&gt;=$D14,J$3&lt;=$E14),IF((J$3-$D14+1)*VLOOKUP($A14,presupuesto!$B:$Q,16,FALSE)&gt;=VLOOKUP($A14,informe!$A:$J,9,FALSE),"cg","c"),"n")</f>
        <v>n</v>
      </c>
      <c r="K14" s="195" t="str">
        <f>IF(AND(K$3&gt;=$D14,K$3&lt;=$E14),IF((K$3-$D14+1)*VLOOKUP($A14,presupuesto!$B:$Q,16,FALSE)&gt;=VLOOKUP($A14,informe!$A:$J,9,FALSE),"cg","c"),"n")</f>
        <v>n</v>
      </c>
      <c r="L14" s="195" t="str">
        <f>IF(AND(L$3&gt;=$D14,L$3&lt;=$E14),IF((L$3-$D14+1)*VLOOKUP($A14,presupuesto!$B:$Q,16,FALSE)&gt;=VLOOKUP($A14,informe!$A:$J,9,FALSE),"cg","c"),"n")</f>
        <v>n</v>
      </c>
      <c r="M14" s="195" t="str">
        <f>IF(AND(M$3&gt;=$D14,M$3&lt;=$E14),IF((M$3-$D14+1)*VLOOKUP($A14,presupuesto!$B:$Q,16,FALSE)&gt;=VLOOKUP($A14,informe!$A:$J,9,FALSE),"cg","c"),"n")</f>
        <v>n</v>
      </c>
      <c r="N14" s="195" t="str">
        <f>IF(AND(N$3&gt;=$D14,N$3&lt;=$E14),IF((N$3-$D14+1)*VLOOKUP($A14,presupuesto!$B:$Q,16,FALSE)&gt;=VLOOKUP($A14,informe!$A:$J,9,FALSE),"cg","c"),"n")</f>
        <v>n</v>
      </c>
      <c r="O14" s="195" t="str">
        <f>IF(AND(O$3&gt;=$D14,O$3&lt;=$E14),IF((O$3-$D14+1)*VLOOKUP($A14,presupuesto!$B:$Q,16,FALSE)&gt;=VLOOKUP($A14,informe!$A:$J,9,FALSE),"cg","c"),"n")</f>
        <v>n</v>
      </c>
      <c r="P14" s="195" t="str">
        <f>IF(AND(P$3&gt;=$D14,P$3&lt;=$E14),IF((P$3-$D14+1)*VLOOKUP($A14,presupuesto!$B:$Q,16,FALSE)&gt;=VLOOKUP($A14,informe!$A:$J,9,FALSE),"cg","c"),"n")</f>
        <v>n</v>
      </c>
      <c r="Q14" s="195" t="str">
        <f>IF(AND(Q$3&gt;=$D14,Q$3&lt;=$E14),IF((Q$3-$D14+1)*VLOOKUP($A14,presupuesto!$B:$Q,16,FALSE)&gt;=VLOOKUP($A14,informe!$A:$J,9,FALSE),"cg","c"),"n")</f>
        <v>n</v>
      </c>
      <c r="R14" s="195" t="str">
        <f>IF(AND(R$3&gt;=$D14,R$3&lt;=$E14),IF((R$3-$D14+1)*VLOOKUP($A14,presupuesto!$B:$Q,16,FALSE)&gt;=VLOOKUP($A14,informe!$A:$J,9,FALSE),"cg","c"),"n")</f>
        <v>n</v>
      </c>
      <c r="S14" s="195" t="str">
        <f>IF(AND(S$3&gt;=$D14,S$3&lt;=$E14),IF((S$3-$D14+1)*VLOOKUP($A14,presupuesto!$B:$Q,16,FALSE)&gt;=VLOOKUP($A14,informe!$A:$J,9,FALSE),"cg","c"),"n")</f>
        <v>n</v>
      </c>
      <c r="T14" s="195" t="str">
        <f>IF(AND(T$3&gt;=$D14,T$3&lt;=$E14),IF((T$3-$D14+1)*VLOOKUP($A14,presupuesto!$B:$Q,16,FALSE)&gt;=VLOOKUP($A14,informe!$A:$J,9,FALSE),"cg","c"),"n")</f>
        <v>n</v>
      </c>
      <c r="U14" s="195" t="str">
        <f>IF(AND(U$3&gt;=$D14,U$3&lt;=$E14),IF((U$3-$D14+1)*VLOOKUP($A14,presupuesto!$B:$Q,16,FALSE)&gt;=VLOOKUP($A14,informe!$A:$J,9,FALSE),"cg","c"),"n")</f>
        <v>n</v>
      </c>
      <c r="V14" s="195" t="str">
        <f>IF(AND(V$3&gt;=$D14,V$3&lt;=$E14),IF((V$3-$D14+1)*VLOOKUP($A14,presupuesto!$B:$Q,16,FALSE)&gt;=VLOOKUP($A14,informe!$A:$J,9,FALSE),"cg","c"),"n")</f>
        <v>n</v>
      </c>
      <c r="W14" s="195" t="str">
        <f>IF(AND(W$3&gt;=$D14,W$3&lt;=$E14),IF((W$3-$D14+1)*VLOOKUP($A14,presupuesto!$B:$Q,16,FALSE)&gt;=VLOOKUP($A14,informe!$A:$J,9,FALSE),"cg","c"),"n")</f>
        <v>n</v>
      </c>
      <c r="X14" s="195" t="str">
        <f>IF(AND(X$3&gt;=$D14,X$3&lt;=$E14),IF((X$3-$D14+1)*VLOOKUP($A14,presupuesto!$B:$Q,16,FALSE)&gt;=VLOOKUP($A14,informe!$A:$J,9,FALSE),"cg","c"),"n")</f>
        <v>n</v>
      </c>
      <c r="Y14" s="195" t="str">
        <f>IF(AND(Y$3&gt;=$D14,Y$3&lt;=$E14),IF((Y$3-$D14+1)*VLOOKUP($A14,presupuesto!$B:$Q,16,FALSE)&gt;=VLOOKUP($A14,informe!$A:$J,9,FALSE),"cg","c"),"n")</f>
        <v>n</v>
      </c>
      <c r="Z14" s="195" t="str">
        <f>IF(AND(Z$3&gt;=$D14,Z$3&lt;=$E14),IF((Z$3-$D14+1)*VLOOKUP($A14,presupuesto!$B:$Q,16,FALSE)&gt;=VLOOKUP($A14,informe!$A:$J,9,FALSE),"cg","c"),"n")</f>
        <v>n</v>
      </c>
      <c r="AA14" s="195" t="str">
        <f>IF(AND(AA$3&gt;=$D14,AA$3&lt;=$E14),IF((AA$3-$D14+1)*VLOOKUP($A14,presupuesto!$B:$Q,16,FALSE)&gt;=VLOOKUP($A14,informe!$A:$J,9,FALSE),"cg","c"),"n")</f>
        <v>n</v>
      </c>
      <c r="AB14" s="195" t="str">
        <f>IF(AND(AB$3&gt;=$D14,AB$3&lt;=$E14),IF((AB$3-$D14+1)*VLOOKUP($A14,presupuesto!$B:$Q,16,FALSE)&gt;=VLOOKUP($A14,informe!$A:$J,9,FALSE),"cg","c"),"n")</f>
        <v>n</v>
      </c>
      <c r="AC14" s="195" t="str">
        <f>IF(AND(AC$3&gt;=$D14,AC$3&lt;=$E14),IF((AC$3-$D14+1)*VLOOKUP($A14,presupuesto!$B:$Q,16,FALSE)&gt;=VLOOKUP($A14,informe!$A:$J,9,FALSE),"cg","c"),"n")</f>
        <v>n</v>
      </c>
      <c r="AD14" s="195" t="str">
        <f>IF(AND(AD$3&gt;=$D14,AD$3&lt;=$E14),IF((AD$3-$D14+1)*VLOOKUP($A14,presupuesto!$B:$Q,16,FALSE)&gt;=VLOOKUP($A14,informe!$A:$J,9,FALSE),"cg","c"),"n")</f>
        <v>n</v>
      </c>
      <c r="AE14" s="195" t="str">
        <f>IF(AND(AE$3&gt;=$D14,AE$3&lt;=$E14),IF((AE$3-$D14+1)*VLOOKUP($A14,presupuesto!$B:$Q,16,FALSE)&gt;=VLOOKUP($A14,informe!$A:$J,9,FALSE),"cg","c"),"n")</f>
        <v>n</v>
      </c>
      <c r="AF14" s="195" t="str">
        <f>IF(AND(AF$3&gt;=$D14,AF$3&lt;=$E14),IF((AF$3-$D14+1)*VLOOKUP($A14,presupuesto!$B:$Q,16,FALSE)&gt;=VLOOKUP($A14,informe!$A:$J,9,FALSE),"cg","c"),"n")</f>
        <v>n</v>
      </c>
      <c r="AG14" s="195" t="str">
        <f>IF(AND(AG$3&gt;=$D14,AG$3&lt;=$E14),IF((AG$3-$D14+1)*VLOOKUP($A14,presupuesto!$B:$Q,16,FALSE)&gt;=VLOOKUP($A14,informe!$A:$J,9,FALSE),"cg","c"),"n")</f>
        <v>n</v>
      </c>
      <c r="AH14" s="195" t="str">
        <f>IF(AND(AH$3&gt;=$D14,AH$3&lt;=$E14),IF((AH$3-$D14+1)*VLOOKUP($A14,presupuesto!$B:$Q,16,FALSE)&gt;=VLOOKUP($A14,informe!$A:$J,9,FALSE),"cg","c"),"n")</f>
        <v>n</v>
      </c>
      <c r="AI14" s="195" t="str">
        <f>IF(AND(AI$3&gt;=$D14,AI$3&lt;=$E14),IF((AI$3-$D14+1)*VLOOKUP($A14,presupuesto!$B:$Q,16,FALSE)&gt;=VLOOKUP($A14,informe!$A:$J,9,FALSE),"cg","c"),"n")</f>
        <v>n</v>
      </c>
      <c r="AJ14" s="195" t="str">
        <f>IF(AND(AJ$3&gt;=$D14,AJ$3&lt;=$E14),IF((AJ$3-$D14+1)*VLOOKUP($A14,presupuesto!$B:$Q,16,FALSE)&gt;=VLOOKUP($A14,informe!$A:$J,9,FALSE),"cg","c"),"n")</f>
        <v>n</v>
      </c>
      <c r="AK14" s="196" t="str">
        <f>IF(AND(AK$3&gt;=$D14,AK$3&lt;=$E14),IF((AK$3-$D14+1)*VLOOKUP($A14,presupuesto!$B:$Q,16,FALSE)&gt;=VLOOKUP($A14,informe!$A:$J,9,FALSE),"cg","c"),"n")</f>
        <v>n</v>
      </c>
    </row>
    <row r="15" spans="1:37" s="1" customFormat="1" ht="15" customHeight="1" x14ac:dyDescent="0.25">
      <c r="A15" s="197">
        <f>presupuesto!B14</f>
        <v>6</v>
      </c>
      <c r="B15" s="182" t="str">
        <f>presupuesto!C14</f>
        <v xml:space="preserve">            Hormigón G-25</v>
      </c>
      <c r="C15" s="174" t="str">
        <f>presupuesto!G14</f>
        <v>7 días</v>
      </c>
      <c r="D15" s="177">
        <f>presupuesto!N14</f>
        <v>45740</v>
      </c>
      <c r="E15" s="177">
        <f>presupuesto!O14</f>
        <v>45746</v>
      </c>
      <c r="F15" s="194" t="str">
        <f>IF(AK15="n",CONCATENATE(" - "),IF(AK15="cg",CONCATENATE(" - "),CONCATENATE(ROUND(IFERROR(VLOOKUP(A15,informe!A:J,9,FALSE)/VLOOKUP(A15,informe!A:J,5,FALSE),0)*100,2),"% ")))</f>
        <v xml:space="preserve"> - </v>
      </c>
      <c r="G15" s="195" t="str">
        <f>IF(AND(G$3&gt;=$D15,G$3&lt;=$E15),IF((G$3-$D15+1)*VLOOKUP($A15,presupuesto!$B:$Q,16,FALSE)&gt;=VLOOKUP($A15,informe!$A:$J,9,FALSE),"cg","c"),"n")</f>
        <v>n</v>
      </c>
      <c r="H15" s="195" t="str">
        <f>IF(AND(H$3&gt;=$D15,H$3&lt;=$E15),IF((H$3-$D15+1)*VLOOKUP($A15,presupuesto!$B:$Q,16,FALSE)&gt;=VLOOKUP($A15,informe!$A:$J,9,FALSE),"cg","c"),"n")</f>
        <v>n</v>
      </c>
      <c r="I15" s="195" t="str">
        <f>IF(AND(I$3&gt;=$D15,I$3&lt;=$E15),IF((I$3-$D15+1)*VLOOKUP($A15,presupuesto!$B:$Q,16,FALSE)&gt;=VLOOKUP($A15,informe!$A:$J,9,FALSE),"cg","c"),"n")</f>
        <v>n</v>
      </c>
      <c r="J15" s="195" t="str">
        <f>IF(AND(J$3&gt;=$D15,J$3&lt;=$E15),IF((J$3-$D15+1)*VLOOKUP($A15,presupuesto!$B:$Q,16,FALSE)&gt;=VLOOKUP($A15,informe!$A:$J,9,FALSE),"cg","c"),"n")</f>
        <v>n</v>
      </c>
      <c r="K15" s="195" t="str">
        <f>IF(AND(K$3&gt;=$D15,K$3&lt;=$E15),IF((K$3-$D15+1)*VLOOKUP($A15,presupuesto!$B:$Q,16,FALSE)&gt;=VLOOKUP($A15,informe!$A:$J,9,FALSE),"cg","c"),"n")</f>
        <v>n</v>
      </c>
      <c r="L15" s="195" t="str">
        <f>IF(AND(L$3&gt;=$D15,L$3&lt;=$E15),IF((L$3-$D15+1)*VLOOKUP($A15,presupuesto!$B:$Q,16,FALSE)&gt;=VLOOKUP($A15,informe!$A:$J,9,FALSE),"cg","c"),"n")</f>
        <v>n</v>
      </c>
      <c r="M15" s="195" t="str">
        <f>IF(AND(M$3&gt;=$D15,M$3&lt;=$E15),IF((M$3-$D15+1)*VLOOKUP($A15,presupuesto!$B:$Q,16,FALSE)&gt;=VLOOKUP($A15,informe!$A:$J,9,FALSE),"cg","c"),"n")</f>
        <v>n</v>
      </c>
      <c r="N15" s="195" t="str">
        <f>IF(AND(N$3&gt;=$D15,N$3&lt;=$E15),IF((N$3-$D15+1)*VLOOKUP($A15,presupuesto!$B:$Q,16,FALSE)&gt;=VLOOKUP($A15,informe!$A:$J,9,FALSE),"cg","c"),"n")</f>
        <v>n</v>
      </c>
      <c r="O15" s="195" t="str">
        <f>IF(AND(O$3&gt;=$D15,O$3&lt;=$E15),IF((O$3-$D15+1)*VLOOKUP($A15,presupuesto!$B:$Q,16,FALSE)&gt;=VLOOKUP($A15,informe!$A:$J,9,FALSE),"cg","c"),"n")</f>
        <v>n</v>
      </c>
      <c r="P15" s="195" t="str">
        <f>IF(AND(P$3&gt;=$D15,P$3&lt;=$E15),IF((P$3-$D15+1)*VLOOKUP($A15,presupuesto!$B:$Q,16,FALSE)&gt;=VLOOKUP($A15,informe!$A:$J,9,FALSE),"cg","c"),"n")</f>
        <v>n</v>
      </c>
      <c r="Q15" s="195" t="str">
        <f>IF(AND(Q$3&gt;=$D15,Q$3&lt;=$E15),IF((Q$3-$D15+1)*VLOOKUP($A15,presupuesto!$B:$Q,16,FALSE)&gt;=VLOOKUP($A15,informe!$A:$J,9,FALSE),"cg","c"),"n")</f>
        <v>n</v>
      </c>
      <c r="R15" s="195" t="str">
        <f>IF(AND(R$3&gt;=$D15,R$3&lt;=$E15),IF((R$3-$D15+1)*VLOOKUP($A15,presupuesto!$B:$Q,16,FALSE)&gt;=VLOOKUP($A15,informe!$A:$J,9,FALSE),"cg","c"),"n")</f>
        <v>n</v>
      </c>
      <c r="S15" s="195" t="str">
        <f>IF(AND(S$3&gt;=$D15,S$3&lt;=$E15),IF((S$3-$D15+1)*VLOOKUP($A15,presupuesto!$B:$Q,16,FALSE)&gt;=VLOOKUP($A15,informe!$A:$J,9,FALSE),"cg","c"),"n")</f>
        <v>n</v>
      </c>
      <c r="T15" s="195" t="str">
        <f>IF(AND(T$3&gt;=$D15,T$3&lt;=$E15),IF((T$3-$D15+1)*VLOOKUP($A15,presupuesto!$B:$Q,16,FALSE)&gt;=VLOOKUP($A15,informe!$A:$J,9,FALSE),"cg","c"),"n")</f>
        <v>n</v>
      </c>
      <c r="U15" s="195" t="str">
        <f>IF(AND(U$3&gt;=$D15,U$3&lt;=$E15),IF((U$3-$D15+1)*VLOOKUP($A15,presupuesto!$B:$Q,16,FALSE)&gt;=VLOOKUP($A15,informe!$A:$J,9,FALSE),"cg","c"),"n")</f>
        <v>n</v>
      </c>
      <c r="V15" s="195" t="str">
        <f>IF(AND(V$3&gt;=$D15,V$3&lt;=$E15),IF((V$3-$D15+1)*VLOOKUP($A15,presupuesto!$B:$Q,16,FALSE)&gt;=VLOOKUP($A15,informe!$A:$J,9,FALSE),"cg","c"),"n")</f>
        <v>n</v>
      </c>
      <c r="W15" s="195" t="str">
        <f>IF(AND(W$3&gt;=$D15,W$3&lt;=$E15),IF((W$3-$D15+1)*VLOOKUP($A15,presupuesto!$B:$Q,16,FALSE)&gt;=VLOOKUP($A15,informe!$A:$J,9,FALSE),"cg","c"),"n")</f>
        <v>n</v>
      </c>
      <c r="X15" s="195" t="str">
        <f>IF(AND(X$3&gt;=$D15,X$3&lt;=$E15),IF((X$3-$D15+1)*VLOOKUP($A15,presupuesto!$B:$Q,16,FALSE)&gt;=VLOOKUP($A15,informe!$A:$J,9,FALSE),"cg","c"),"n")</f>
        <v>n</v>
      </c>
      <c r="Y15" s="195" t="str">
        <f>IF(AND(Y$3&gt;=$D15,Y$3&lt;=$E15),IF((Y$3-$D15+1)*VLOOKUP($A15,presupuesto!$B:$Q,16,FALSE)&gt;=VLOOKUP($A15,informe!$A:$J,9,FALSE),"cg","c"),"n")</f>
        <v>n</v>
      </c>
      <c r="Z15" s="195" t="str">
        <f>IF(AND(Z$3&gt;=$D15,Z$3&lt;=$E15),IF((Z$3-$D15+1)*VLOOKUP($A15,presupuesto!$B:$Q,16,FALSE)&gt;=VLOOKUP($A15,informe!$A:$J,9,FALSE),"cg","c"),"n")</f>
        <v>n</v>
      </c>
      <c r="AA15" s="195" t="str">
        <f>IF(AND(AA$3&gt;=$D15,AA$3&lt;=$E15),IF((AA$3-$D15+1)*VLOOKUP($A15,presupuesto!$B:$Q,16,FALSE)&gt;=VLOOKUP($A15,informe!$A:$J,9,FALSE),"cg","c"),"n")</f>
        <v>n</v>
      </c>
      <c r="AB15" s="195" t="str">
        <f>IF(AND(AB$3&gt;=$D15,AB$3&lt;=$E15),IF((AB$3-$D15+1)*VLOOKUP($A15,presupuesto!$B:$Q,16,FALSE)&gt;=VLOOKUP($A15,informe!$A:$J,9,FALSE),"cg","c"),"n")</f>
        <v>n</v>
      </c>
      <c r="AC15" s="195" t="str">
        <f>IF(AND(AC$3&gt;=$D15,AC$3&lt;=$E15),IF((AC$3-$D15+1)*VLOOKUP($A15,presupuesto!$B:$Q,16,FALSE)&gt;=VLOOKUP($A15,informe!$A:$J,9,FALSE),"cg","c"),"n")</f>
        <v>n</v>
      </c>
      <c r="AD15" s="195" t="str">
        <f>IF(AND(AD$3&gt;=$D15,AD$3&lt;=$E15),IF((AD$3-$D15+1)*VLOOKUP($A15,presupuesto!$B:$Q,16,FALSE)&gt;=VLOOKUP($A15,informe!$A:$J,9,FALSE),"cg","c"),"n")</f>
        <v>n</v>
      </c>
      <c r="AE15" s="195" t="str">
        <f>IF(AND(AE$3&gt;=$D15,AE$3&lt;=$E15),IF((AE$3-$D15+1)*VLOOKUP($A15,presupuesto!$B:$Q,16,FALSE)&gt;=VLOOKUP($A15,informe!$A:$J,9,FALSE),"cg","c"),"n")</f>
        <v>n</v>
      </c>
      <c r="AF15" s="195" t="str">
        <f>IF(AND(AF$3&gt;=$D15,AF$3&lt;=$E15),IF((AF$3-$D15+1)*VLOOKUP($A15,presupuesto!$B:$Q,16,FALSE)&gt;=VLOOKUP($A15,informe!$A:$J,9,FALSE),"cg","c"),"n")</f>
        <v>n</v>
      </c>
      <c r="AG15" s="195" t="str">
        <f>IF(AND(AG$3&gt;=$D15,AG$3&lt;=$E15),IF((AG$3-$D15+1)*VLOOKUP($A15,presupuesto!$B:$Q,16,FALSE)&gt;=VLOOKUP($A15,informe!$A:$J,9,FALSE),"cg","c"),"n")</f>
        <v>n</v>
      </c>
      <c r="AH15" s="195" t="str">
        <f>IF(AND(AH$3&gt;=$D15,AH$3&lt;=$E15),IF((AH$3-$D15+1)*VLOOKUP($A15,presupuesto!$B:$Q,16,FALSE)&gt;=VLOOKUP($A15,informe!$A:$J,9,FALSE),"cg","c"),"n")</f>
        <v>n</v>
      </c>
      <c r="AI15" s="195" t="str">
        <f>IF(AND(AI$3&gt;=$D15,AI$3&lt;=$E15),IF((AI$3-$D15+1)*VLOOKUP($A15,presupuesto!$B:$Q,16,FALSE)&gt;=VLOOKUP($A15,informe!$A:$J,9,FALSE),"cg","c"),"n")</f>
        <v>n</v>
      </c>
      <c r="AJ15" s="195" t="str">
        <f>IF(AND(AJ$3&gt;=$D15,AJ$3&lt;=$E15),IF((AJ$3-$D15+1)*VLOOKUP($A15,presupuesto!$B:$Q,16,FALSE)&gt;=VLOOKUP($A15,informe!$A:$J,9,FALSE),"cg","c"),"n")</f>
        <v>n</v>
      </c>
      <c r="AK15" s="196" t="str">
        <f>IF(AND(AK$3&gt;=$D15,AK$3&lt;=$E15),IF((AK$3-$D15+1)*VLOOKUP($A15,presupuesto!$B:$Q,16,FALSE)&gt;=VLOOKUP($A15,informe!$A:$J,9,FALSE),"cg","c"),"n")</f>
        <v>n</v>
      </c>
    </row>
    <row r="16" spans="1:37" s="1" customFormat="1" ht="15" customHeight="1" x14ac:dyDescent="0.25">
      <c r="A16" s="197">
        <f>presupuesto!B15</f>
        <v>7</v>
      </c>
      <c r="B16" s="182" t="str">
        <f>presupuesto!C15</f>
        <v xml:space="preserve">            Acero de refuerzo A63-42H</v>
      </c>
      <c r="C16" s="174" t="str">
        <f>presupuesto!G15</f>
        <v>7 días</v>
      </c>
      <c r="D16" s="177">
        <f>presupuesto!N15</f>
        <v>45735</v>
      </c>
      <c r="E16" s="177">
        <f>presupuesto!O15</f>
        <v>45741</v>
      </c>
      <c r="F16" s="194" t="str">
        <f>IF(AK16="n",CONCATENATE(" - "),IF(AK16="cg",CONCATENATE(" - "),CONCATENATE(ROUND(IFERROR(VLOOKUP(A16,informe!A:J,9,FALSE)/VLOOKUP(A16,informe!A:J,5,FALSE),0)*100,2),"% ")))</f>
        <v xml:space="preserve"> - </v>
      </c>
      <c r="G16" s="195" t="str">
        <f>IF(AND(G$3&gt;=$D16,G$3&lt;=$E16),IF((G$3-$D16+1)*VLOOKUP($A16,presupuesto!$B:$Q,16,FALSE)&gt;=VLOOKUP($A16,informe!$A:$J,9,FALSE),"cg","c"),"n")</f>
        <v>n</v>
      </c>
      <c r="H16" s="195" t="str">
        <f>IF(AND(H$3&gt;=$D16,H$3&lt;=$E16),IF((H$3-$D16+1)*VLOOKUP($A16,presupuesto!$B:$Q,16,FALSE)&gt;=VLOOKUP($A16,informe!$A:$J,9,FALSE),"cg","c"),"n")</f>
        <v>n</v>
      </c>
      <c r="I16" s="195" t="str">
        <f>IF(AND(I$3&gt;=$D16,I$3&lt;=$E16),IF((I$3-$D16+1)*VLOOKUP($A16,presupuesto!$B:$Q,16,FALSE)&gt;=VLOOKUP($A16,informe!$A:$J,9,FALSE),"cg","c"),"n")</f>
        <v>n</v>
      </c>
      <c r="J16" s="195" t="str">
        <f>IF(AND(J$3&gt;=$D16,J$3&lt;=$E16),IF((J$3-$D16+1)*VLOOKUP($A16,presupuesto!$B:$Q,16,FALSE)&gt;=VLOOKUP($A16,informe!$A:$J,9,FALSE),"cg","c"),"n")</f>
        <v>n</v>
      </c>
      <c r="K16" s="195" t="str">
        <f>IF(AND(K$3&gt;=$D16,K$3&lt;=$E16),IF((K$3-$D16+1)*VLOOKUP($A16,presupuesto!$B:$Q,16,FALSE)&gt;=VLOOKUP($A16,informe!$A:$J,9,FALSE),"cg","c"),"n")</f>
        <v>n</v>
      </c>
      <c r="L16" s="195" t="str">
        <f>IF(AND(L$3&gt;=$D16,L$3&lt;=$E16),IF((L$3-$D16+1)*VLOOKUP($A16,presupuesto!$B:$Q,16,FALSE)&gt;=VLOOKUP($A16,informe!$A:$J,9,FALSE),"cg","c"),"n")</f>
        <v>n</v>
      </c>
      <c r="M16" s="195" t="str">
        <f>IF(AND(M$3&gt;=$D16,M$3&lt;=$E16),IF((M$3-$D16+1)*VLOOKUP($A16,presupuesto!$B:$Q,16,FALSE)&gt;=VLOOKUP($A16,informe!$A:$J,9,FALSE),"cg","c"),"n")</f>
        <v>n</v>
      </c>
      <c r="N16" s="195" t="str">
        <f>IF(AND(N$3&gt;=$D16,N$3&lt;=$E16),IF((N$3-$D16+1)*VLOOKUP($A16,presupuesto!$B:$Q,16,FALSE)&gt;=VLOOKUP($A16,informe!$A:$J,9,FALSE),"cg","c"),"n")</f>
        <v>n</v>
      </c>
      <c r="O16" s="195" t="str">
        <f>IF(AND(O$3&gt;=$D16,O$3&lt;=$E16),IF((O$3-$D16+1)*VLOOKUP($A16,presupuesto!$B:$Q,16,FALSE)&gt;=VLOOKUP($A16,informe!$A:$J,9,FALSE),"cg","c"),"n")</f>
        <v>n</v>
      </c>
      <c r="P16" s="195" t="str">
        <f>IF(AND(P$3&gt;=$D16,P$3&lt;=$E16),IF((P$3-$D16+1)*VLOOKUP($A16,presupuesto!$B:$Q,16,FALSE)&gt;=VLOOKUP($A16,informe!$A:$J,9,FALSE),"cg","c"),"n")</f>
        <v>n</v>
      </c>
      <c r="Q16" s="195" t="str">
        <f>IF(AND(Q$3&gt;=$D16,Q$3&lt;=$E16),IF((Q$3-$D16+1)*VLOOKUP($A16,presupuesto!$B:$Q,16,FALSE)&gt;=VLOOKUP($A16,informe!$A:$J,9,FALSE),"cg","c"),"n")</f>
        <v>n</v>
      </c>
      <c r="R16" s="195" t="str">
        <f>IF(AND(R$3&gt;=$D16,R$3&lt;=$E16),IF((R$3-$D16+1)*VLOOKUP($A16,presupuesto!$B:$Q,16,FALSE)&gt;=VLOOKUP($A16,informe!$A:$J,9,FALSE),"cg","c"),"n")</f>
        <v>n</v>
      </c>
      <c r="S16" s="195" t="str">
        <f>IF(AND(S$3&gt;=$D16,S$3&lt;=$E16),IF((S$3-$D16+1)*VLOOKUP($A16,presupuesto!$B:$Q,16,FALSE)&gt;=VLOOKUP($A16,informe!$A:$J,9,FALSE),"cg","c"),"n")</f>
        <v>n</v>
      </c>
      <c r="T16" s="195" t="str">
        <f>IF(AND(T$3&gt;=$D16,T$3&lt;=$E16),IF((T$3-$D16+1)*VLOOKUP($A16,presupuesto!$B:$Q,16,FALSE)&gt;=VLOOKUP($A16,informe!$A:$J,9,FALSE),"cg","c"),"n")</f>
        <v>n</v>
      </c>
      <c r="U16" s="195" t="str">
        <f>IF(AND(U$3&gt;=$D16,U$3&lt;=$E16),IF((U$3-$D16+1)*VLOOKUP($A16,presupuesto!$B:$Q,16,FALSE)&gt;=VLOOKUP($A16,informe!$A:$J,9,FALSE),"cg","c"),"n")</f>
        <v>n</v>
      </c>
      <c r="V16" s="195" t="str">
        <f>IF(AND(V$3&gt;=$D16,V$3&lt;=$E16),IF((V$3-$D16+1)*VLOOKUP($A16,presupuesto!$B:$Q,16,FALSE)&gt;=VLOOKUP($A16,informe!$A:$J,9,FALSE),"cg","c"),"n")</f>
        <v>n</v>
      </c>
      <c r="W16" s="195" t="str">
        <f>IF(AND(W$3&gt;=$D16,W$3&lt;=$E16),IF((W$3-$D16+1)*VLOOKUP($A16,presupuesto!$B:$Q,16,FALSE)&gt;=VLOOKUP($A16,informe!$A:$J,9,FALSE),"cg","c"),"n")</f>
        <v>n</v>
      </c>
      <c r="X16" s="195" t="str">
        <f>IF(AND(X$3&gt;=$D16,X$3&lt;=$E16),IF((X$3-$D16+1)*VLOOKUP($A16,presupuesto!$B:$Q,16,FALSE)&gt;=VLOOKUP($A16,informe!$A:$J,9,FALSE),"cg","c"),"n")</f>
        <v>n</v>
      </c>
      <c r="Y16" s="195" t="str">
        <f>IF(AND(Y$3&gt;=$D16,Y$3&lt;=$E16),IF((Y$3-$D16+1)*VLOOKUP($A16,presupuesto!$B:$Q,16,FALSE)&gt;=VLOOKUP($A16,informe!$A:$J,9,FALSE),"cg","c"),"n")</f>
        <v>n</v>
      </c>
      <c r="Z16" s="195" t="str">
        <f>IF(AND(Z$3&gt;=$D16,Z$3&lt;=$E16),IF((Z$3-$D16+1)*VLOOKUP($A16,presupuesto!$B:$Q,16,FALSE)&gt;=VLOOKUP($A16,informe!$A:$J,9,FALSE),"cg","c"),"n")</f>
        <v>n</v>
      </c>
      <c r="AA16" s="195" t="str">
        <f>IF(AND(AA$3&gt;=$D16,AA$3&lt;=$E16),IF((AA$3-$D16+1)*VLOOKUP($A16,presupuesto!$B:$Q,16,FALSE)&gt;=VLOOKUP($A16,informe!$A:$J,9,FALSE),"cg","c"),"n")</f>
        <v>n</v>
      </c>
      <c r="AB16" s="195" t="str">
        <f>IF(AND(AB$3&gt;=$D16,AB$3&lt;=$E16),IF((AB$3-$D16+1)*VLOOKUP($A16,presupuesto!$B:$Q,16,FALSE)&gt;=VLOOKUP($A16,informe!$A:$J,9,FALSE),"cg","c"),"n")</f>
        <v>n</v>
      </c>
      <c r="AC16" s="195" t="str">
        <f>IF(AND(AC$3&gt;=$D16,AC$3&lt;=$E16),IF((AC$3-$D16+1)*VLOOKUP($A16,presupuesto!$B:$Q,16,FALSE)&gt;=VLOOKUP($A16,informe!$A:$J,9,FALSE),"cg","c"),"n")</f>
        <v>n</v>
      </c>
      <c r="AD16" s="195" t="str">
        <f>IF(AND(AD$3&gt;=$D16,AD$3&lt;=$E16),IF((AD$3-$D16+1)*VLOOKUP($A16,presupuesto!$B:$Q,16,FALSE)&gt;=VLOOKUP($A16,informe!$A:$J,9,FALSE),"cg","c"),"n")</f>
        <v>n</v>
      </c>
      <c r="AE16" s="195" t="str">
        <f>IF(AND(AE$3&gt;=$D16,AE$3&lt;=$E16),IF((AE$3-$D16+1)*VLOOKUP($A16,presupuesto!$B:$Q,16,FALSE)&gt;=VLOOKUP($A16,informe!$A:$J,9,FALSE),"cg","c"),"n")</f>
        <v>n</v>
      </c>
      <c r="AF16" s="195" t="str">
        <f>IF(AND(AF$3&gt;=$D16,AF$3&lt;=$E16),IF((AF$3-$D16+1)*VLOOKUP($A16,presupuesto!$B:$Q,16,FALSE)&gt;=VLOOKUP($A16,informe!$A:$J,9,FALSE),"cg","c"),"n")</f>
        <v>n</v>
      </c>
      <c r="AG16" s="195" t="str">
        <f>IF(AND(AG$3&gt;=$D16,AG$3&lt;=$E16),IF((AG$3-$D16+1)*VLOOKUP($A16,presupuesto!$B:$Q,16,FALSE)&gt;=VLOOKUP($A16,informe!$A:$J,9,FALSE),"cg","c"),"n")</f>
        <v>n</v>
      </c>
      <c r="AH16" s="195" t="str">
        <f>IF(AND(AH$3&gt;=$D16,AH$3&lt;=$E16),IF((AH$3-$D16+1)*VLOOKUP($A16,presupuesto!$B:$Q,16,FALSE)&gt;=VLOOKUP($A16,informe!$A:$J,9,FALSE),"cg","c"),"n")</f>
        <v>n</v>
      </c>
      <c r="AI16" s="195" t="str">
        <f>IF(AND(AI$3&gt;=$D16,AI$3&lt;=$E16),IF((AI$3-$D16+1)*VLOOKUP($A16,presupuesto!$B:$Q,16,FALSE)&gt;=VLOOKUP($A16,informe!$A:$J,9,FALSE),"cg","c"),"n")</f>
        <v>n</v>
      </c>
      <c r="AJ16" s="195" t="str">
        <f>IF(AND(AJ$3&gt;=$D16,AJ$3&lt;=$E16),IF((AJ$3-$D16+1)*VLOOKUP($A16,presupuesto!$B:$Q,16,FALSE)&gt;=VLOOKUP($A16,informe!$A:$J,9,FALSE),"cg","c"),"n")</f>
        <v>n</v>
      </c>
      <c r="AK16" s="196" t="str">
        <f>IF(AND(AK$3&gt;=$D16,AK$3&lt;=$E16),IF((AK$3-$D16+1)*VLOOKUP($A16,presupuesto!$B:$Q,16,FALSE)&gt;=VLOOKUP($A16,informe!$A:$J,9,FALSE),"cg","c"),"n")</f>
        <v>n</v>
      </c>
    </row>
    <row r="17" spans="1:37" s="1" customFormat="1" ht="15" customHeight="1" x14ac:dyDescent="0.3">
      <c r="A17" s="197" t="str">
        <f>presupuesto!B16</f>
        <v>A.4.-</v>
      </c>
      <c r="B17" s="181" t="str">
        <f>presupuesto!C16</f>
        <v xml:space="preserve">         PASARELA ACERO GALVANIZADO</v>
      </c>
      <c r="C17" s="174" t="str">
        <f>presupuesto!G16</f>
        <v>30 días</v>
      </c>
      <c r="D17" s="177">
        <f>presupuesto!N16</f>
        <v>45779</v>
      </c>
      <c r="E17" s="177">
        <f>presupuesto!O16</f>
        <v>45808</v>
      </c>
      <c r="F17" s="194" t="str">
        <f>IF(AK17="n",CONCATENATE(" - "),IF(AK17="cg",CONCATENATE(" - "),CONCATENATE(ROUND(IFERROR(VLOOKUP(A17,informe!A:J,9,FALSE)/VLOOKUP(A17,informe!A:J,5,FALSE),0)*100,2),"% ")))</f>
        <v xml:space="preserve"> - </v>
      </c>
      <c r="G17" s="195" t="str">
        <f>IF(AND(G$3&gt;=$D17,G$3&lt;=$E17),IF((G$3-$D17+1)*VLOOKUP($A17,presupuesto!$B:$Q,16,FALSE)&gt;=VLOOKUP($A17,informe!$A:$J,9,FALSE),"cg","c"),"n")</f>
        <v>n</v>
      </c>
      <c r="H17" s="195" t="str">
        <f>IF(AND(H$3&gt;=$D17,H$3&lt;=$E17),IF((H$3-$D17+1)*VLOOKUP($A17,presupuesto!$B:$Q,16,FALSE)&gt;=VLOOKUP($A17,informe!$A:$J,9,FALSE),"cg","c"),"n")</f>
        <v>n</v>
      </c>
      <c r="I17" s="195" t="str">
        <f>IF(AND(I$3&gt;=$D17,I$3&lt;=$E17),IF((I$3-$D17+1)*VLOOKUP($A17,presupuesto!$B:$Q,16,FALSE)&gt;=VLOOKUP($A17,informe!$A:$J,9,FALSE),"cg","c"),"n")</f>
        <v>n</v>
      </c>
      <c r="J17" s="195" t="str">
        <f>IF(AND(J$3&gt;=$D17,J$3&lt;=$E17),IF((J$3-$D17+1)*VLOOKUP($A17,presupuesto!$B:$Q,16,FALSE)&gt;=VLOOKUP($A17,informe!$A:$J,9,FALSE),"cg","c"),"n")</f>
        <v>n</v>
      </c>
      <c r="K17" s="195" t="str">
        <f>IF(AND(K$3&gt;=$D17,K$3&lt;=$E17),IF((K$3-$D17+1)*VLOOKUP($A17,presupuesto!$B:$Q,16,FALSE)&gt;=VLOOKUP($A17,informe!$A:$J,9,FALSE),"cg","c"),"n")</f>
        <v>n</v>
      </c>
      <c r="L17" s="195" t="str">
        <f>IF(AND(L$3&gt;=$D17,L$3&lt;=$E17),IF((L$3-$D17+1)*VLOOKUP($A17,presupuesto!$B:$Q,16,FALSE)&gt;=VLOOKUP($A17,informe!$A:$J,9,FALSE),"cg","c"),"n")</f>
        <v>n</v>
      </c>
      <c r="M17" s="195" t="str">
        <f>IF(AND(M$3&gt;=$D17,M$3&lt;=$E17),IF((M$3-$D17+1)*VLOOKUP($A17,presupuesto!$B:$Q,16,FALSE)&gt;=VLOOKUP($A17,informe!$A:$J,9,FALSE),"cg","c"),"n")</f>
        <v>n</v>
      </c>
      <c r="N17" s="195" t="str">
        <f>IF(AND(N$3&gt;=$D17,N$3&lt;=$E17),IF((N$3-$D17+1)*VLOOKUP($A17,presupuesto!$B:$Q,16,FALSE)&gt;=VLOOKUP($A17,informe!$A:$J,9,FALSE),"cg","c"),"n")</f>
        <v>n</v>
      </c>
      <c r="O17" s="195" t="str">
        <f>IF(AND(O$3&gt;=$D17,O$3&lt;=$E17),IF((O$3-$D17+1)*VLOOKUP($A17,presupuesto!$B:$Q,16,FALSE)&gt;=VLOOKUP($A17,informe!$A:$J,9,FALSE),"cg","c"),"n")</f>
        <v>n</v>
      </c>
      <c r="P17" s="195" t="str">
        <f>IF(AND(P$3&gt;=$D17,P$3&lt;=$E17),IF((P$3-$D17+1)*VLOOKUP($A17,presupuesto!$B:$Q,16,FALSE)&gt;=VLOOKUP($A17,informe!$A:$J,9,FALSE),"cg","c"),"n")</f>
        <v>n</v>
      </c>
      <c r="Q17" s="195" t="str">
        <f>IF(AND(Q$3&gt;=$D17,Q$3&lt;=$E17),IF((Q$3-$D17+1)*VLOOKUP($A17,presupuesto!$B:$Q,16,FALSE)&gt;=VLOOKUP($A17,informe!$A:$J,9,FALSE),"cg","c"),"n")</f>
        <v>n</v>
      </c>
      <c r="R17" s="195" t="str">
        <f>IF(AND(R$3&gt;=$D17,R$3&lt;=$E17),IF((R$3-$D17+1)*VLOOKUP($A17,presupuesto!$B:$Q,16,FALSE)&gt;=VLOOKUP($A17,informe!$A:$J,9,FALSE),"cg","c"),"n")</f>
        <v>n</v>
      </c>
      <c r="S17" s="195" t="str">
        <f>IF(AND(S$3&gt;=$D17,S$3&lt;=$E17),IF((S$3-$D17+1)*VLOOKUP($A17,presupuesto!$B:$Q,16,FALSE)&gt;=VLOOKUP($A17,informe!$A:$J,9,FALSE),"cg","c"),"n")</f>
        <v>n</v>
      </c>
      <c r="T17" s="195" t="str">
        <f>IF(AND(T$3&gt;=$D17,T$3&lt;=$E17),IF((T$3-$D17+1)*VLOOKUP($A17,presupuesto!$B:$Q,16,FALSE)&gt;=VLOOKUP($A17,informe!$A:$J,9,FALSE),"cg","c"),"n")</f>
        <v>n</v>
      </c>
      <c r="U17" s="195" t="str">
        <f>IF(AND(U$3&gt;=$D17,U$3&lt;=$E17),IF((U$3-$D17+1)*VLOOKUP($A17,presupuesto!$B:$Q,16,FALSE)&gt;=VLOOKUP($A17,informe!$A:$J,9,FALSE),"cg","c"),"n")</f>
        <v>n</v>
      </c>
      <c r="V17" s="195" t="str">
        <f>IF(AND(V$3&gt;=$D17,V$3&lt;=$E17),IF((V$3-$D17+1)*VLOOKUP($A17,presupuesto!$B:$Q,16,FALSE)&gt;=VLOOKUP($A17,informe!$A:$J,9,FALSE),"cg","c"),"n")</f>
        <v>n</v>
      </c>
      <c r="W17" s="195" t="str">
        <f>IF(AND(W$3&gt;=$D17,W$3&lt;=$E17),IF((W$3-$D17+1)*VLOOKUP($A17,presupuesto!$B:$Q,16,FALSE)&gt;=VLOOKUP($A17,informe!$A:$J,9,FALSE),"cg","c"),"n")</f>
        <v>n</v>
      </c>
      <c r="X17" s="195" t="str">
        <f>IF(AND(X$3&gt;=$D17,X$3&lt;=$E17),IF((X$3-$D17+1)*VLOOKUP($A17,presupuesto!$B:$Q,16,FALSE)&gt;=VLOOKUP($A17,informe!$A:$J,9,FALSE),"cg","c"),"n")</f>
        <v>n</v>
      </c>
      <c r="Y17" s="195" t="str">
        <f>IF(AND(Y$3&gt;=$D17,Y$3&lt;=$E17),IF((Y$3-$D17+1)*VLOOKUP($A17,presupuesto!$B:$Q,16,FALSE)&gt;=VLOOKUP($A17,informe!$A:$J,9,FALSE),"cg","c"),"n")</f>
        <v>n</v>
      </c>
      <c r="Z17" s="195" t="str">
        <f>IF(AND(Z$3&gt;=$D17,Z$3&lt;=$E17),IF((Z$3-$D17+1)*VLOOKUP($A17,presupuesto!$B:$Q,16,FALSE)&gt;=VLOOKUP($A17,informe!$A:$J,9,FALSE),"cg","c"),"n")</f>
        <v>n</v>
      </c>
      <c r="AA17" s="195" t="str">
        <f>IF(AND(AA$3&gt;=$D17,AA$3&lt;=$E17),IF((AA$3-$D17+1)*VLOOKUP($A17,presupuesto!$B:$Q,16,FALSE)&gt;=VLOOKUP($A17,informe!$A:$J,9,FALSE),"cg","c"),"n")</f>
        <v>n</v>
      </c>
      <c r="AB17" s="195" t="str">
        <f>IF(AND(AB$3&gt;=$D17,AB$3&lt;=$E17),IF((AB$3-$D17+1)*VLOOKUP($A17,presupuesto!$B:$Q,16,FALSE)&gt;=VLOOKUP($A17,informe!$A:$J,9,FALSE),"cg","c"),"n")</f>
        <v>n</v>
      </c>
      <c r="AC17" s="195" t="str">
        <f>IF(AND(AC$3&gt;=$D17,AC$3&lt;=$E17),IF((AC$3-$D17+1)*VLOOKUP($A17,presupuesto!$B:$Q,16,FALSE)&gt;=VLOOKUP($A17,informe!$A:$J,9,FALSE),"cg","c"),"n")</f>
        <v>n</v>
      </c>
      <c r="AD17" s="195" t="str">
        <f>IF(AND(AD$3&gt;=$D17,AD$3&lt;=$E17),IF((AD$3-$D17+1)*VLOOKUP($A17,presupuesto!$B:$Q,16,FALSE)&gt;=VLOOKUP($A17,informe!$A:$J,9,FALSE),"cg","c"),"n")</f>
        <v>n</v>
      </c>
      <c r="AE17" s="195" t="str">
        <f>IF(AND(AE$3&gt;=$D17,AE$3&lt;=$E17),IF((AE$3-$D17+1)*VLOOKUP($A17,presupuesto!$B:$Q,16,FALSE)&gt;=VLOOKUP($A17,informe!$A:$J,9,FALSE),"cg","c"),"n")</f>
        <v>n</v>
      </c>
      <c r="AF17" s="195" t="str">
        <f>IF(AND(AF$3&gt;=$D17,AF$3&lt;=$E17),IF((AF$3-$D17+1)*VLOOKUP($A17,presupuesto!$B:$Q,16,FALSE)&gt;=VLOOKUP($A17,informe!$A:$J,9,FALSE),"cg","c"),"n")</f>
        <v>n</v>
      </c>
      <c r="AG17" s="195" t="str">
        <f>IF(AND(AG$3&gt;=$D17,AG$3&lt;=$E17),IF((AG$3-$D17+1)*VLOOKUP($A17,presupuesto!$B:$Q,16,FALSE)&gt;=VLOOKUP($A17,informe!$A:$J,9,FALSE),"cg","c"),"n")</f>
        <v>n</v>
      </c>
      <c r="AH17" s="195" t="str">
        <f>IF(AND(AH$3&gt;=$D17,AH$3&lt;=$E17),IF((AH$3-$D17+1)*VLOOKUP($A17,presupuesto!$B:$Q,16,FALSE)&gt;=VLOOKUP($A17,informe!$A:$J,9,FALSE),"cg","c"),"n")</f>
        <v>n</v>
      </c>
      <c r="AI17" s="195" t="str">
        <f>IF(AND(AI$3&gt;=$D17,AI$3&lt;=$E17),IF((AI$3-$D17+1)*VLOOKUP($A17,presupuesto!$B:$Q,16,FALSE)&gt;=VLOOKUP($A17,informe!$A:$J,9,FALSE),"cg","c"),"n")</f>
        <v>n</v>
      </c>
      <c r="AJ17" s="195" t="str">
        <f>IF(AND(AJ$3&gt;=$D17,AJ$3&lt;=$E17),IF((AJ$3-$D17+1)*VLOOKUP($A17,presupuesto!$B:$Q,16,FALSE)&gt;=VLOOKUP($A17,informe!$A:$J,9,FALSE),"cg","c"),"n")</f>
        <v>n</v>
      </c>
      <c r="AK17" s="196" t="str">
        <f>IF(AND(AK$3&gt;=$D17,AK$3&lt;=$E17),IF((AK$3-$D17+1)*VLOOKUP($A17,presupuesto!$B:$Q,16,FALSE)&gt;=VLOOKUP($A17,informe!$A:$J,9,FALSE),"cg","c"),"n")</f>
        <v>n</v>
      </c>
    </row>
    <row r="18" spans="1:37" s="1" customFormat="1" ht="15" customHeight="1" x14ac:dyDescent="0.25">
      <c r="A18" s="197">
        <f>presupuesto!B17</f>
        <v>8</v>
      </c>
      <c r="B18" s="182" t="str">
        <f>presupuesto!C17</f>
        <v xml:space="preserve">            Pasarela acero galvanizado</v>
      </c>
      <c r="C18" s="174" t="str">
        <f>presupuesto!G17</f>
        <v>30 días</v>
      </c>
      <c r="D18" s="177">
        <f>presupuesto!N17</f>
        <v>45779</v>
      </c>
      <c r="E18" s="177">
        <f>presupuesto!O17</f>
        <v>45808</v>
      </c>
      <c r="F18" s="194" t="str">
        <f>IF(AK18="n",CONCATENATE(" - "),IF(AK18="cg",CONCATENATE(" - "),CONCATENATE(ROUND(IFERROR(VLOOKUP(A18,informe!A:J,9,FALSE)/VLOOKUP(A18,informe!A:J,5,FALSE),0)*100,2),"% ")))</f>
        <v xml:space="preserve"> - </v>
      </c>
      <c r="G18" s="195" t="str">
        <f>IF(AND(G$3&gt;=$D18,G$3&lt;=$E18),IF((G$3-$D18+1)*VLOOKUP($A18,presupuesto!$B:$Q,16,FALSE)&gt;=VLOOKUP($A18,informe!$A:$J,9,FALSE),"cg","c"),"n")</f>
        <v>n</v>
      </c>
      <c r="H18" s="195" t="str">
        <f>IF(AND(H$3&gt;=$D18,H$3&lt;=$E18),IF((H$3-$D18+1)*VLOOKUP($A18,presupuesto!$B:$Q,16,FALSE)&gt;=VLOOKUP($A18,informe!$A:$J,9,FALSE),"cg","c"),"n")</f>
        <v>n</v>
      </c>
      <c r="I18" s="195" t="str">
        <f>IF(AND(I$3&gt;=$D18,I$3&lt;=$E18),IF((I$3-$D18+1)*VLOOKUP($A18,presupuesto!$B:$Q,16,FALSE)&gt;=VLOOKUP($A18,informe!$A:$J,9,FALSE),"cg","c"),"n")</f>
        <v>n</v>
      </c>
      <c r="J18" s="195" t="str">
        <f>IF(AND(J$3&gt;=$D18,J$3&lt;=$E18),IF((J$3-$D18+1)*VLOOKUP($A18,presupuesto!$B:$Q,16,FALSE)&gt;=VLOOKUP($A18,informe!$A:$J,9,FALSE),"cg","c"),"n")</f>
        <v>n</v>
      </c>
      <c r="K18" s="195" t="str">
        <f>IF(AND(K$3&gt;=$D18,K$3&lt;=$E18),IF((K$3-$D18+1)*VLOOKUP($A18,presupuesto!$B:$Q,16,FALSE)&gt;=VLOOKUP($A18,informe!$A:$J,9,FALSE),"cg","c"),"n")</f>
        <v>n</v>
      </c>
      <c r="L18" s="195" t="str">
        <f>IF(AND(L$3&gt;=$D18,L$3&lt;=$E18),IF((L$3-$D18+1)*VLOOKUP($A18,presupuesto!$B:$Q,16,FALSE)&gt;=VLOOKUP($A18,informe!$A:$J,9,FALSE),"cg","c"),"n")</f>
        <v>n</v>
      </c>
      <c r="M18" s="195" t="str">
        <f>IF(AND(M$3&gt;=$D18,M$3&lt;=$E18),IF((M$3-$D18+1)*VLOOKUP($A18,presupuesto!$B:$Q,16,FALSE)&gt;=VLOOKUP($A18,informe!$A:$J,9,FALSE),"cg","c"),"n")</f>
        <v>n</v>
      </c>
      <c r="N18" s="195" t="str">
        <f>IF(AND(N$3&gt;=$D18,N$3&lt;=$E18),IF((N$3-$D18+1)*VLOOKUP($A18,presupuesto!$B:$Q,16,FALSE)&gt;=VLOOKUP($A18,informe!$A:$J,9,FALSE),"cg","c"),"n")</f>
        <v>n</v>
      </c>
      <c r="O18" s="195" t="str">
        <f>IF(AND(O$3&gt;=$D18,O$3&lt;=$E18),IF((O$3-$D18+1)*VLOOKUP($A18,presupuesto!$B:$Q,16,FALSE)&gt;=VLOOKUP($A18,informe!$A:$J,9,FALSE),"cg","c"),"n")</f>
        <v>n</v>
      </c>
      <c r="P18" s="195" t="str">
        <f>IF(AND(P$3&gt;=$D18,P$3&lt;=$E18),IF((P$3-$D18+1)*VLOOKUP($A18,presupuesto!$B:$Q,16,FALSE)&gt;=VLOOKUP($A18,informe!$A:$J,9,FALSE),"cg","c"),"n")</f>
        <v>n</v>
      </c>
      <c r="Q18" s="195" t="str">
        <f>IF(AND(Q$3&gt;=$D18,Q$3&lt;=$E18),IF((Q$3-$D18+1)*VLOOKUP($A18,presupuesto!$B:$Q,16,FALSE)&gt;=VLOOKUP($A18,informe!$A:$J,9,FALSE),"cg","c"),"n")</f>
        <v>n</v>
      </c>
      <c r="R18" s="195" t="str">
        <f>IF(AND(R$3&gt;=$D18,R$3&lt;=$E18),IF((R$3-$D18+1)*VLOOKUP($A18,presupuesto!$B:$Q,16,FALSE)&gt;=VLOOKUP($A18,informe!$A:$J,9,FALSE),"cg","c"),"n")</f>
        <v>n</v>
      </c>
      <c r="S18" s="195" t="str">
        <f>IF(AND(S$3&gt;=$D18,S$3&lt;=$E18),IF((S$3-$D18+1)*VLOOKUP($A18,presupuesto!$B:$Q,16,FALSE)&gt;=VLOOKUP($A18,informe!$A:$J,9,FALSE),"cg","c"),"n")</f>
        <v>n</v>
      </c>
      <c r="T18" s="195" t="str">
        <f>IF(AND(T$3&gt;=$D18,T$3&lt;=$E18),IF((T$3-$D18+1)*VLOOKUP($A18,presupuesto!$B:$Q,16,FALSE)&gt;=VLOOKUP($A18,informe!$A:$J,9,FALSE),"cg","c"),"n")</f>
        <v>n</v>
      </c>
      <c r="U18" s="195" t="str">
        <f>IF(AND(U$3&gt;=$D18,U$3&lt;=$E18),IF((U$3-$D18+1)*VLOOKUP($A18,presupuesto!$B:$Q,16,FALSE)&gt;=VLOOKUP($A18,informe!$A:$J,9,FALSE),"cg","c"),"n")</f>
        <v>n</v>
      </c>
      <c r="V18" s="195" t="str">
        <f>IF(AND(V$3&gt;=$D18,V$3&lt;=$E18),IF((V$3-$D18+1)*VLOOKUP($A18,presupuesto!$B:$Q,16,FALSE)&gt;=VLOOKUP($A18,informe!$A:$J,9,FALSE),"cg","c"),"n")</f>
        <v>n</v>
      </c>
      <c r="W18" s="195" t="str">
        <f>IF(AND(W$3&gt;=$D18,W$3&lt;=$E18),IF((W$3-$D18+1)*VLOOKUP($A18,presupuesto!$B:$Q,16,FALSE)&gt;=VLOOKUP($A18,informe!$A:$J,9,FALSE),"cg","c"),"n")</f>
        <v>n</v>
      </c>
      <c r="X18" s="195" t="str">
        <f>IF(AND(X$3&gt;=$D18,X$3&lt;=$E18),IF((X$3-$D18+1)*VLOOKUP($A18,presupuesto!$B:$Q,16,FALSE)&gt;=VLOOKUP($A18,informe!$A:$J,9,FALSE),"cg","c"),"n")</f>
        <v>n</v>
      </c>
      <c r="Y18" s="195" t="str">
        <f>IF(AND(Y$3&gt;=$D18,Y$3&lt;=$E18),IF((Y$3-$D18+1)*VLOOKUP($A18,presupuesto!$B:$Q,16,FALSE)&gt;=VLOOKUP($A18,informe!$A:$J,9,FALSE),"cg","c"),"n")</f>
        <v>n</v>
      </c>
      <c r="Z18" s="195" t="str">
        <f>IF(AND(Z$3&gt;=$D18,Z$3&lt;=$E18),IF((Z$3-$D18+1)*VLOOKUP($A18,presupuesto!$B:$Q,16,FALSE)&gt;=VLOOKUP($A18,informe!$A:$J,9,FALSE),"cg","c"),"n")</f>
        <v>n</v>
      </c>
      <c r="AA18" s="195" t="str">
        <f>IF(AND(AA$3&gt;=$D18,AA$3&lt;=$E18),IF((AA$3-$D18+1)*VLOOKUP($A18,presupuesto!$B:$Q,16,FALSE)&gt;=VLOOKUP($A18,informe!$A:$J,9,FALSE),"cg","c"),"n")</f>
        <v>n</v>
      </c>
      <c r="AB18" s="195" t="str">
        <f>IF(AND(AB$3&gt;=$D18,AB$3&lt;=$E18),IF((AB$3-$D18+1)*VLOOKUP($A18,presupuesto!$B:$Q,16,FALSE)&gt;=VLOOKUP($A18,informe!$A:$J,9,FALSE),"cg","c"),"n")</f>
        <v>n</v>
      </c>
      <c r="AC18" s="195" t="str">
        <f>IF(AND(AC$3&gt;=$D18,AC$3&lt;=$E18),IF((AC$3-$D18+1)*VLOOKUP($A18,presupuesto!$B:$Q,16,FALSE)&gt;=VLOOKUP($A18,informe!$A:$J,9,FALSE),"cg","c"),"n")</f>
        <v>n</v>
      </c>
      <c r="AD18" s="195" t="str">
        <f>IF(AND(AD$3&gt;=$D18,AD$3&lt;=$E18),IF((AD$3-$D18+1)*VLOOKUP($A18,presupuesto!$B:$Q,16,FALSE)&gt;=VLOOKUP($A18,informe!$A:$J,9,FALSE),"cg","c"),"n")</f>
        <v>n</v>
      </c>
      <c r="AE18" s="195" t="str">
        <f>IF(AND(AE$3&gt;=$D18,AE$3&lt;=$E18),IF((AE$3-$D18+1)*VLOOKUP($A18,presupuesto!$B:$Q,16,FALSE)&gt;=VLOOKUP($A18,informe!$A:$J,9,FALSE),"cg","c"),"n")</f>
        <v>n</v>
      </c>
      <c r="AF18" s="195" t="str">
        <f>IF(AND(AF$3&gt;=$D18,AF$3&lt;=$E18),IF((AF$3-$D18+1)*VLOOKUP($A18,presupuesto!$B:$Q,16,FALSE)&gt;=VLOOKUP($A18,informe!$A:$J,9,FALSE),"cg","c"),"n")</f>
        <v>n</v>
      </c>
      <c r="AG18" s="195" t="str">
        <f>IF(AND(AG$3&gt;=$D18,AG$3&lt;=$E18),IF((AG$3-$D18+1)*VLOOKUP($A18,presupuesto!$B:$Q,16,FALSE)&gt;=VLOOKUP($A18,informe!$A:$J,9,FALSE),"cg","c"),"n")</f>
        <v>n</v>
      </c>
      <c r="AH18" s="195" t="str">
        <f>IF(AND(AH$3&gt;=$D18,AH$3&lt;=$E18),IF((AH$3-$D18+1)*VLOOKUP($A18,presupuesto!$B:$Q,16,FALSE)&gt;=VLOOKUP($A18,informe!$A:$J,9,FALSE),"cg","c"),"n")</f>
        <v>n</v>
      </c>
      <c r="AI18" s="195" t="str">
        <f>IF(AND(AI$3&gt;=$D18,AI$3&lt;=$E18),IF((AI$3-$D18+1)*VLOOKUP($A18,presupuesto!$B:$Q,16,FALSE)&gt;=VLOOKUP($A18,informe!$A:$J,9,FALSE),"cg","c"),"n")</f>
        <v>n</v>
      </c>
      <c r="AJ18" s="195" t="str">
        <f>IF(AND(AJ$3&gt;=$D18,AJ$3&lt;=$E18),IF((AJ$3-$D18+1)*VLOOKUP($A18,presupuesto!$B:$Q,16,FALSE)&gt;=VLOOKUP($A18,informe!$A:$J,9,FALSE),"cg","c"),"n")</f>
        <v>n</v>
      </c>
      <c r="AK18" s="196" t="str">
        <f>IF(AND(AK$3&gt;=$D18,AK$3&lt;=$E18),IF((AK$3-$D18+1)*VLOOKUP($A18,presupuesto!$B:$Q,16,FALSE)&gt;=VLOOKUP($A18,informe!$A:$J,9,FALSE),"cg","c"),"n")</f>
        <v>n</v>
      </c>
    </row>
    <row r="19" spans="1:37" s="1" customFormat="1" ht="15" customHeight="1" x14ac:dyDescent="0.3">
      <c r="A19" s="193" t="str">
        <f>presupuesto!B18</f>
        <v>A.5.-</v>
      </c>
      <c r="B19" s="181" t="str">
        <f>presupuesto!C18</f>
        <v xml:space="preserve">         OBRAS COMPLEMENTARIAS</v>
      </c>
      <c r="C19" s="173" t="str">
        <f>presupuesto!G18</f>
        <v>120 días</v>
      </c>
      <c r="D19" s="176">
        <f>presupuesto!N18</f>
        <v>45642</v>
      </c>
      <c r="E19" s="176">
        <f>presupuesto!O18</f>
        <v>45761</v>
      </c>
      <c r="F19" s="194" t="str">
        <f>IF(AK19="n",CONCATENATE(" - "),IF(AK19="cg",CONCATENATE(" - "),CONCATENATE(ROUND(IFERROR(VLOOKUP(A19,informe!A:J,9,FALSE)/VLOOKUP(A19,informe!A:J,5,FALSE),0)*100,2),"% ")))</f>
        <v xml:space="preserve"> - </v>
      </c>
      <c r="G19" s="195" t="str">
        <f>IF(AND(G$3&gt;=$D19,G$3&lt;=$E19),IF((G$3-$D19+1)*VLOOKUP($A19,presupuesto!$B:$Q,16,FALSE)&gt;=VLOOKUP($A19,informe!$A:$J,9,FALSE),"cg","c"),"n")</f>
        <v>n</v>
      </c>
      <c r="H19" s="195" t="str">
        <f>IF(AND(H$3&gt;=$D19,H$3&lt;=$E19),IF((H$3-$D19+1)*VLOOKUP($A19,presupuesto!$B:$Q,16,FALSE)&gt;=VLOOKUP($A19,informe!$A:$J,9,FALSE),"cg","c"),"n")</f>
        <v>n</v>
      </c>
      <c r="I19" s="195" t="str">
        <f>IF(AND(I$3&gt;=$D19,I$3&lt;=$E19),IF((I$3-$D19+1)*VLOOKUP($A19,presupuesto!$B:$Q,16,FALSE)&gt;=VLOOKUP($A19,informe!$A:$J,9,FALSE),"cg","c"),"n")</f>
        <v>n</v>
      </c>
      <c r="J19" s="195" t="str">
        <f>IF(AND(J$3&gt;=$D19,J$3&lt;=$E19),IF((J$3-$D19+1)*VLOOKUP($A19,presupuesto!$B:$Q,16,FALSE)&gt;=VLOOKUP($A19,informe!$A:$J,9,FALSE),"cg","c"),"n")</f>
        <v>n</v>
      </c>
      <c r="K19" s="195" t="str">
        <f>IF(AND(K$3&gt;=$D19,K$3&lt;=$E19),IF((K$3-$D19+1)*VLOOKUP($A19,presupuesto!$B:$Q,16,FALSE)&gt;=VLOOKUP($A19,informe!$A:$J,9,FALSE),"cg","c"),"n")</f>
        <v>n</v>
      </c>
      <c r="L19" s="195" t="str">
        <f>IF(AND(L$3&gt;=$D19,L$3&lt;=$E19),IF((L$3-$D19+1)*VLOOKUP($A19,presupuesto!$B:$Q,16,FALSE)&gt;=VLOOKUP($A19,informe!$A:$J,9,FALSE),"cg","c"),"n")</f>
        <v>n</v>
      </c>
      <c r="M19" s="195" t="str">
        <f>IF(AND(M$3&gt;=$D19,M$3&lt;=$E19),IF((M$3-$D19+1)*VLOOKUP($A19,presupuesto!$B:$Q,16,FALSE)&gt;=VLOOKUP($A19,informe!$A:$J,9,FALSE),"cg","c"),"n")</f>
        <v>n</v>
      </c>
      <c r="N19" s="195" t="str">
        <f>IF(AND(N$3&gt;=$D19,N$3&lt;=$E19),IF((N$3-$D19+1)*VLOOKUP($A19,presupuesto!$B:$Q,16,FALSE)&gt;=VLOOKUP($A19,informe!$A:$J,9,FALSE),"cg","c"),"n")</f>
        <v>n</v>
      </c>
      <c r="O19" s="195" t="str">
        <f>IF(AND(O$3&gt;=$D19,O$3&lt;=$E19),IF((O$3-$D19+1)*VLOOKUP($A19,presupuesto!$B:$Q,16,FALSE)&gt;=VLOOKUP($A19,informe!$A:$J,9,FALSE),"cg","c"),"n")</f>
        <v>n</v>
      </c>
      <c r="P19" s="195" t="str">
        <f>IF(AND(P$3&gt;=$D19,P$3&lt;=$E19),IF((P$3-$D19+1)*VLOOKUP($A19,presupuesto!$B:$Q,16,FALSE)&gt;=VLOOKUP($A19,informe!$A:$J,9,FALSE),"cg","c"),"n")</f>
        <v>n</v>
      </c>
      <c r="Q19" s="195" t="str">
        <f>IF(AND(Q$3&gt;=$D19,Q$3&lt;=$E19),IF((Q$3-$D19+1)*VLOOKUP($A19,presupuesto!$B:$Q,16,FALSE)&gt;=VLOOKUP($A19,informe!$A:$J,9,FALSE),"cg","c"),"n")</f>
        <v>n</v>
      </c>
      <c r="R19" s="195" t="str">
        <f>IF(AND(R$3&gt;=$D19,R$3&lt;=$E19),IF((R$3-$D19+1)*VLOOKUP($A19,presupuesto!$B:$Q,16,FALSE)&gt;=VLOOKUP($A19,informe!$A:$J,9,FALSE),"cg","c"),"n")</f>
        <v>n</v>
      </c>
      <c r="S19" s="195" t="str">
        <f>IF(AND(S$3&gt;=$D19,S$3&lt;=$E19),IF((S$3-$D19+1)*VLOOKUP($A19,presupuesto!$B:$Q,16,FALSE)&gt;=VLOOKUP($A19,informe!$A:$J,9,FALSE),"cg","c"),"n")</f>
        <v>n</v>
      </c>
      <c r="T19" s="195" t="str">
        <f>IF(AND(T$3&gt;=$D19,T$3&lt;=$E19),IF((T$3-$D19+1)*VLOOKUP($A19,presupuesto!$B:$Q,16,FALSE)&gt;=VLOOKUP($A19,informe!$A:$J,9,FALSE),"cg","c"),"n")</f>
        <v>n</v>
      </c>
      <c r="U19" s="195" t="str">
        <f>IF(AND(U$3&gt;=$D19,U$3&lt;=$E19),IF((U$3-$D19+1)*VLOOKUP($A19,presupuesto!$B:$Q,16,FALSE)&gt;=VLOOKUP($A19,informe!$A:$J,9,FALSE),"cg","c"),"n")</f>
        <v>n</v>
      </c>
      <c r="V19" s="195" t="str">
        <f>IF(AND(V$3&gt;=$D19,V$3&lt;=$E19),IF((V$3-$D19+1)*VLOOKUP($A19,presupuesto!$B:$Q,16,FALSE)&gt;=VLOOKUP($A19,informe!$A:$J,9,FALSE),"cg","c"),"n")</f>
        <v>cg</v>
      </c>
      <c r="W19" s="195" t="str">
        <f>IF(AND(W$3&gt;=$D19,W$3&lt;=$E19),IF((W$3-$D19+1)*VLOOKUP($A19,presupuesto!$B:$Q,16,FALSE)&gt;=VLOOKUP($A19,informe!$A:$J,9,FALSE),"cg","c"),"n")</f>
        <v>cg</v>
      </c>
      <c r="X19" s="195" t="str">
        <f>IF(AND(X$3&gt;=$D19,X$3&lt;=$E19),IF((X$3-$D19+1)*VLOOKUP($A19,presupuesto!$B:$Q,16,FALSE)&gt;=VLOOKUP($A19,informe!$A:$J,9,FALSE),"cg","c"),"n")</f>
        <v>cg</v>
      </c>
      <c r="Y19" s="195" t="str">
        <f>IF(AND(Y$3&gt;=$D19,Y$3&lt;=$E19),IF((Y$3-$D19+1)*VLOOKUP($A19,presupuesto!$B:$Q,16,FALSE)&gt;=VLOOKUP($A19,informe!$A:$J,9,FALSE),"cg","c"),"n")</f>
        <v>cg</v>
      </c>
      <c r="Z19" s="195" t="str">
        <f>IF(AND(Z$3&gt;=$D19,Z$3&lt;=$E19),IF((Z$3-$D19+1)*VLOOKUP($A19,presupuesto!$B:$Q,16,FALSE)&gt;=VLOOKUP($A19,informe!$A:$J,9,FALSE),"cg","c"),"n")</f>
        <v>cg</v>
      </c>
      <c r="AA19" s="195" t="str">
        <f>IF(AND(AA$3&gt;=$D19,AA$3&lt;=$E19),IF((AA$3-$D19+1)*VLOOKUP($A19,presupuesto!$B:$Q,16,FALSE)&gt;=VLOOKUP($A19,informe!$A:$J,9,FALSE),"cg","c"),"n")</f>
        <v>cg</v>
      </c>
      <c r="AB19" s="195" t="str">
        <f>IF(AND(AB$3&gt;=$D19,AB$3&lt;=$E19),IF((AB$3-$D19+1)*VLOOKUP($A19,presupuesto!$B:$Q,16,FALSE)&gt;=VLOOKUP($A19,informe!$A:$J,9,FALSE),"cg","c"),"n")</f>
        <v>cg</v>
      </c>
      <c r="AC19" s="195" t="str">
        <f>IF(AND(AC$3&gt;=$D19,AC$3&lt;=$E19),IF((AC$3-$D19+1)*VLOOKUP($A19,presupuesto!$B:$Q,16,FALSE)&gt;=VLOOKUP($A19,informe!$A:$J,9,FALSE),"cg","c"),"n")</f>
        <v>cg</v>
      </c>
      <c r="AD19" s="195" t="str">
        <f>IF(AND(AD$3&gt;=$D19,AD$3&lt;=$E19),IF((AD$3-$D19+1)*VLOOKUP($A19,presupuesto!$B:$Q,16,FALSE)&gt;=VLOOKUP($A19,informe!$A:$J,9,FALSE),"cg","c"),"n")</f>
        <v>cg</v>
      </c>
      <c r="AE19" s="195" t="str">
        <f>IF(AND(AE$3&gt;=$D19,AE$3&lt;=$E19),IF((AE$3-$D19+1)*VLOOKUP($A19,presupuesto!$B:$Q,16,FALSE)&gt;=VLOOKUP($A19,informe!$A:$J,9,FALSE),"cg","c"),"n")</f>
        <v>cg</v>
      </c>
      <c r="AF19" s="195" t="str">
        <f>IF(AND(AF$3&gt;=$D19,AF$3&lt;=$E19),IF((AF$3-$D19+1)*VLOOKUP($A19,presupuesto!$B:$Q,16,FALSE)&gt;=VLOOKUP($A19,informe!$A:$J,9,FALSE),"cg","c"),"n")</f>
        <v>cg</v>
      </c>
      <c r="AG19" s="195" t="str">
        <f>IF(AND(AG$3&gt;=$D19,AG$3&lt;=$E19),IF((AG$3-$D19+1)*VLOOKUP($A19,presupuesto!$B:$Q,16,FALSE)&gt;=VLOOKUP($A19,informe!$A:$J,9,FALSE),"cg","c"),"n")</f>
        <v>cg</v>
      </c>
      <c r="AH19" s="195" t="str">
        <f>IF(AND(AH$3&gt;=$D19,AH$3&lt;=$E19),IF((AH$3-$D19+1)*VLOOKUP($A19,presupuesto!$B:$Q,16,FALSE)&gt;=VLOOKUP($A19,informe!$A:$J,9,FALSE),"cg","c"),"n")</f>
        <v>cg</v>
      </c>
      <c r="AI19" s="195" t="str">
        <f>IF(AND(AI$3&gt;=$D19,AI$3&lt;=$E19),IF((AI$3-$D19+1)*VLOOKUP($A19,presupuesto!$B:$Q,16,FALSE)&gt;=VLOOKUP($A19,informe!$A:$J,9,FALSE),"cg","c"),"n")</f>
        <v>cg</v>
      </c>
      <c r="AJ19" s="195" t="str">
        <f>IF(AND(AJ$3&gt;=$D19,AJ$3&lt;=$E19),IF((AJ$3-$D19+1)*VLOOKUP($A19,presupuesto!$B:$Q,16,FALSE)&gt;=VLOOKUP($A19,informe!$A:$J,9,FALSE),"cg","c"),"n")</f>
        <v>cg</v>
      </c>
      <c r="AK19" s="196" t="str">
        <f>IF(AND(AK$3&gt;=$D19,AK$3&lt;=$E19),IF((AK$3-$D19+1)*VLOOKUP($A19,presupuesto!$B:$Q,16,FALSE)&gt;=VLOOKUP($A19,informe!$A:$J,9,FALSE),"cg","c"),"n")</f>
        <v>cg</v>
      </c>
    </row>
    <row r="20" spans="1:37" s="1" customFormat="1" ht="15" customHeight="1" x14ac:dyDescent="0.25">
      <c r="A20" s="197">
        <f>presupuesto!B19</f>
        <v>9</v>
      </c>
      <c r="B20" s="182" t="str">
        <f>presupuesto!C19</f>
        <v xml:space="preserve">            Suministro y montaje motobombas KSB UPAcrhom 150-16/10cc DN100 o equivalente</v>
      </c>
      <c r="C20" s="174" t="str">
        <f>presupuesto!G19</f>
        <v>120 días</v>
      </c>
      <c r="D20" s="177">
        <f>presupuesto!N19</f>
        <v>45642</v>
      </c>
      <c r="E20" s="177">
        <f>presupuesto!O19</f>
        <v>45761</v>
      </c>
      <c r="F20" s="194" t="str">
        <f>IF(AK20="n",CONCATENATE(" - "),IF(AK20="cg",CONCATENATE(" - "),CONCATENATE(ROUND(IFERROR(VLOOKUP(A20,informe!A:J,9,FALSE)/VLOOKUP(A20,informe!A:J,5,FALSE),0)*100,2),"% ")))</f>
        <v xml:space="preserve"> - </v>
      </c>
      <c r="G20" s="195" t="str">
        <f>IF(AND(G$3&gt;=$D20,G$3&lt;=$E20),IF((G$3-$D20+1)*VLOOKUP($A20,presupuesto!$B:$Q,16,FALSE)&gt;=VLOOKUP($A20,informe!$A:$J,9,FALSE),"cg","c"),"n")</f>
        <v>n</v>
      </c>
      <c r="H20" s="195" t="str">
        <f>IF(AND(H$3&gt;=$D20,H$3&lt;=$E20),IF((H$3-$D20+1)*VLOOKUP($A20,presupuesto!$B:$Q,16,FALSE)&gt;=VLOOKUP($A20,informe!$A:$J,9,FALSE),"cg","c"),"n")</f>
        <v>n</v>
      </c>
      <c r="I20" s="195" t="str">
        <f>IF(AND(I$3&gt;=$D20,I$3&lt;=$E20),IF((I$3-$D20+1)*VLOOKUP($A20,presupuesto!$B:$Q,16,FALSE)&gt;=VLOOKUP($A20,informe!$A:$J,9,FALSE),"cg","c"),"n")</f>
        <v>n</v>
      </c>
      <c r="J20" s="195" t="str">
        <f>IF(AND(J$3&gt;=$D20,J$3&lt;=$E20),IF((J$3-$D20+1)*VLOOKUP($A20,presupuesto!$B:$Q,16,FALSE)&gt;=VLOOKUP($A20,informe!$A:$J,9,FALSE),"cg","c"),"n")</f>
        <v>n</v>
      </c>
      <c r="K20" s="195" t="str">
        <f>IF(AND(K$3&gt;=$D20,K$3&lt;=$E20),IF((K$3-$D20+1)*VLOOKUP($A20,presupuesto!$B:$Q,16,FALSE)&gt;=VLOOKUP($A20,informe!$A:$J,9,FALSE),"cg","c"),"n")</f>
        <v>n</v>
      </c>
      <c r="L20" s="195" t="str">
        <f>IF(AND(L$3&gt;=$D20,L$3&lt;=$E20),IF((L$3-$D20+1)*VLOOKUP($A20,presupuesto!$B:$Q,16,FALSE)&gt;=VLOOKUP($A20,informe!$A:$J,9,FALSE),"cg","c"),"n")</f>
        <v>n</v>
      </c>
      <c r="M20" s="195" t="str">
        <f>IF(AND(M$3&gt;=$D20,M$3&lt;=$E20),IF((M$3-$D20+1)*VLOOKUP($A20,presupuesto!$B:$Q,16,FALSE)&gt;=VLOOKUP($A20,informe!$A:$J,9,FALSE),"cg","c"),"n")</f>
        <v>n</v>
      </c>
      <c r="N20" s="195" t="str">
        <f>IF(AND(N$3&gt;=$D20,N$3&lt;=$E20),IF((N$3-$D20+1)*VLOOKUP($A20,presupuesto!$B:$Q,16,FALSE)&gt;=VLOOKUP($A20,informe!$A:$J,9,FALSE),"cg","c"),"n")</f>
        <v>n</v>
      </c>
      <c r="O20" s="195" t="str">
        <f>IF(AND(O$3&gt;=$D20,O$3&lt;=$E20),IF((O$3-$D20+1)*VLOOKUP($A20,presupuesto!$B:$Q,16,FALSE)&gt;=VLOOKUP($A20,informe!$A:$J,9,FALSE),"cg","c"),"n")</f>
        <v>n</v>
      </c>
      <c r="P20" s="195" t="str">
        <f>IF(AND(P$3&gt;=$D20,P$3&lt;=$E20),IF((P$3-$D20+1)*VLOOKUP($A20,presupuesto!$B:$Q,16,FALSE)&gt;=VLOOKUP($A20,informe!$A:$J,9,FALSE),"cg","c"),"n")</f>
        <v>n</v>
      </c>
      <c r="Q20" s="195" t="str">
        <f>IF(AND(Q$3&gt;=$D20,Q$3&lt;=$E20),IF((Q$3-$D20+1)*VLOOKUP($A20,presupuesto!$B:$Q,16,FALSE)&gt;=VLOOKUP($A20,informe!$A:$J,9,FALSE),"cg","c"),"n")</f>
        <v>n</v>
      </c>
      <c r="R20" s="195" t="str">
        <f>IF(AND(R$3&gt;=$D20,R$3&lt;=$E20),IF((R$3-$D20+1)*VLOOKUP($A20,presupuesto!$B:$Q,16,FALSE)&gt;=VLOOKUP($A20,informe!$A:$J,9,FALSE),"cg","c"),"n")</f>
        <v>n</v>
      </c>
      <c r="S20" s="195" t="str">
        <f>IF(AND(S$3&gt;=$D20,S$3&lt;=$E20),IF((S$3-$D20+1)*VLOOKUP($A20,presupuesto!$B:$Q,16,FALSE)&gt;=VLOOKUP($A20,informe!$A:$J,9,FALSE),"cg","c"),"n")</f>
        <v>n</v>
      </c>
      <c r="T20" s="195" t="str">
        <f>IF(AND(T$3&gt;=$D20,T$3&lt;=$E20),IF((T$3-$D20+1)*VLOOKUP($A20,presupuesto!$B:$Q,16,FALSE)&gt;=VLOOKUP($A20,informe!$A:$J,9,FALSE),"cg","c"),"n")</f>
        <v>n</v>
      </c>
      <c r="U20" s="195" t="str">
        <f>IF(AND(U$3&gt;=$D20,U$3&lt;=$E20),IF((U$3-$D20+1)*VLOOKUP($A20,presupuesto!$B:$Q,16,FALSE)&gt;=VLOOKUP($A20,informe!$A:$J,9,FALSE),"cg","c"),"n")</f>
        <v>n</v>
      </c>
      <c r="V20" s="195" t="str">
        <f>IF(AND(V$3&gt;=$D20,V$3&lt;=$E20),IF((V$3-$D20+1)*VLOOKUP($A20,presupuesto!$B:$Q,16,FALSE)&gt;=VLOOKUP($A20,informe!$A:$J,9,FALSE),"cg","c"),"n")</f>
        <v>cg</v>
      </c>
      <c r="W20" s="195" t="str">
        <f>IF(AND(W$3&gt;=$D20,W$3&lt;=$E20),IF((W$3-$D20+1)*VLOOKUP($A20,presupuesto!$B:$Q,16,FALSE)&gt;=VLOOKUP($A20,informe!$A:$J,9,FALSE),"cg","c"),"n")</f>
        <v>cg</v>
      </c>
      <c r="X20" s="195" t="str">
        <f>IF(AND(X$3&gt;=$D20,X$3&lt;=$E20),IF((X$3-$D20+1)*VLOOKUP($A20,presupuesto!$B:$Q,16,FALSE)&gt;=VLOOKUP($A20,informe!$A:$J,9,FALSE),"cg","c"),"n")</f>
        <v>cg</v>
      </c>
      <c r="Y20" s="195" t="str">
        <f>IF(AND(Y$3&gt;=$D20,Y$3&lt;=$E20),IF((Y$3-$D20+1)*VLOOKUP($A20,presupuesto!$B:$Q,16,FALSE)&gt;=VLOOKUP($A20,informe!$A:$J,9,FALSE),"cg","c"),"n")</f>
        <v>cg</v>
      </c>
      <c r="Z20" s="195" t="str">
        <f>IF(AND(Z$3&gt;=$D20,Z$3&lt;=$E20),IF((Z$3-$D20+1)*VLOOKUP($A20,presupuesto!$B:$Q,16,FALSE)&gt;=VLOOKUP($A20,informe!$A:$J,9,FALSE),"cg","c"),"n")</f>
        <v>cg</v>
      </c>
      <c r="AA20" s="195" t="str">
        <f>IF(AND(AA$3&gt;=$D20,AA$3&lt;=$E20),IF((AA$3-$D20+1)*VLOOKUP($A20,presupuesto!$B:$Q,16,FALSE)&gt;=VLOOKUP($A20,informe!$A:$J,9,FALSE),"cg","c"),"n")</f>
        <v>cg</v>
      </c>
      <c r="AB20" s="195" t="str">
        <f>IF(AND(AB$3&gt;=$D20,AB$3&lt;=$E20),IF((AB$3-$D20+1)*VLOOKUP($A20,presupuesto!$B:$Q,16,FALSE)&gt;=VLOOKUP($A20,informe!$A:$J,9,FALSE),"cg","c"),"n")</f>
        <v>cg</v>
      </c>
      <c r="AC20" s="195" t="str">
        <f>IF(AND(AC$3&gt;=$D20,AC$3&lt;=$E20),IF((AC$3-$D20+1)*VLOOKUP($A20,presupuesto!$B:$Q,16,FALSE)&gt;=VLOOKUP($A20,informe!$A:$J,9,FALSE),"cg","c"),"n")</f>
        <v>cg</v>
      </c>
      <c r="AD20" s="195" t="str">
        <f>IF(AND(AD$3&gt;=$D20,AD$3&lt;=$E20),IF((AD$3-$D20+1)*VLOOKUP($A20,presupuesto!$B:$Q,16,FALSE)&gt;=VLOOKUP($A20,informe!$A:$J,9,FALSE),"cg","c"),"n")</f>
        <v>cg</v>
      </c>
      <c r="AE20" s="195" t="str">
        <f>IF(AND(AE$3&gt;=$D20,AE$3&lt;=$E20),IF((AE$3-$D20+1)*VLOOKUP($A20,presupuesto!$B:$Q,16,FALSE)&gt;=VLOOKUP($A20,informe!$A:$J,9,FALSE),"cg","c"),"n")</f>
        <v>cg</v>
      </c>
      <c r="AF20" s="195" t="str">
        <f>IF(AND(AF$3&gt;=$D20,AF$3&lt;=$E20),IF((AF$3-$D20+1)*VLOOKUP($A20,presupuesto!$B:$Q,16,FALSE)&gt;=VLOOKUP($A20,informe!$A:$J,9,FALSE),"cg","c"),"n")</f>
        <v>cg</v>
      </c>
      <c r="AG20" s="195" t="str">
        <f>IF(AND(AG$3&gt;=$D20,AG$3&lt;=$E20),IF((AG$3-$D20+1)*VLOOKUP($A20,presupuesto!$B:$Q,16,FALSE)&gt;=VLOOKUP($A20,informe!$A:$J,9,FALSE),"cg","c"),"n")</f>
        <v>cg</v>
      </c>
      <c r="AH20" s="195" t="str">
        <f>IF(AND(AH$3&gt;=$D20,AH$3&lt;=$E20),IF((AH$3-$D20+1)*VLOOKUP($A20,presupuesto!$B:$Q,16,FALSE)&gt;=VLOOKUP($A20,informe!$A:$J,9,FALSE),"cg","c"),"n")</f>
        <v>cg</v>
      </c>
      <c r="AI20" s="195" t="str">
        <f>IF(AND(AI$3&gt;=$D20,AI$3&lt;=$E20),IF((AI$3-$D20+1)*VLOOKUP($A20,presupuesto!$B:$Q,16,FALSE)&gt;=VLOOKUP($A20,informe!$A:$J,9,FALSE),"cg","c"),"n")</f>
        <v>cg</v>
      </c>
      <c r="AJ20" s="195" t="str">
        <f>IF(AND(AJ$3&gt;=$D20,AJ$3&lt;=$E20),IF((AJ$3-$D20+1)*VLOOKUP($A20,presupuesto!$B:$Q,16,FALSE)&gt;=VLOOKUP($A20,informe!$A:$J,9,FALSE),"cg","c"),"n")</f>
        <v>cg</v>
      </c>
      <c r="AK20" s="196" t="str">
        <f>IF(AND(AK$3&gt;=$D20,AK$3&lt;=$E20),IF((AK$3-$D20+1)*VLOOKUP($A20,presupuesto!$B:$Q,16,FALSE)&gt;=VLOOKUP($A20,informe!$A:$J,9,FALSE),"cg","c"),"n")</f>
        <v>cg</v>
      </c>
    </row>
    <row r="21" spans="1:37" s="1" customFormat="1" ht="15" customHeight="1" x14ac:dyDescent="0.3">
      <c r="A21" s="197" t="str">
        <f>presupuesto!B20</f>
        <v>B</v>
      </c>
      <c r="B21" s="181" t="str">
        <f>presupuesto!C20</f>
        <v xml:space="preserve">      OBRAS VARIAS</v>
      </c>
      <c r="C21" s="174" t="str">
        <f>presupuesto!G20</f>
        <v>38 días</v>
      </c>
      <c r="D21" s="177">
        <f>presupuesto!N20</f>
        <v>45754</v>
      </c>
      <c r="E21" s="177">
        <f>presupuesto!O20</f>
        <v>45791</v>
      </c>
      <c r="F21" s="194" t="str">
        <f>IF(AK21="n",CONCATENATE(" - "),IF(AK21="cg",CONCATENATE(" - "),CONCATENATE(ROUND(IFERROR(VLOOKUP(A21,informe!A:J,9,FALSE)/VLOOKUP(A21,informe!A:J,5,FALSE),0)*100,2),"% ")))</f>
        <v xml:space="preserve"> - </v>
      </c>
      <c r="G21" s="195" t="str">
        <f>IF(AND(G$3&gt;=$D21,G$3&lt;=$E21),IF((G$3-$D21+1)*VLOOKUP($A21,presupuesto!$B:$Q,16,FALSE)&gt;=VLOOKUP($A21,informe!$A:$J,9,FALSE),"cg","c"),"n")</f>
        <v>n</v>
      </c>
      <c r="H21" s="195" t="str">
        <f>IF(AND(H$3&gt;=$D21,H$3&lt;=$E21),IF((H$3-$D21+1)*VLOOKUP($A21,presupuesto!$B:$Q,16,FALSE)&gt;=VLOOKUP($A21,informe!$A:$J,9,FALSE),"cg","c"),"n")</f>
        <v>n</v>
      </c>
      <c r="I21" s="195" t="str">
        <f>IF(AND(I$3&gt;=$D21,I$3&lt;=$E21),IF((I$3-$D21+1)*VLOOKUP($A21,presupuesto!$B:$Q,16,FALSE)&gt;=VLOOKUP($A21,informe!$A:$J,9,FALSE),"cg","c"),"n")</f>
        <v>n</v>
      </c>
      <c r="J21" s="195" t="str">
        <f>IF(AND(J$3&gt;=$D21,J$3&lt;=$E21),IF((J$3-$D21+1)*VLOOKUP($A21,presupuesto!$B:$Q,16,FALSE)&gt;=VLOOKUP($A21,informe!$A:$J,9,FALSE),"cg","c"),"n")</f>
        <v>n</v>
      </c>
      <c r="K21" s="195" t="str">
        <f>IF(AND(K$3&gt;=$D21,K$3&lt;=$E21),IF((K$3-$D21+1)*VLOOKUP($A21,presupuesto!$B:$Q,16,FALSE)&gt;=VLOOKUP($A21,informe!$A:$J,9,FALSE),"cg","c"),"n")</f>
        <v>n</v>
      </c>
      <c r="L21" s="195" t="str">
        <f>IF(AND(L$3&gt;=$D21,L$3&lt;=$E21),IF((L$3-$D21+1)*VLOOKUP($A21,presupuesto!$B:$Q,16,FALSE)&gt;=VLOOKUP($A21,informe!$A:$J,9,FALSE),"cg","c"),"n")</f>
        <v>n</v>
      </c>
      <c r="M21" s="195" t="str">
        <f>IF(AND(M$3&gt;=$D21,M$3&lt;=$E21),IF((M$3-$D21+1)*VLOOKUP($A21,presupuesto!$B:$Q,16,FALSE)&gt;=VLOOKUP($A21,informe!$A:$J,9,FALSE),"cg","c"),"n")</f>
        <v>n</v>
      </c>
      <c r="N21" s="195" t="str">
        <f>IF(AND(N$3&gt;=$D21,N$3&lt;=$E21),IF((N$3-$D21+1)*VLOOKUP($A21,presupuesto!$B:$Q,16,FALSE)&gt;=VLOOKUP($A21,informe!$A:$J,9,FALSE),"cg","c"),"n")</f>
        <v>n</v>
      </c>
      <c r="O21" s="195" t="str">
        <f>IF(AND(O$3&gt;=$D21,O$3&lt;=$E21),IF((O$3-$D21+1)*VLOOKUP($A21,presupuesto!$B:$Q,16,FALSE)&gt;=VLOOKUP($A21,informe!$A:$J,9,FALSE),"cg","c"),"n")</f>
        <v>n</v>
      </c>
      <c r="P21" s="195" t="str">
        <f>IF(AND(P$3&gt;=$D21,P$3&lt;=$E21),IF((P$3-$D21+1)*VLOOKUP($A21,presupuesto!$B:$Q,16,FALSE)&gt;=VLOOKUP($A21,informe!$A:$J,9,FALSE),"cg","c"),"n")</f>
        <v>n</v>
      </c>
      <c r="Q21" s="195" t="str">
        <f>IF(AND(Q$3&gt;=$D21,Q$3&lt;=$E21),IF((Q$3-$D21+1)*VLOOKUP($A21,presupuesto!$B:$Q,16,FALSE)&gt;=VLOOKUP($A21,informe!$A:$J,9,FALSE),"cg","c"),"n")</f>
        <v>n</v>
      </c>
      <c r="R21" s="195" t="str">
        <f>IF(AND(R$3&gt;=$D21,R$3&lt;=$E21),IF((R$3-$D21+1)*VLOOKUP($A21,presupuesto!$B:$Q,16,FALSE)&gt;=VLOOKUP($A21,informe!$A:$J,9,FALSE),"cg","c"),"n")</f>
        <v>n</v>
      </c>
      <c r="S21" s="195" t="str">
        <f>IF(AND(S$3&gt;=$D21,S$3&lt;=$E21),IF((S$3-$D21+1)*VLOOKUP($A21,presupuesto!$B:$Q,16,FALSE)&gt;=VLOOKUP($A21,informe!$A:$J,9,FALSE),"cg","c"),"n")</f>
        <v>n</v>
      </c>
      <c r="T21" s="195" t="str">
        <f>IF(AND(T$3&gt;=$D21,T$3&lt;=$E21),IF((T$3-$D21+1)*VLOOKUP($A21,presupuesto!$B:$Q,16,FALSE)&gt;=VLOOKUP($A21,informe!$A:$J,9,FALSE),"cg","c"),"n")</f>
        <v>n</v>
      </c>
      <c r="U21" s="195" t="str">
        <f>IF(AND(U$3&gt;=$D21,U$3&lt;=$E21),IF((U$3-$D21+1)*VLOOKUP($A21,presupuesto!$B:$Q,16,FALSE)&gt;=VLOOKUP($A21,informe!$A:$J,9,FALSE),"cg","c"),"n")</f>
        <v>n</v>
      </c>
      <c r="V21" s="195" t="str">
        <f>IF(AND(V$3&gt;=$D21,V$3&lt;=$E21),IF((V$3-$D21+1)*VLOOKUP($A21,presupuesto!$B:$Q,16,FALSE)&gt;=VLOOKUP($A21,informe!$A:$J,9,FALSE),"cg","c"),"n")</f>
        <v>n</v>
      </c>
      <c r="W21" s="195" t="str">
        <f>IF(AND(W$3&gt;=$D21,W$3&lt;=$E21),IF((W$3-$D21+1)*VLOOKUP($A21,presupuesto!$B:$Q,16,FALSE)&gt;=VLOOKUP($A21,informe!$A:$J,9,FALSE),"cg","c"),"n")</f>
        <v>n</v>
      </c>
      <c r="X21" s="195" t="str">
        <f>IF(AND(X$3&gt;=$D21,X$3&lt;=$E21),IF((X$3-$D21+1)*VLOOKUP($A21,presupuesto!$B:$Q,16,FALSE)&gt;=VLOOKUP($A21,informe!$A:$J,9,FALSE),"cg","c"),"n")</f>
        <v>n</v>
      </c>
      <c r="Y21" s="195" t="str">
        <f>IF(AND(Y$3&gt;=$D21,Y$3&lt;=$E21),IF((Y$3-$D21+1)*VLOOKUP($A21,presupuesto!$B:$Q,16,FALSE)&gt;=VLOOKUP($A21,informe!$A:$J,9,FALSE),"cg","c"),"n")</f>
        <v>n</v>
      </c>
      <c r="Z21" s="195" t="str">
        <f>IF(AND(Z$3&gt;=$D21,Z$3&lt;=$E21),IF((Z$3-$D21+1)*VLOOKUP($A21,presupuesto!$B:$Q,16,FALSE)&gt;=VLOOKUP($A21,informe!$A:$J,9,FALSE),"cg","c"),"n")</f>
        <v>n</v>
      </c>
      <c r="AA21" s="195" t="str">
        <f>IF(AND(AA$3&gt;=$D21,AA$3&lt;=$E21),IF((AA$3-$D21+1)*VLOOKUP($A21,presupuesto!$B:$Q,16,FALSE)&gt;=VLOOKUP($A21,informe!$A:$J,9,FALSE),"cg","c"),"n")</f>
        <v>n</v>
      </c>
      <c r="AB21" s="195" t="str">
        <f>IF(AND(AB$3&gt;=$D21,AB$3&lt;=$E21),IF((AB$3-$D21+1)*VLOOKUP($A21,presupuesto!$B:$Q,16,FALSE)&gt;=VLOOKUP($A21,informe!$A:$J,9,FALSE),"cg","c"),"n")</f>
        <v>n</v>
      </c>
      <c r="AC21" s="195" t="str">
        <f>IF(AND(AC$3&gt;=$D21,AC$3&lt;=$E21),IF((AC$3-$D21+1)*VLOOKUP($A21,presupuesto!$B:$Q,16,FALSE)&gt;=VLOOKUP($A21,informe!$A:$J,9,FALSE),"cg","c"),"n")</f>
        <v>n</v>
      </c>
      <c r="AD21" s="195" t="str">
        <f>IF(AND(AD$3&gt;=$D21,AD$3&lt;=$E21),IF((AD$3-$D21+1)*VLOOKUP($A21,presupuesto!$B:$Q,16,FALSE)&gt;=VLOOKUP($A21,informe!$A:$J,9,FALSE),"cg","c"),"n")</f>
        <v>n</v>
      </c>
      <c r="AE21" s="195" t="str">
        <f>IF(AND(AE$3&gt;=$D21,AE$3&lt;=$E21),IF((AE$3-$D21+1)*VLOOKUP($A21,presupuesto!$B:$Q,16,FALSE)&gt;=VLOOKUP($A21,informe!$A:$J,9,FALSE),"cg","c"),"n")</f>
        <v>n</v>
      </c>
      <c r="AF21" s="195" t="str">
        <f>IF(AND(AF$3&gt;=$D21,AF$3&lt;=$E21),IF((AF$3-$D21+1)*VLOOKUP($A21,presupuesto!$B:$Q,16,FALSE)&gt;=VLOOKUP($A21,informe!$A:$J,9,FALSE),"cg","c"),"n")</f>
        <v>n</v>
      </c>
      <c r="AG21" s="195" t="str">
        <f>IF(AND(AG$3&gt;=$D21,AG$3&lt;=$E21),IF((AG$3-$D21+1)*VLOOKUP($A21,presupuesto!$B:$Q,16,FALSE)&gt;=VLOOKUP($A21,informe!$A:$J,9,FALSE),"cg","c"),"n")</f>
        <v>n</v>
      </c>
      <c r="AH21" s="195" t="str">
        <f>IF(AND(AH$3&gt;=$D21,AH$3&lt;=$E21),IF((AH$3-$D21+1)*VLOOKUP($A21,presupuesto!$B:$Q,16,FALSE)&gt;=VLOOKUP($A21,informe!$A:$J,9,FALSE),"cg","c"),"n")</f>
        <v>n</v>
      </c>
      <c r="AI21" s="195" t="str">
        <f>IF(AND(AI$3&gt;=$D21,AI$3&lt;=$E21),IF((AI$3-$D21+1)*VLOOKUP($A21,presupuesto!$B:$Q,16,FALSE)&gt;=VLOOKUP($A21,informe!$A:$J,9,FALSE),"cg","c"),"n")</f>
        <v>n</v>
      </c>
      <c r="AJ21" s="195" t="str">
        <f>IF(AND(AJ$3&gt;=$D21,AJ$3&lt;=$E21),IF((AJ$3-$D21+1)*VLOOKUP($A21,presupuesto!$B:$Q,16,FALSE)&gt;=VLOOKUP($A21,informe!$A:$J,9,FALSE),"cg","c"),"n")</f>
        <v>n</v>
      </c>
      <c r="AK21" s="196" t="str">
        <f>IF(AND(AK$3&gt;=$D21,AK$3&lt;=$E21),IF((AK$3-$D21+1)*VLOOKUP($A21,presupuesto!$B:$Q,16,FALSE)&gt;=VLOOKUP($A21,informe!$A:$J,9,FALSE),"cg","c"),"n")</f>
        <v>n</v>
      </c>
    </row>
    <row r="22" spans="1:37" s="1" customFormat="1" ht="15" customHeight="1" x14ac:dyDescent="0.25">
      <c r="A22" s="197">
        <f>presupuesto!B21</f>
        <v>10</v>
      </c>
      <c r="B22" s="182" t="str">
        <f>presupuesto!C21</f>
        <v xml:space="preserve">         Pedraplen</v>
      </c>
      <c r="C22" s="174" t="str">
        <f>presupuesto!G21</f>
        <v>7 días</v>
      </c>
      <c r="D22" s="177">
        <f>presupuesto!N21</f>
        <v>45754</v>
      </c>
      <c r="E22" s="177">
        <f>presupuesto!O21</f>
        <v>45760</v>
      </c>
      <c r="F22" s="194" t="str">
        <f>IF(AK22="n",CONCATENATE(" - "),IF(AK22="cg",CONCATENATE(" - "),CONCATENATE(ROUND(IFERROR(VLOOKUP(A22,informe!A:J,9,FALSE)/VLOOKUP(A22,informe!A:J,5,FALSE),0)*100,2),"% ")))</f>
        <v xml:space="preserve"> - </v>
      </c>
      <c r="G22" s="195" t="str">
        <f>IF(AND(G$3&gt;=$D22,G$3&lt;=$E22),IF((G$3-$D22+1)*VLOOKUP($A22,presupuesto!$B:$Q,16,FALSE)&gt;=VLOOKUP($A22,informe!$A:$J,9,FALSE),"cg","c"),"n")</f>
        <v>n</v>
      </c>
      <c r="H22" s="195" t="str">
        <f>IF(AND(H$3&gt;=$D22,H$3&lt;=$E22),IF((H$3-$D22+1)*VLOOKUP($A22,presupuesto!$B:$Q,16,FALSE)&gt;=VLOOKUP($A22,informe!$A:$J,9,FALSE),"cg","c"),"n")</f>
        <v>n</v>
      </c>
      <c r="I22" s="195" t="str">
        <f>IF(AND(I$3&gt;=$D22,I$3&lt;=$E22),IF((I$3-$D22+1)*VLOOKUP($A22,presupuesto!$B:$Q,16,FALSE)&gt;=VLOOKUP($A22,informe!$A:$J,9,FALSE),"cg","c"),"n")</f>
        <v>n</v>
      </c>
      <c r="J22" s="195" t="str">
        <f>IF(AND(J$3&gt;=$D22,J$3&lt;=$E22),IF((J$3-$D22+1)*VLOOKUP($A22,presupuesto!$B:$Q,16,FALSE)&gt;=VLOOKUP($A22,informe!$A:$J,9,FALSE),"cg","c"),"n")</f>
        <v>n</v>
      </c>
      <c r="K22" s="195" t="str">
        <f>IF(AND(K$3&gt;=$D22,K$3&lt;=$E22),IF((K$3-$D22+1)*VLOOKUP($A22,presupuesto!$B:$Q,16,FALSE)&gt;=VLOOKUP($A22,informe!$A:$J,9,FALSE),"cg","c"),"n")</f>
        <v>n</v>
      </c>
      <c r="L22" s="195" t="str">
        <f>IF(AND(L$3&gt;=$D22,L$3&lt;=$E22),IF((L$3-$D22+1)*VLOOKUP($A22,presupuesto!$B:$Q,16,FALSE)&gt;=VLOOKUP($A22,informe!$A:$J,9,FALSE),"cg","c"),"n")</f>
        <v>n</v>
      </c>
      <c r="M22" s="195" t="str">
        <f>IF(AND(M$3&gt;=$D22,M$3&lt;=$E22),IF((M$3-$D22+1)*VLOOKUP($A22,presupuesto!$B:$Q,16,FALSE)&gt;=VLOOKUP($A22,informe!$A:$J,9,FALSE),"cg","c"),"n")</f>
        <v>n</v>
      </c>
      <c r="N22" s="195" t="str">
        <f>IF(AND(N$3&gt;=$D22,N$3&lt;=$E22),IF((N$3-$D22+1)*VLOOKUP($A22,presupuesto!$B:$Q,16,FALSE)&gt;=VLOOKUP($A22,informe!$A:$J,9,FALSE),"cg","c"),"n")</f>
        <v>n</v>
      </c>
      <c r="O22" s="195" t="str">
        <f>IF(AND(O$3&gt;=$D22,O$3&lt;=$E22),IF((O$3-$D22+1)*VLOOKUP($A22,presupuesto!$B:$Q,16,FALSE)&gt;=VLOOKUP($A22,informe!$A:$J,9,FALSE),"cg","c"),"n")</f>
        <v>n</v>
      </c>
      <c r="P22" s="195" t="str">
        <f>IF(AND(P$3&gt;=$D22,P$3&lt;=$E22),IF((P$3-$D22+1)*VLOOKUP($A22,presupuesto!$B:$Q,16,FALSE)&gt;=VLOOKUP($A22,informe!$A:$J,9,FALSE),"cg","c"),"n")</f>
        <v>n</v>
      </c>
      <c r="Q22" s="195" t="str">
        <f>IF(AND(Q$3&gt;=$D22,Q$3&lt;=$E22),IF((Q$3-$D22+1)*VLOOKUP($A22,presupuesto!$B:$Q,16,FALSE)&gt;=VLOOKUP($A22,informe!$A:$J,9,FALSE),"cg","c"),"n")</f>
        <v>n</v>
      </c>
      <c r="R22" s="195" t="str">
        <f>IF(AND(R$3&gt;=$D22,R$3&lt;=$E22),IF((R$3-$D22+1)*VLOOKUP($A22,presupuesto!$B:$Q,16,FALSE)&gt;=VLOOKUP($A22,informe!$A:$J,9,FALSE),"cg","c"),"n")</f>
        <v>n</v>
      </c>
      <c r="S22" s="195" t="str">
        <f>IF(AND(S$3&gt;=$D22,S$3&lt;=$E22),IF((S$3-$D22+1)*VLOOKUP($A22,presupuesto!$B:$Q,16,FALSE)&gt;=VLOOKUP($A22,informe!$A:$J,9,FALSE),"cg","c"),"n")</f>
        <v>n</v>
      </c>
      <c r="T22" s="195" t="str">
        <f>IF(AND(T$3&gt;=$D22,T$3&lt;=$E22),IF((T$3-$D22+1)*VLOOKUP($A22,presupuesto!$B:$Q,16,FALSE)&gt;=VLOOKUP($A22,informe!$A:$J,9,FALSE),"cg","c"),"n")</f>
        <v>n</v>
      </c>
      <c r="U22" s="195" t="str">
        <f>IF(AND(U$3&gt;=$D22,U$3&lt;=$E22),IF((U$3-$D22+1)*VLOOKUP($A22,presupuesto!$B:$Q,16,FALSE)&gt;=VLOOKUP($A22,informe!$A:$J,9,FALSE),"cg","c"),"n")</f>
        <v>n</v>
      </c>
      <c r="V22" s="195" t="str">
        <f>IF(AND(V$3&gt;=$D22,V$3&lt;=$E22),IF((V$3-$D22+1)*VLOOKUP($A22,presupuesto!$B:$Q,16,FALSE)&gt;=VLOOKUP($A22,informe!$A:$J,9,FALSE),"cg","c"),"n")</f>
        <v>n</v>
      </c>
      <c r="W22" s="195" t="str">
        <f>IF(AND(W$3&gt;=$D22,W$3&lt;=$E22),IF((W$3-$D22+1)*VLOOKUP($A22,presupuesto!$B:$Q,16,FALSE)&gt;=VLOOKUP($A22,informe!$A:$J,9,FALSE),"cg","c"),"n")</f>
        <v>n</v>
      </c>
      <c r="X22" s="195" t="str">
        <f>IF(AND(X$3&gt;=$D22,X$3&lt;=$E22),IF((X$3-$D22+1)*VLOOKUP($A22,presupuesto!$B:$Q,16,FALSE)&gt;=VLOOKUP($A22,informe!$A:$J,9,FALSE),"cg","c"),"n")</f>
        <v>n</v>
      </c>
      <c r="Y22" s="195" t="str">
        <f>IF(AND(Y$3&gt;=$D22,Y$3&lt;=$E22),IF((Y$3-$D22+1)*VLOOKUP($A22,presupuesto!$B:$Q,16,FALSE)&gt;=VLOOKUP($A22,informe!$A:$J,9,FALSE),"cg","c"),"n")</f>
        <v>n</v>
      </c>
      <c r="Z22" s="195" t="str">
        <f>IF(AND(Z$3&gt;=$D22,Z$3&lt;=$E22),IF((Z$3-$D22+1)*VLOOKUP($A22,presupuesto!$B:$Q,16,FALSE)&gt;=VLOOKUP($A22,informe!$A:$J,9,FALSE),"cg","c"),"n")</f>
        <v>n</v>
      </c>
      <c r="AA22" s="195" t="str">
        <f>IF(AND(AA$3&gt;=$D22,AA$3&lt;=$E22),IF((AA$3-$D22+1)*VLOOKUP($A22,presupuesto!$B:$Q,16,FALSE)&gt;=VLOOKUP($A22,informe!$A:$J,9,FALSE),"cg","c"),"n")</f>
        <v>n</v>
      </c>
      <c r="AB22" s="195" t="str">
        <f>IF(AND(AB$3&gt;=$D22,AB$3&lt;=$E22),IF((AB$3-$D22+1)*VLOOKUP($A22,presupuesto!$B:$Q,16,FALSE)&gt;=VLOOKUP($A22,informe!$A:$J,9,FALSE),"cg","c"),"n")</f>
        <v>n</v>
      </c>
      <c r="AC22" s="195" t="str">
        <f>IF(AND(AC$3&gt;=$D22,AC$3&lt;=$E22),IF((AC$3-$D22+1)*VLOOKUP($A22,presupuesto!$B:$Q,16,FALSE)&gt;=VLOOKUP($A22,informe!$A:$J,9,FALSE),"cg","c"),"n")</f>
        <v>n</v>
      </c>
      <c r="AD22" s="195" t="str">
        <f>IF(AND(AD$3&gt;=$D22,AD$3&lt;=$E22),IF((AD$3-$D22+1)*VLOOKUP($A22,presupuesto!$B:$Q,16,FALSE)&gt;=VLOOKUP($A22,informe!$A:$J,9,FALSE),"cg","c"),"n")</f>
        <v>n</v>
      </c>
      <c r="AE22" s="195" t="str">
        <f>IF(AND(AE$3&gt;=$D22,AE$3&lt;=$E22),IF((AE$3-$D22+1)*VLOOKUP($A22,presupuesto!$B:$Q,16,FALSE)&gt;=VLOOKUP($A22,informe!$A:$J,9,FALSE),"cg","c"),"n")</f>
        <v>n</v>
      </c>
      <c r="AF22" s="195" t="str">
        <f>IF(AND(AF$3&gt;=$D22,AF$3&lt;=$E22),IF((AF$3-$D22+1)*VLOOKUP($A22,presupuesto!$B:$Q,16,FALSE)&gt;=VLOOKUP($A22,informe!$A:$J,9,FALSE),"cg","c"),"n")</f>
        <v>n</v>
      </c>
      <c r="AG22" s="195" t="str">
        <f>IF(AND(AG$3&gt;=$D22,AG$3&lt;=$E22),IF((AG$3-$D22+1)*VLOOKUP($A22,presupuesto!$B:$Q,16,FALSE)&gt;=VLOOKUP($A22,informe!$A:$J,9,FALSE),"cg","c"),"n")</f>
        <v>n</v>
      </c>
      <c r="AH22" s="195" t="str">
        <f>IF(AND(AH$3&gt;=$D22,AH$3&lt;=$E22),IF((AH$3-$D22+1)*VLOOKUP($A22,presupuesto!$B:$Q,16,FALSE)&gt;=VLOOKUP($A22,informe!$A:$J,9,FALSE),"cg","c"),"n")</f>
        <v>n</v>
      </c>
      <c r="AI22" s="195" t="str">
        <f>IF(AND(AI$3&gt;=$D22,AI$3&lt;=$E22),IF((AI$3-$D22+1)*VLOOKUP($A22,presupuesto!$B:$Q,16,FALSE)&gt;=VLOOKUP($A22,informe!$A:$J,9,FALSE),"cg","c"),"n")</f>
        <v>n</v>
      </c>
      <c r="AJ22" s="195" t="str">
        <f>IF(AND(AJ$3&gt;=$D22,AJ$3&lt;=$E22),IF((AJ$3-$D22+1)*VLOOKUP($A22,presupuesto!$B:$Q,16,FALSE)&gt;=VLOOKUP($A22,informe!$A:$J,9,FALSE),"cg","c"),"n")</f>
        <v>n</v>
      </c>
      <c r="AK22" s="196" t="str">
        <f>IF(AND(AK$3&gt;=$D22,AK$3&lt;=$E22),IF((AK$3-$D22+1)*VLOOKUP($A22,presupuesto!$B:$Q,16,FALSE)&gt;=VLOOKUP($A22,informe!$A:$J,9,FALSE),"cg","c"),"n")</f>
        <v>n</v>
      </c>
    </row>
    <row r="23" spans="1:37" s="1" customFormat="1" ht="15" customHeight="1" x14ac:dyDescent="0.25">
      <c r="A23" s="193">
        <f>presupuesto!B22</f>
        <v>11</v>
      </c>
      <c r="B23" s="182" t="str">
        <f>presupuesto!C22</f>
        <v xml:space="preserve">         Compuerta Desripiadora</v>
      </c>
      <c r="C23" s="173" t="str">
        <f>presupuesto!G22</f>
        <v>30 días</v>
      </c>
      <c r="D23" s="176">
        <f>presupuesto!N22</f>
        <v>45762</v>
      </c>
      <c r="E23" s="176">
        <f>presupuesto!O22</f>
        <v>45791</v>
      </c>
      <c r="F23" s="194" t="str">
        <f>IF(AK23="n",CONCATENATE(" - "),IF(AK23="cg",CONCATENATE(" - "),CONCATENATE(ROUND(IFERROR(VLOOKUP(A23,informe!A:J,9,FALSE)/VLOOKUP(A23,informe!A:J,5,FALSE),0)*100,2),"% ")))</f>
        <v xml:space="preserve"> - </v>
      </c>
      <c r="G23" s="195" t="str">
        <f>IF(AND(G$3&gt;=$D23,G$3&lt;=$E23),IF((G$3-$D23+1)*VLOOKUP($A23,presupuesto!$B:$Q,16,FALSE)&gt;=VLOOKUP($A23,informe!$A:$J,9,FALSE),"cg","c"),"n")</f>
        <v>n</v>
      </c>
      <c r="H23" s="195" t="str">
        <f>IF(AND(H$3&gt;=$D23,H$3&lt;=$E23),IF((H$3-$D23+1)*VLOOKUP($A23,presupuesto!$B:$Q,16,FALSE)&gt;=VLOOKUP($A23,informe!$A:$J,9,FALSE),"cg","c"),"n")</f>
        <v>n</v>
      </c>
      <c r="I23" s="195" t="str">
        <f>IF(AND(I$3&gt;=$D23,I$3&lt;=$E23),IF((I$3-$D23+1)*VLOOKUP($A23,presupuesto!$B:$Q,16,FALSE)&gt;=VLOOKUP($A23,informe!$A:$J,9,FALSE),"cg","c"),"n")</f>
        <v>n</v>
      </c>
      <c r="J23" s="195" t="str">
        <f>IF(AND(J$3&gt;=$D23,J$3&lt;=$E23),IF((J$3-$D23+1)*VLOOKUP($A23,presupuesto!$B:$Q,16,FALSE)&gt;=VLOOKUP($A23,informe!$A:$J,9,FALSE),"cg","c"),"n")</f>
        <v>n</v>
      </c>
      <c r="K23" s="195" t="str">
        <f>IF(AND(K$3&gt;=$D23,K$3&lt;=$E23),IF((K$3-$D23+1)*VLOOKUP($A23,presupuesto!$B:$Q,16,FALSE)&gt;=VLOOKUP($A23,informe!$A:$J,9,FALSE),"cg","c"),"n")</f>
        <v>n</v>
      </c>
      <c r="L23" s="195" t="str">
        <f>IF(AND(L$3&gt;=$D23,L$3&lt;=$E23),IF((L$3-$D23+1)*VLOOKUP($A23,presupuesto!$B:$Q,16,FALSE)&gt;=VLOOKUP($A23,informe!$A:$J,9,FALSE),"cg","c"),"n")</f>
        <v>n</v>
      </c>
      <c r="M23" s="195" t="str">
        <f>IF(AND(M$3&gt;=$D23,M$3&lt;=$E23),IF((M$3-$D23+1)*VLOOKUP($A23,presupuesto!$B:$Q,16,FALSE)&gt;=VLOOKUP($A23,informe!$A:$J,9,FALSE),"cg","c"),"n")</f>
        <v>n</v>
      </c>
      <c r="N23" s="195" t="str">
        <f>IF(AND(N$3&gt;=$D23,N$3&lt;=$E23),IF((N$3-$D23+1)*VLOOKUP($A23,presupuesto!$B:$Q,16,FALSE)&gt;=VLOOKUP($A23,informe!$A:$J,9,FALSE),"cg","c"),"n")</f>
        <v>n</v>
      </c>
      <c r="O23" s="195" t="str">
        <f>IF(AND(O$3&gt;=$D23,O$3&lt;=$E23),IF((O$3-$D23+1)*VLOOKUP($A23,presupuesto!$B:$Q,16,FALSE)&gt;=VLOOKUP($A23,informe!$A:$J,9,FALSE),"cg","c"),"n")</f>
        <v>n</v>
      </c>
      <c r="P23" s="195" t="str">
        <f>IF(AND(P$3&gt;=$D23,P$3&lt;=$E23),IF((P$3-$D23+1)*VLOOKUP($A23,presupuesto!$B:$Q,16,FALSE)&gt;=VLOOKUP($A23,informe!$A:$J,9,FALSE),"cg","c"),"n")</f>
        <v>n</v>
      </c>
      <c r="Q23" s="195" t="str">
        <f>IF(AND(Q$3&gt;=$D23,Q$3&lt;=$E23),IF((Q$3-$D23+1)*VLOOKUP($A23,presupuesto!$B:$Q,16,FALSE)&gt;=VLOOKUP($A23,informe!$A:$J,9,FALSE),"cg","c"),"n")</f>
        <v>n</v>
      </c>
      <c r="R23" s="195" t="str">
        <f>IF(AND(R$3&gt;=$D23,R$3&lt;=$E23),IF((R$3-$D23+1)*VLOOKUP($A23,presupuesto!$B:$Q,16,FALSE)&gt;=VLOOKUP($A23,informe!$A:$J,9,FALSE),"cg","c"),"n")</f>
        <v>n</v>
      </c>
      <c r="S23" s="195" t="str">
        <f>IF(AND(S$3&gt;=$D23,S$3&lt;=$E23),IF((S$3-$D23+1)*VLOOKUP($A23,presupuesto!$B:$Q,16,FALSE)&gt;=VLOOKUP($A23,informe!$A:$J,9,FALSE),"cg","c"),"n")</f>
        <v>n</v>
      </c>
      <c r="T23" s="195" t="str">
        <f>IF(AND(T$3&gt;=$D23,T$3&lt;=$E23),IF((T$3-$D23+1)*VLOOKUP($A23,presupuesto!$B:$Q,16,FALSE)&gt;=VLOOKUP($A23,informe!$A:$J,9,FALSE),"cg","c"),"n")</f>
        <v>n</v>
      </c>
      <c r="U23" s="195" t="str">
        <f>IF(AND(U$3&gt;=$D23,U$3&lt;=$E23),IF((U$3-$D23+1)*VLOOKUP($A23,presupuesto!$B:$Q,16,FALSE)&gt;=VLOOKUP($A23,informe!$A:$J,9,FALSE),"cg","c"),"n")</f>
        <v>n</v>
      </c>
      <c r="V23" s="195" t="str">
        <f>IF(AND(V$3&gt;=$D23,V$3&lt;=$E23),IF((V$3-$D23+1)*VLOOKUP($A23,presupuesto!$B:$Q,16,FALSE)&gt;=VLOOKUP($A23,informe!$A:$J,9,FALSE),"cg","c"),"n")</f>
        <v>n</v>
      </c>
      <c r="W23" s="195" t="str">
        <f>IF(AND(W$3&gt;=$D23,W$3&lt;=$E23),IF((W$3-$D23+1)*VLOOKUP($A23,presupuesto!$B:$Q,16,FALSE)&gt;=VLOOKUP($A23,informe!$A:$J,9,FALSE),"cg","c"),"n")</f>
        <v>n</v>
      </c>
      <c r="X23" s="195" t="str">
        <f>IF(AND(X$3&gt;=$D23,X$3&lt;=$E23),IF((X$3-$D23+1)*VLOOKUP($A23,presupuesto!$B:$Q,16,FALSE)&gt;=VLOOKUP($A23,informe!$A:$J,9,FALSE),"cg","c"),"n")</f>
        <v>n</v>
      </c>
      <c r="Y23" s="195" t="str">
        <f>IF(AND(Y$3&gt;=$D23,Y$3&lt;=$E23),IF((Y$3-$D23+1)*VLOOKUP($A23,presupuesto!$B:$Q,16,FALSE)&gt;=VLOOKUP($A23,informe!$A:$J,9,FALSE),"cg","c"),"n")</f>
        <v>n</v>
      </c>
      <c r="Z23" s="195" t="str">
        <f>IF(AND(Z$3&gt;=$D23,Z$3&lt;=$E23),IF((Z$3-$D23+1)*VLOOKUP($A23,presupuesto!$B:$Q,16,FALSE)&gt;=VLOOKUP($A23,informe!$A:$J,9,FALSE),"cg","c"),"n")</f>
        <v>n</v>
      </c>
      <c r="AA23" s="195" t="str">
        <f>IF(AND(AA$3&gt;=$D23,AA$3&lt;=$E23),IF((AA$3-$D23+1)*VLOOKUP($A23,presupuesto!$B:$Q,16,FALSE)&gt;=VLOOKUP($A23,informe!$A:$J,9,FALSE),"cg","c"),"n")</f>
        <v>n</v>
      </c>
      <c r="AB23" s="195" t="str">
        <f>IF(AND(AB$3&gt;=$D23,AB$3&lt;=$E23),IF((AB$3-$D23+1)*VLOOKUP($A23,presupuesto!$B:$Q,16,FALSE)&gt;=VLOOKUP($A23,informe!$A:$J,9,FALSE),"cg","c"),"n")</f>
        <v>n</v>
      </c>
      <c r="AC23" s="195" t="str">
        <f>IF(AND(AC$3&gt;=$D23,AC$3&lt;=$E23),IF((AC$3-$D23+1)*VLOOKUP($A23,presupuesto!$B:$Q,16,FALSE)&gt;=VLOOKUP($A23,informe!$A:$J,9,FALSE),"cg","c"),"n")</f>
        <v>n</v>
      </c>
      <c r="AD23" s="195" t="str">
        <f>IF(AND(AD$3&gt;=$D23,AD$3&lt;=$E23),IF((AD$3-$D23+1)*VLOOKUP($A23,presupuesto!$B:$Q,16,FALSE)&gt;=VLOOKUP($A23,informe!$A:$J,9,FALSE),"cg","c"),"n")</f>
        <v>n</v>
      </c>
      <c r="AE23" s="195" t="str">
        <f>IF(AND(AE$3&gt;=$D23,AE$3&lt;=$E23),IF((AE$3-$D23+1)*VLOOKUP($A23,presupuesto!$B:$Q,16,FALSE)&gt;=VLOOKUP($A23,informe!$A:$J,9,FALSE),"cg","c"),"n")</f>
        <v>n</v>
      </c>
      <c r="AF23" s="195" t="str">
        <f>IF(AND(AF$3&gt;=$D23,AF$3&lt;=$E23),IF((AF$3-$D23+1)*VLOOKUP($A23,presupuesto!$B:$Q,16,FALSE)&gt;=VLOOKUP($A23,informe!$A:$J,9,FALSE),"cg","c"),"n")</f>
        <v>n</v>
      </c>
      <c r="AG23" s="195" t="str">
        <f>IF(AND(AG$3&gt;=$D23,AG$3&lt;=$E23),IF((AG$3-$D23+1)*VLOOKUP($A23,presupuesto!$B:$Q,16,FALSE)&gt;=VLOOKUP($A23,informe!$A:$J,9,FALSE),"cg","c"),"n")</f>
        <v>n</v>
      </c>
      <c r="AH23" s="195" t="str">
        <f>IF(AND(AH$3&gt;=$D23,AH$3&lt;=$E23),IF((AH$3-$D23+1)*VLOOKUP($A23,presupuesto!$B:$Q,16,FALSE)&gt;=VLOOKUP($A23,informe!$A:$J,9,FALSE),"cg","c"),"n")</f>
        <v>n</v>
      </c>
      <c r="AI23" s="195" t="str">
        <f>IF(AND(AI$3&gt;=$D23,AI$3&lt;=$E23),IF((AI$3-$D23+1)*VLOOKUP($A23,presupuesto!$B:$Q,16,FALSE)&gt;=VLOOKUP($A23,informe!$A:$J,9,FALSE),"cg","c"),"n")</f>
        <v>n</v>
      </c>
      <c r="AJ23" s="195" t="str">
        <f>IF(AND(AJ$3&gt;=$D23,AJ$3&lt;=$E23),IF((AJ$3-$D23+1)*VLOOKUP($A23,presupuesto!$B:$Q,16,FALSE)&gt;=VLOOKUP($A23,informe!$A:$J,9,FALSE),"cg","c"),"n")</f>
        <v>n</v>
      </c>
      <c r="AK23" s="196" t="str">
        <f>IF(AND(AK$3&gt;=$D23,AK$3&lt;=$E23),IF((AK$3-$D23+1)*VLOOKUP($A23,presupuesto!$B:$Q,16,FALSE)&gt;=VLOOKUP($A23,informe!$A:$J,9,FALSE),"cg","c"),"n")</f>
        <v>n</v>
      </c>
    </row>
    <row r="24" spans="1:37" s="1" customFormat="1" ht="15" customHeight="1" x14ac:dyDescent="0.25">
      <c r="A24" s="193">
        <f>presupuesto!B23</f>
        <v>12</v>
      </c>
      <c r="B24" s="182" t="str">
        <f>presupuesto!C23</f>
        <v xml:space="preserve">         Machones Bombas</v>
      </c>
      <c r="C24" s="173" t="str">
        <f>presupuesto!G23</f>
        <v>4 días</v>
      </c>
      <c r="D24" s="176">
        <f>presupuesto!N23</f>
        <v>45762</v>
      </c>
      <c r="E24" s="176">
        <f>presupuesto!O23</f>
        <v>45765</v>
      </c>
      <c r="F24" s="194" t="str">
        <f>IF(AK24="n",CONCATENATE(" - "),IF(AK24="cg",CONCATENATE(" - "),CONCATENATE(ROUND(IFERROR(VLOOKUP(A24,informe!A:J,9,FALSE)/VLOOKUP(A24,informe!A:J,5,FALSE),0)*100,2),"% ")))</f>
        <v xml:space="preserve"> - </v>
      </c>
      <c r="G24" s="195" t="str">
        <f>IF(AND(G$3&gt;=$D24,G$3&lt;=$E24),IF((G$3-$D24+1)*VLOOKUP($A24,presupuesto!$B:$Q,16,FALSE)&gt;=VLOOKUP($A24,informe!$A:$J,9,FALSE),"cg","c"),"n")</f>
        <v>n</v>
      </c>
      <c r="H24" s="195" t="str">
        <f>IF(AND(H$3&gt;=$D24,H$3&lt;=$E24),IF((H$3-$D24+1)*VLOOKUP($A24,presupuesto!$B:$Q,16,FALSE)&gt;=VLOOKUP($A24,informe!$A:$J,9,FALSE),"cg","c"),"n")</f>
        <v>n</v>
      </c>
      <c r="I24" s="195" t="str">
        <f>IF(AND(I$3&gt;=$D24,I$3&lt;=$E24),IF((I$3-$D24+1)*VLOOKUP($A24,presupuesto!$B:$Q,16,FALSE)&gt;=VLOOKUP($A24,informe!$A:$J,9,FALSE),"cg","c"),"n")</f>
        <v>n</v>
      </c>
      <c r="J24" s="195" t="str">
        <f>IF(AND(J$3&gt;=$D24,J$3&lt;=$E24),IF((J$3-$D24+1)*VLOOKUP($A24,presupuesto!$B:$Q,16,FALSE)&gt;=VLOOKUP($A24,informe!$A:$J,9,FALSE),"cg","c"),"n")</f>
        <v>n</v>
      </c>
      <c r="K24" s="195" t="str">
        <f>IF(AND(K$3&gt;=$D24,K$3&lt;=$E24),IF((K$3-$D24+1)*VLOOKUP($A24,presupuesto!$B:$Q,16,FALSE)&gt;=VLOOKUP($A24,informe!$A:$J,9,FALSE),"cg","c"),"n")</f>
        <v>n</v>
      </c>
      <c r="L24" s="195" t="str">
        <f>IF(AND(L$3&gt;=$D24,L$3&lt;=$E24),IF((L$3-$D24+1)*VLOOKUP($A24,presupuesto!$B:$Q,16,FALSE)&gt;=VLOOKUP($A24,informe!$A:$J,9,FALSE),"cg","c"),"n")</f>
        <v>n</v>
      </c>
      <c r="M24" s="195" t="str">
        <f>IF(AND(M$3&gt;=$D24,M$3&lt;=$E24),IF((M$3-$D24+1)*VLOOKUP($A24,presupuesto!$B:$Q,16,FALSE)&gt;=VLOOKUP($A24,informe!$A:$J,9,FALSE),"cg","c"),"n")</f>
        <v>n</v>
      </c>
      <c r="N24" s="195" t="str">
        <f>IF(AND(N$3&gt;=$D24,N$3&lt;=$E24),IF((N$3-$D24+1)*VLOOKUP($A24,presupuesto!$B:$Q,16,FALSE)&gt;=VLOOKUP($A24,informe!$A:$J,9,FALSE),"cg","c"),"n")</f>
        <v>n</v>
      </c>
      <c r="O24" s="195" t="str">
        <f>IF(AND(O$3&gt;=$D24,O$3&lt;=$E24),IF((O$3-$D24+1)*VLOOKUP($A24,presupuesto!$B:$Q,16,FALSE)&gt;=VLOOKUP($A24,informe!$A:$J,9,FALSE),"cg","c"),"n")</f>
        <v>n</v>
      </c>
      <c r="P24" s="195" t="str">
        <f>IF(AND(P$3&gt;=$D24,P$3&lt;=$E24),IF((P$3-$D24+1)*VLOOKUP($A24,presupuesto!$B:$Q,16,FALSE)&gt;=VLOOKUP($A24,informe!$A:$J,9,FALSE),"cg","c"),"n")</f>
        <v>n</v>
      </c>
      <c r="Q24" s="195" t="str">
        <f>IF(AND(Q$3&gt;=$D24,Q$3&lt;=$E24),IF((Q$3-$D24+1)*VLOOKUP($A24,presupuesto!$B:$Q,16,FALSE)&gt;=VLOOKUP($A24,informe!$A:$J,9,FALSE),"cg","c"),"n")</f>
        <v>n</v>
      </c>
      <c r="R24" s="195" t="str">
        <f>IF(AND(R$3&gt;=$D24,R$3&lt;=$E24),IF((R$3-$D24+1)*VLOOKUP($A24,presupuesto!$B:$Q,16,FALSE)&gt;=VLOOKUP($A24,informe!$A:$J,9,FALSE),"cg","c"),"n")</f>
        <v>n</v>
      </c>
      <c r="S24" s="195" t="str">
        <f>IF(AND(S$3&gt;=$D24,S$3&lt;=$E24),IF((S$3-$D24+1)*VLOOKUP($A24,presupuesto!$B:$Q,16,FALSE)&gt;=VLOOKUP($A24,informe!$A:$J,9,FALSE),"cg","c"),"n")</f>
        <v>n</v>
      </c>
      <c r="T24" s="195" t="str">
        <f>IF(AND(T$3&gt;=$D24,T$3&lt;=$E24),IF((T$3-$D24+1)*VLOOKUP($A24,presupuesto!$B:$Q,16,FALSE)&gt;=VLOOKUP($A24,informe!$A:$J,9,FALSE),"cg","c"),"n")</f>
        <v>n</v>
      </c>
      <c r="U24" s="195" t="str">
        <f>IF(AND(U$3&gt;=$D24,U$3&lt;=$E24),IF((U$3-$D24+1)*VLOOKUP($A24,presupuesto!$B:$Q,16,FALSE)&gt;=VLOOKUP($A24,informe!$A:$J,9,FALSE),"cg","c"),"n")</f>
        <v>n</v>
      </c>
      <c r="V24" s="195" t="str">
        <f>IF(AND(V$3&gt;=$D24,V$3&lt;=$E24),IF((V$3-$D24+1)*VLOOKUP($A24,presupuesto!$B:$Q,16,FALSE)&gt;=VLOOKUP($A24,informe!$A:$J,9,FALSE),"cg","c"),"n")</f>
        <v>n</v>
      </c>
      <c r="W24" s="195" t="str">
        <f>IF(AND(W$3&gt;=$D24,W$3&lt;=$E24),IF((W$3-$D24+1)*VLOOKUP($A24,presupuesto!$B:$Q,16,FALSE)&gt;=VLOOKUP($A24,informe!$A:$J,9,FALSE),"cg","c"),"n")</f>
        <v>n</v>
      </c>
      <c r="X24" s="195" t="str">
        <f>IF(AND(X$3&gt;=$D24,X$3&lt;=$E24),IF((X$3-$D24+1)*VLOOKUP($A24,presupuesto!$B:$Q,16,FALSE)&gt;=VLOOKUP($A24,informe!$A:$J,9,FALSE),"cg","c"),"n")</f>
        <v>n</v>
      </c>
      <c r="Y24" s="195" t="str">
        <f>IF(AND(Y$3&gt;=$D24,Y$3&lt;=$E24),IF((Y$3-$D24+1)*VLOOKUP($A24,presupuesto!$B:$Q,16,FALSE)&gt;=VLOOKUP($A24,informe!$A:$J,9,FALSE),"cg","c"),"n")</f>
        <v>n</v>
      </c>
      <c r="Z24" s="195" t="str">
        <f>IF(AND(Z$3&gt;=$D24,Z$3&lt;=$E24),IF((Z$3-$D24+1)*VLOOKUP($A24,presupuesto!$B:$Q,16,FALSE)&gt;=VLOOKUP($A24,informe!$A:$J,9,FALSE),"cg","c"),"n")</f>
        <v>n</v>
      </c>
      <c r="AA24" s="195" t="str">
        <f>IF(AND(AA$3&gt;=$D24,AA$3&lt;=$E24),IF((AA$3-$D24+1)*VLOOKUP($A24,presupuesto!$B:$Q,16,FALSE)&gt;=VLOOKUP($A24,informe!$A:$J,9,FALSE),"cg","c"),"n")</f>
        <v>n</v>
      </c>
      <c r="AB24" s="195" t="str">
        <f>IF(AND(AB$3&gt;=$D24,AB$3&lt;=$E24),IF((AB$3-$D24+1)*VLOOKUP($A24,presupuesto!$B:$Q,16,FALSE)&gt;=VLOOKUP($A24,informe!$A:$J,9,FALSE),"cg","c"),"n")</f>
        <v>n</v>
      </c>
      <c r="AC24" s="195" t="str">
        <f>IF(AND(AC$3&gt;=$D24,AC$3&lt;=$E24),IF((AC$3-$D24+1)*VLOOKUP($A24,presupuesto!$B:$Q,16,FALSE)&gt;=VLOOKUP($A24,informe!$A:$J,9,FALSE),"cg","c"),"n")</f>
        <v>n</v>
      </c>
      <c r="AD24" s="195" t="str">
        <f>IF(AND(AD$3&gt;=$D24,AD$3&lt;=$E24),IF((AD$3-$D24+1)*VLOOKUP($A24,presupuesto!$B:$Q,16,FALSE)&gt;=VLOOKUP($A24,informe!$A:$J,9,FALSE),"cg","c"),"n")</f>
        <v>n</v>
      </c>
      <c r="AE24" s="195" t="str">
        <f>IF(AND(AE$3&gt;=$D24,AE$3&lt;=$E24),IF((AE$3-$D24+1)*VLOOKUP($A24,presupuesto!$B:$Q,16,FALSE)&gt;=VLOOKUP($A24,informe!$A:$J,9,FALSE),"cg","c"),"n")</f>
        <v>n</v>
      </c>
      <c r="AF24" s="195" t="str">
        <f>IF(AND(AF$3&gt;=$D24,AF$3&lt;=$E24),IF((AF$3-$D24+1)*VLOOKUP($A24,presupuesto!$B:$Q,16,FALSE)&gt;=VLOOKUP($A24,informe!$A:$J,9,FALSE),"cg","c"),"n")</f>
        <v>n</v>
      </c>
      <c r="AG24" s="195" t="str">
        <f>IF(AND(AG$3&gt;=$D24,AG$3&lt;=$E24),IF((AG$3-$D24+1)*VLOOKUP($A24,presupuesto!$B:$Q,16,FALSE)&gt;=VLOOKUP($A24,informe!$A:$J,9,FALSE),"cg","c"),"n")</f>
        <v>n</v>
      </c>
      <c r="AH24" s="195" t="str">
        <f>IF(AND(AH$3&gt;=$D24,AH$3&lt;=$E24),IF((AH$3-$D24+1)*VLOOKUP($A24,presupuesto!$B:$Q,16,FALSE)&gt;=VLOOKUP($A24,informe!$A:$J,9,FALSE),"cg","c"),"n")</f>
        <v>n</v>
      </c>
      <c r="AI24" s="195" t="str">
        <f>IF(AND(AI$3&gt;=$D24,AI$3&lt;=$E24),IF((AI$3-$D24+1)*VLOOKUP($A24,presupuesto!$B:$Q,16,FALSE)&gt;=VLOOKUP($A24,informe!$A:$J,9,FALSE),"cg","c"),"n")</f>
        <v>n</v>
      </c>
      <c r="AJ24" s="195" t="str">
        <f>IF(AND(AJ$3&gt;=$D24,AJ$3&lt;=$E24),IF((AJ$3-$D24+1)*VLOOKUP($A24,presupuesto!$B:$Q,16,FALSE)&gt;=VLOOKUP($A24,informe!$A:$J,9,FALSE),"cg","c"),"n")</f>
        <v>n</v>
      </c>
      <c r="AK24" s="196" t="str">
        <f>IF(AND(AK$3&gt;=$D24,AK$3&lt;=$E24),IF((AK$3-$D24+1)*VLOOKUP($A24,presupuesto!$B:$Q,16,FALSE)&gt;=VLOOKUP($A24,informe!$A:$J,9,FALSE),"cg","c"),"n")</f>
        <v>n</v>
      </c>
    </row>
    <row r="25" spans="1:37" s="1" customFormat="1" ht="15" customHeight="1" x14ac:dyDescent="0.25">
      <c r="A25" s="197">
        <f>presupuesto!B24</f>
        <v>13</v>
      </c>
      <c r="B25" s="182" t="str">
        <f>presupuesto!C24</f>
        <v xml:space="preserve">         Modificación Cierre Perimetral</v>
      </c>
      <c r="C25" s="174" t="str">
        <f>presupuesto!G24</f>
        <v>20 días</v>
      </c>
      <c r="D25" s="177">
        <f>presupuesto!N24</f>
        <v>45761</v>
      </c>
      <c r="E25" s="177">
        <f>presupuesto!O24</f>
        <v>45780</v>
      </c>
      <c r="F25" s="194" t="str">
        <f>IF(AK25="n",CONCATENATE(" - "),IF(AK25="cg",CONCATENATE(" - "),CONCATENATE(ROUND(IFERROR(VLOOKUP(A25,informe!A:J,9,FALSE)/VLOOKUP(A25,informe!A:J,5,FALSE),0)*100,2),"% ")))</f>
        <v xml:space="preserve"> - </v>
      </c>
      <c r="G25" s="195" t="str">
        <f>IF(AND(G$3&gt;=$D25,G$3&lt;=$E25),IF((G$3-$D25+1)*VLOOKUP($A25,presupuesto!$B:$Q,16,FALSE)&gt;=VLOOKUP($A25,informe!$A:$J,9,FALSE),"cg","c"),"n")</f>
        <v>n</v>
      </c>
      <c r="H25" s="195" t="str">
        <f>IF(AND(H$3&gt;=$D25,H$3&lt;=$E25),IF((H$3-$D25+1)*VLOOKUP($A25,presupuesto!$B:$Q,16,FALSE)&gt;=VLOOKUP($A25,informe!$A:$J,9,FALSE),"cg","c"),"n")</f>
        <v>n</v>
      </c>
      <c r="I25" s="195" t="str">
        <f>IF(AND(I$3&gt;=$D25,I$3&lt;=$E25),IF((I$3-$D25+1)*VLOOKUP($A25,presupuesto!$B:$Q,16,FALSE)&gt;=VLOOKUP($A25,informe!$A:$J,9,FALSE),"cg","c"),"n")</f>
        <v>n</v>
      </c>
      <c r="J25" s="195" t="str">
        <f>IF(AND(J$3&gt;=$D25,J$3&lt;=$E25),IF((J$3-$D25+1)*VLOOKUP($A25,presupuesto!$B:$Q,16,FALSE)&gt;=VLOOKUP($A25,informe!$A:$J,9,FALSE),"cg","c"),"n")</f>
        <v>n</v>
      </c>
      <c r="K25" s="195" t="str">
        <f>IF(AND(K$3&gt;=$D25,K$3&lt;=$E25),IF((K$3-$D25+1)*VLOOKUP($A25,presupuesto!$B:$Q,16,FALSE)&gt;=VLOOKUP($A25,informe!$A:$J,9,FALSE),"cg","c"),"n")</f>
        <v>n</v>
      </c>
      <c r="L25" s="195" t="str">
        <f>IF(AND(L$3&gt;=$D25,L$3&lt;=$E25),IF((L$3-$D25+1)*VLOOKUP($A25,presupuesto!$B:$Q,16,FALSE)&gt;=VLOOKUP($A25,informe!$A:$J,9,FALSE),"cg","c"),"n")</f>
        <v>n</v>
      </c>
      <c r="M25" s="195" t="str">
        <f>IF(AND(M$3&gt;=$D25,M$3&lt;=$E25),IF((M$3-$D25+1)*VLOOKUP($A25,presupuesto!$B:$Q,16,FALSE)&gt;=VLOOKUP($A25,informe!$A:$J,9,FALSE),"cg","c"),"n")</f>
        <v>n</v>
      </c>
      <c r="N25" s="195" t="str">
        <f>IF(AND(N$3&gt;=$D25,N$3&lt;=$E25),IF((N$3-$D25+1)*VLOOKUP($A25,presupuesto!$B:$Q,16,FALSE)&gt;=VLOOKUP($A25,informe!$A:$J,9,FALSE),"cg","c"),"n")</f>
        <v>n</v>
      </c>
      <c r="O25" s="195" t="str">
        <f>IF(AND(O$3&gt;=$D25,O$3&lt;=$E25),IF((O$3-$D25+1)*VLOOKUP($A25,presupuesto!$B:$Q,16,FALSE)&gt;=VLOOKUP($A25,informe!$A:$J,9,FALSE),"cg","c"),"n")</f>
        <v>n</v>
      </c>
      <c r="P25" s="195" t="str">
        <f>IF(AND(P$3&gt;=$D25,P$3&lt;=$E25),IF((P$3-$D25+1)*VLOOKUP($A25,presupuesto!$B:$Q,16,FALSE)&gt;=VLOOKUP($A25,informe!$A:$J,9,FALSE),"cg","c"),"n")</f>
        <v>n</v>
      </c>
      <c r="Q25" s="195" t="str">
        <f>IF(AND(Q$3&gt;=$D25,Q$3&lt;=$E25),IF((Q$3-$D25+1)*VLOOKUP($A25,presupuesto!$B:$Q,16,FALSE)&gt;=VLOOKUP($A25,informe!$A:$J,9,FALSE),"cg","c"),"n")</f>
        <v>n</v>
      </c>
      <c r="R25" s="195" t="str">
        <f>IF(AND(R$3&gt;=$D25,R$3&lt;=$E25),IF((R$3-$D25+1)*VLOOKUP($A25,presupuesto!$B:$Q,16,FALSE)&gt;=VLOOKUP($A25,informe!$A:$J,9,FALSE),"cg","c"),"n")</f>
        <v>n</v>
      </c>
      <c r="S25" s="195" t="str">
        <f>IF(AND(S$3&gt;=$D25,S$3&lt;=$E25),IF((S$3-$D25+1)*VLOOKUP($A25,presupuesto!$B:$Q,16,FALSE)&gt;=VLOOKUP($A25,informe!$A:$J,9,FALSE),"cg","c"),"n")</f>
        <v>n</v>
      </c>
      <c r="T25" s="195" t="str">
        <f>IF(AND(T$3&gt;=$D25,T$3&lt;=$E25),IF((T$3-$D25+1)*VLOOKUP($A25,presupuesto!$B:$Q,16,FALSE)&gt;=VLOOKUP($A25,informe!$A:$J,9,FALSE),"cg","c"),"n")</f>
        <v>n</v>
      </c>
      <c r="U25" s="195" t="str">
        <f>IF(AND(U$3&gt;=$D25,U$3&lt;=$E25),IF((U$3-$D25+1)*VLOOKUP($A25,presupuesto!$B:$Q,16,FALSE)&gt;=VLOOKUP($A25,informe!$A:$J,9,FALSE),"cg","c"),"n")</f>
        <v>n</v>
      </c>
      <c r="V25" s="195" t="str">
        <f>IF(AND(V$3&gt;=$D25,V$3&lt;=$E25),IF((V$3-$D25+1)*VLOOKUP($A25,presupuesto!$B:$Q,16,FALSE)&gt;=VLOOKUP($A25,informe!$A:$J,9,FALSE),"cg","c"),"n")</f>
        <v>n</v>
      </c>
      <c r="W25" s="195" t="str">
        <f>IF(AND(W$3&gt;=$D25,W$3&lt;=$E25),IF((W$3-$D25+1)*VLOOKUP($A25,presupuesto!$B:$Q,16,FALSE)&gt;=VLOOKUP($A25,informe!$A:$J,9,FALSE),"cg","c"),"n")</f>
        <v>n</v>
      </c>
      <c r="X25" s="195" t="str">
        <f>IF(AND(X$3&gt;=$D25,X$3&lt;=$E25),IF((X$3-$D25+1)*VLOOKUP($A25,presupuesto!$B:$Q,16,FALSE)&gt;=VLOOKUP($A25,informe!$A:$J,9,FALSE),"cg","c"),"n")</f>
        <v>n</v>
      </c>
      <c r="Y25" s="195" t="str">
        <f>IF(AND(Y$3&gt;=$D25,Y$3&lt;=$E25),IF((Y$3-$D25+1)*VLOOKUP($A25,presupuesto!$B:$Q,16,FALSE)&gt;=VLOOKUP($A25,informe!$A:$J,9,FALSE),"cg","c"),"n")</f>
        <v>n</v>
      </c>
      <c r="Z25" s="195" t="str">
        <f>IF(AND(Z$3&gt;=$D25,Z$3&lt;=$E25),IF((Z$3-$D25+1)*VLOOKUP($A25,presupuesto!$B:$Q,16,FALSE)&gt;=VLOOKUP($A25,informe!$A:$J,9,FALSE),"cg","c"),"n")</f>
        <v>n</v>
      </c>
      <c r="AA25" s="195" t="str">
        <f>IF(AND(AA$3&gt;=$D25,AA$3&lt;=$E25),IF((AA$3-$D25+1)*VLOOKUP($A25,presupuesto!$B:$Q,16,FALSE)&gt;=VLOOKUP($A25,informe!$A:$J,9,FALSE),"cg","c"),"n")</f>
        <v>n</v>
      </c>
      <c r="AB25" s="195" t="str">
        <f>IF(AND(AB$3&gt;=$D25,AB$3&lt;=$E25),IF((AB$3-$D25+1)*VLOOKUP($A25,presupuesto!$B:$Q,16,FALSE)&gt;=VLOOKUP($A25,informe!$A:$J,9,FALSE),"cg","c"),"n")</f>
        <v>n</v>
      </c>
      <c r="AC25" s="195" t="str">
        <f>IF(AND(AC$3&gt;=$D25,AC$3&lt;=$E25),IF((AC$3-$D25+1)*VLOOKUP($A25,presupuesto!$B:$Q,16,FALSE)&gt;=VLOOKUP($A25,informe!$A:$J,9,FALSE),"cg","c"),"n")</f>
        <v>n</v>
      </c>
      <c r="AD25" s="195" t="str">
        <f>IF(AND(AD$3&gt;=$D25,AD$3&lt;=$E25),IF((AD$3-$D25+1)*VLOOKUP($A25,presupuesto!$B:$Q,16,FALSE)&gt;=VLOOKUP($A25,informe!$A:$J,9,FALSE),"cg","c"),"n")</f>
        <v>n</v>
      </c>
      <c r="AE25" s="195" t="str">
        <f>IF(AND(AE$3&gt;=$D25,AE$3&lt;=$E25),IF((AE$3-$D25+1)*VLOOKUP($A25,presupuesto!$B:$Q,16,FALSE)&gt;=VLOOKUP($A25,informe!$A:$J,9,FALSE),"cg","c"),"n")</f>
        <v>n</v>
      </c>
      <c r="AF25" s="195" t="str">
        <f>IF(AND(AF$3&gt;=$D25,AF$3&lt;=$E25),IF((AF$3-$D25+1)*VLOOKUP($A25,presupuesto!$B:$Q,16,FALSE)&gt;=VLOOKUP($A25,informe!$A:$J,9,FALSE),"cg","c"),"n")</f>
        <v>n</v>
      </c>
      <c r="AG25" s="195" t="str">
        <f>IF(AND(AG$3&gt;=$D25,AG$3&lt;=$E25),IF((AG$3-$D25+1)*VLOOKUP($A25,presupuesto!$B:$Q,16,FALSE)&gt;=VLOOKUP($A25,informe!$A:$J,9,FALSE),"cg","c"),"n")</f>
        <v>n</v>
      </c>
      <c r="AH25" s="195" t="str">
        <f>IF(AND(AH$3&gt;=$D25,AH$3&lt;=$E25),IF((AH$3-$D25+1)*VLOOKUP($A25,presupuesto!$B:$Q,16,FALSE)&gt;=VLOOKUP($A25,informe!$A:$J,9,FALSE),"cg","c"),"n")</f>
        <v>n</v>
      </c>
      <c r="AI25" s="195" t="str">
        <f>IF(AND(AI$3&gt;=$D25,AI$3&lt;=$E25),IF((AI$3-$D25+1)*VLOOKUP($A25,presupuesto!$B:$Q,16,FALSE)&gt;=VLOOKUP($A25,informe!$A:$J,9,FALSE),"cg","c"),"n")</f>
        <v>n</v>
      </c>
      <c r="AJ25" s="195" t="str">
        <f>IF(AND(AJ$3&gt;=$D25,AJ$3&lt;=$E25),IF((AJ$3-$D25+1)*VLOOKUP($A25,presupuesto!$B:$Q,16,FALSE)&gt;=VLOOKUP($A25,informe!$A:$J,9,FALSE),"cg","c"),"n")</f>
        <v>n</v>
      </c>
      <c r="AK25" s="196" t="str">
        <f>IF(AND(AK$3&gt;=$D25,AK$3&lt;=$E25),IF((AK$3-$D25+1)*VLOOKUP($A25,presupuesto!$B:$Q,16,FALSE)&gt;=VLOOKUP($A25,informe!$A:$J,9,FALSE),"cg","c"),"n")</f>
        <v>n</v>
      </c>
    </row>
    <row r="26" spans="1:37" s="1" customFormat="1" ht="15" customHeight="1" x14ac:dyDescent="0.3">
      <c r="A26" s="197">
        <f>presupuesto!B25</f>
        <v>0</v>
      </c>
      <c r="B26" s="181" t="str">
        <f>presupuesto!C25</f>
        <v xml:space="preserve">   CAPÍTULO II: OBRAS IMPULSIÓN A ESTANQUE</v>
      </c>
      <c r="C26" s="174" t="str">
        <f>presupuesto!G25</f>
        <v>58 días</v>
      </c>
      <c r="D26" s="177">
        <f>presupuesto!N25</f>
        <v>45704</v>
      </c>
      <c r="E26" s="177">
        <f>presupuesto!O25</f>
        <v>45761</v>
      </c>
      <c r="F26" s="194" t="str">
        <f>IF(AK26="n",CONCATENATE(" - "),IF(AK26="cg",CONCATENATE(" - "),CONCATENATE(ROUND(IFERROR(VLOOKUP(A26,informe!A:J,9,FALSE)/VLOOKUP(A26,informe!A:J,5,FALSE),0)*100,2),"% ")))</f>
        <v xml:space="preserve"> - </v>
      </c>
      <c r="G26" s="195" t="str">
        <f>IF(AND(G$3&gt;=$D26,G$3&lt;=$E26),IF((G$3-$D26+1)*VLOOKUP($A26,presupuesto!$B:$Q,16,FALSE)&gt;=VLOOKUP($A26,informe!$A:$J,9,FALSE),"cg","c"),"n")</f>
        <v>n</v>
      </c>
      <c r="H26" s="195" t="str">
        <f>IF(AND(H$3&gt;=$D26,H$3&lt;=$E26),IF((H$3-$D26+1)*VLOOKUP($A26,presupuesto!$B:$Q,16,FALSE)&gt;=VLOOKUP($A26,informe!$A:$J,9,FALSE),"cg","c"),"n")</f>
        <v>n</v>
      </c>
      <c r="I26" s="195" t="str">
        <f>IF(AND(I$3&gt;=$D26,I$3&lt;=$E26),IF((I$3-$D26+1)*VLOOKUP($A26,presupuesto!$B:$Q,16,FALSE)&gt;=VLOOKUP($A26,informe!$A:$J,9,FALSE),"cg","c"),"n")</f>
        <v>n</v>
      </c>
      <c r="J26" s="195" t="str">
        <f>IF(AND(J$3&gt;=$D26,J$3&lt;=$E26),IF((J$3-$D26+1)*VLOOKUP($A26,presupuesto!$B:$Q,16,FALSE)&gt;=VLOOKUP($A26,informe!$A:$J,9,FALSE),"cg","c"),"n")</f>
        <v>n</v>
      </c>
      <c r="K26" s="195" t="str">
        <f>IF(AND(K$3&gt;=$D26,K$3&lt;=$E26),IF((K$3-$D26+1)*VLOOKUP($A26,presupuesto!$B:$Q,16,FALSE)&gt;=VLOOKUP($A26,informe!$A:$J,9,FALSE),"cg","c"),"n")</f>
        <v>n</v>
      </c>
      <c r="L26" s="195" t="str">
        <f>IF(AND(L$3&gt;=$D26,L$3&lt;=$E26),IF((L$3-$D26+1)*VLOOKUP($A26,presupuesto!$B:$Q,16,FALSE)&gt;=VLOOKUP($A26,informe!$A:$J,9,FALSE),"cg","c"),"n")</f>
        <v>n</v>
      </c>
      <c r="M26" s="195" t="str">
        <f>IF(AND(M$3&gt;=$D26,M$3&lt;=$E26),IF((M$3-$D26+1)*VLOOKUP($A26,presupuesto!$B:$Q,16,FALSE)&gt;=VLOOKUP($A26,informe!$A:$J,9,FALSE),"cg","c"),"n")</f>
        <v>n</v>
      </c>
      <c r="N26" s="195" t="str">
        <f>IF(AND(N$3&gt;=$D26,N$3&lt;=$E26),IF((N$3-$D26+1)*VLOOKUP($A26,presupuesto!$B:$Q,16,FALSE)&gt;=VLOOKUP($A26,informe!$A:$J,9,FALSE),"cg","c"),"n")</f>
        <v>n</v>
      </c>
      <c r="O26" s="195" t="str">
        <f>IF(AND(O$3&gt;=$D26,O$3&lt;=$E26),IF((O$3-$D26+1)*VLOOKUP($A26,presupuesto!$B:$Q,16,FALSE)&gt;=VLOOKUP($A26,informe!$A:$J,9,FALSE),"cg","c"),"n")</f>
        <v>n</v>
      </c>
      <c r="P26" s="195" t="str">
        <f>IF(AND(P$3&gt;=$D26,P$3&lt;=$E26),IF((P$3-$D26+1)*VLOOKUP($A26,presupuesto!$B:$Q,16,FALSE)&gt;=VLOOKUP($A26,informe!$A:$J,9,FALSE),"cg","c"),"n")</f>
        <v>n</v>
      </c>
      <c r="Q26" s="195" t="str">
        <f>IF(AND(Q$3&gt;=$D26,Q$3&lt;=$E26),IF((Q$3-$D26+1)*VLOOKUP($A26,presupuesto!$B:$Q,16,FALSE)&gt;=VLOOKUP($A26,informe!$A:$J,9,FALSE),"cg","c"),"n")</f>
        <v>n</v>
      </c>
      <c r="R26" s="195" t="str">
        <f>IF(AND(R$3&gt;=$D26,R$3&lt;=$E26),IF((R$3-$D26+1)*VLOOKUP($A26,presupuesto!$B:$Q,16,FALSE)&gt;=VLOOKUP($A26,informe!$A:$J,9,FALSE),"cg","c"),"n")</f>
        <v>n</v>
      </c>
      <c r="S26" s="195" t="str">
        <f>IF(AND(S$3&gt;=$D26,S$3&lt;=$E26),IF((S$3-$D26+1)*VLOOKUP($A26,presupuesto!$B:$Q,16,FALSE)&gt;=VLOOKUP($A26,informe!$A:$J,9,FALSE),"cg","c"),"n")</f>
        <v>n</v>
      </c>
      <c r="T26" s="195" t="str">
        <f>IF(AND(T$3&gt;=$D26,T$3&lt;=$E26),IF((T$3-$D26+1)*VLOOKUP($A26,presupuesto!$B:$Q,16,FALSE)&gt;=VLOOKUP($A26,informe!$A:$J,9,FALSE),"cg","c"),"n")</f>
        <v>n</v>
      </c>
      <c r="U26" s="195" t="str">
        <f>IF(AND(U$3&gt;=$D26,U$3&lt;=$E26),IF((U$3-$D26+1)*VLOOKUP($A26,presupuesto!$B:$Q,16,FALSE)&gt;=VLOOKUP($A26,informe!$A:$J,9,FALSE),"cg","c"),"n")</f>
        <v>n</v>
      </c>
      <c r="V26" s="195" t="str">
        <f>IF(AND(V$3&gt;=$D26,V$3&lt;=$E26),IF((V$3-$D26+1)*VLOOKUP($A26,presupuesto!$B:$Q,16,FALSE)&gt;=VLOOKUP($A26,informe!$A:$J,9,FALSE),"cg","c"),"n")</f>
        <v>n</v>
      </c>
      <c r="W26" s="195" t="str">
        <f>IF(AND(W$3&gt;=$D26,W$3&lt;=$E26),IF((W$3-$D26+1)*VLOOKUP($A26,presupuesto!$B:$Q,16,FALSE)&gt;=VLOOKUP($A26,informe!$A:$J,9,FALSE),"cg","c"),"n")</f>
        <v>n</v>
      </c>
      <c r="X26" s="195" t="str">
        <f>IF(AND(X$3&gt;=$D26,X$3&lt;=$E26),IF((X$3-$D26+1)*VLOOKUP($A26,presupuesto!$B:$Q,16,FALSE)&gt;=VLOOKUP($A26,informe!$A:$J,9,FALSE),"cg","c"),"n")</f>
        <v>n</v>
      </c>
      <c r="Y26" s="195" t="str">
        <f>IF(AND(Y$3&gt;=$D26,Y$3&lt;=$E26),IF((Y$3-$D26+1)*VLOOKUP($A26,presupuesto!$B:$Q,16,FALSE)&gt;=VLOOKUP($A26,informe!$A:$J,9,FALSE),"cg","c"),"n")</f>
        <v>n</v>
      </c>
      <c r="Z26" s="195" t="str">
        <f>IF(AND(Z$3&gt;=$D26,Z$3&lt;=$E26),IF((Z$3-$D26+1)*VLOOKUP($A26,presupuesto!$B:$Q,16,FALSE)&gt;=VLOOKUP($A26,informe!$A:$J,9,FALSE),"cg","c"),"n")</f>
        <v>n</v>
      </c>
      <c r="AA26" s="195" t="str">
        <f>IF(AND(AA$3&gt;=$D26,AA$3&lt;=$E26),IF((AA$3-$D26+1)*VLOOKUP($A26,presupuesto!$B:$Q,16,FALSE)&gt;=VLOOKUP($A26,informe!$A:$J,9,FALSE),"cg","c"),"n")</f>
        <v>n</v>
      </c>
      <c r="AB26" s="195" t="str">
        <f>IF(AND(AB$3&gt;=$D26,AB$3&lt;=$E26),IF((AB$3-$D26+1)*VLOOKUP($A26,presupuesto!$B:$Q,16,FALSE)&gt;=VLOOKUP($A26,informe!$A:$J,9,FALSE),"cg","c"),"n")</f>
        <v>n</v>
      </c>
      <c r="AC26" s="195" t="str">
        <f>IF(AND(AC$3&gt;=$D26,AC$3&lt;=$E26),IF((AC$3-$D26+1)*VLOOKUP($A26,presupuesto!$B:$Q,16,FALSE)&gt;=VLOOKUP($A26,informe!$A:$J,9,FALSE),"cg","c"),"n")</f>
        <v>n</v>
      </c>
      <c r="AD26" s="195" t="str">
        <f>IF(AND(AD$3&gt;=$D26,AD$3&lt;=$E26),IF((AD$3-$D26+1)*VLOOKUP($A26,presupuesto!$B:$Q,16,FALSE)&gt;=VLOOKUP($A26,informe!$A:$J,9,FALSE),"cg","c"),"n")</f>
        <v>n</v>
      </c>
      <c r="AE26" s="195" t="str">
        <f>IF(AND(AE$3&gt;=$D26,AE$3&lt;=$E26),IF((AE$3-$D26+1)*VLOOKUP($A26,presupuesto!$B:$Q,16,FALSE)&gt;=VLOOKUP($A26,informe!$A:$J,9,FALSE),"cg","c"),"n")</f>
        <v>n</v>
      </c>
      <c r="AF26" s="195" t="str">
        <f>IF(AND(AF$3&gt;=$D26,AF$3&lt;=$E26),IF((AF$3-$D26+1)*VLOOKUP($A26,presupuesto!$B:$Q,16,FALSE)&gt;=VLOOKUP($A26,informe!$A:$J,9,FALSE),"cg","c"),"n")</f>
        <v>n</v>
      </c>
      <c r="AG26" s="195" t="str">
        <f>IF(AND(AG$3&gt;=$D26,AG$3&lt;=$E26),IF((AG$3-$D26+1)*VLOOKUP($A26,presupuesto!$B:$Q,16,FALSE)&gt;=VLOOKUP($A26,informe!$A:$J,9,FALSE),"cg","c"),"n")</f>
        <v>n</v>
      </c>
      <c r="AH26" s="195" t="str">
        <f>IF(AND(AH$3&gt;=$D26,AH$3&lt;=$E26),IF((AH$3-$D26+1)*VLOOKUP($A26,presupuesto!$B:$Q,16,FALSE)&gt;=VLOOKUP($A26,informe!$A:$J,9,FALSE),"cg","c"),"n")</f>
        <v>n</v>
      </c>
      <c r="AI26" s="195" t="str">
        <f>IF(AND(AI$3&gt;=$D26,AI$3&lt;=$E26),IF((AI$3-$D26+1)*VLOOKUP($A26,presupuesto!$B:$Q,16,FALSE)&gt;=VLOOKUP($A26,informe!$A:$J,9,FALSE),"cg","c"),"n")</f>
        <v>n</v>
      </c>
      <c r="AJ26" s="195" t="str">
        <f>IF(AND(AJ$3&gt;=$D26,AJ$3&lt;=$E26),IF((AJ$3-$D26+1)*VLOOKUP($A26,presupuesto!$B:$Q,16,FALSE)&gt;=VLOOKUP($A26,informe!$A:$J,9,FALSE),"cg","c"),"n")</f>
        <v>n</v>
      </c>
      <c r="AK26" s="196" t="str">
        <f>IF(AND(AK$3&gt;=$D26,AK$3&lt;=$E26),IF((AK$3-$D26+1)*VLOOKUP($A26,presupuesto!$B:$Q,16,FALSE)&gt;=VLOOKUP($A26,informe!$A:$J,9,FALSE),"cg","c"),"n")</f>
        <v>n</v>
      </c>
    </row>
    <row r="27" spans="1:37" s="1" customFormat="1" ht="15" customHeight="1" x14ac:dyDescent="0.3">
      <c r="A27" s="197" t="str">
        <f>presupuesto!B26</f>
        <v>A.-</v>
      </c>
      <c r="B27" s="181" t="str">
        <f>presupuesto!C26</f>
        <v xml:space="preserve">      MOVIMIENTO DE TIERRAS</v>
      </c>
      <c r="C27" s="174" t="str">
        <f>presupuesto!G26</f>
        <v>45 días</v>
      </c>
      <c r="D27" s="177">
        <f>presupuesto!N26</f>
        <v>45704</v>
      </c>
      <c r="E27" s="177">
        <f>presupuesto!O26</f>
        <v>45748</v>
      </c>
      <c r="F27" s="194" t="str">
        <f>IF(AK27="n",CONCATENATE(" - "),IF(AK27="cg",CONCATENATE(" - "),CONCATENATE(ROUND(IFERROR(VLOOKUP(A27,informe!A:J,9,FALSE)/VLOOKUP(A27,informe!A:J,5,FALSE),0)*100,2),"% ")))</f>
        <v xml:space="preserve"> - </v>
      </c>
      <c r="G27" s="195" t="str">
        <f>IF(AND(G$3&gt;=$D27,G$3&lt;=$E27),IF((G$3-$D27+1)*VLOOKUP($A27,presupuesto!$B:$Q,16,FALSE)&gt;=VLOOKUP($A27,informe!$A:$J,9,FALSE),"cg","c"),"n")</f>
        <v>n</v>
      </c>
      <c r="H27" s="195" t="str">
        <f>IF(AND(H$3&gt;=$D27,H$3&lt;=$E27),IF((H$3-$D27+1)*VLOOKUP($A27,presupuesto!$B:$Q,16,FALSE)&gt;=VLOOKUP($A27,informe!$A:$J,9,FALSE),"cg","c"),"n")</f>
        <v>n</v>
      </c>
      <c r="I27" s="195" t="str">
        <f>IF(AND(I$3&gt;=$D27,I$3&lt;=$E27),IF((I$3-$D27+1)*VLOOKUP($A27,presupuesto!$B:$Q,16,FALSE)&gt;=VLOOKUP($A27,informe!$A:$J,9,FALSE),"cg","c"),"n")</f>
        <v>n</v>
      </c>
      <c r="J27" s="195" t="str">
        <f>IF(AND(J$3&gt;=$D27,J$3&lt;=$E27),IF((J$3-$D27+1)*VLOOKUP($A27,presupuesto!$B:$Q,16,FALSE)&gt;=VLOOKUP($A27,informe!$A:$J,9,FALSE),"cg","c"),"n")</f>
        <v>n</v>
      </c>
      <c r="K27" s="195" t="str">
        <f>IF(AND(K$3&gt;=$D27,K$3&lt;=$E27),IF((K$3-$D27+1)*VLOOKUP($A27,presupuesto!$B:$Q,16,FALSE)&gt;=VLOOKUP($A27,informe!$A:$J,9,FALSE),"cg","c"),"n")</f>
        <v>n</v>
      </c>
      <c r="L27" s="195" t="str">
        <f>IF(AND(L$3&gt;=$D27,L$3&lt;=$E27),IF((L$3-$D27+1)*VLOOKUP($A27,presupuesto!$B:$Q,16,FALSE)&gt;=VLOOKUP($A27,informe!$A:$J,9,FALSE),"cg","c"),"n")</f>
        <v>n</v>
      </c>
      <c r="M27" s="195" t="str">
        <f>IF(AND(M$3&gt;=$D27,M$3&lt;=$E27),IF((M$3-$D27+1)*VLOOKUP($A27,presupuesto!$B:$Q,16,FALSE)&gt;=VLOOKUP($A27,informe!$A:$J,9,FALSE),"cg","c"),"n")</f>
        <v>n</v>
      </c>
      <c r="N27" s="195" t="str">
        <f>IF(AND(N$3&gt;=$D27,N$3&lt;=$E27),IF((N$3-$D27+1)*VLOOKUP($A27,presupuesto!$B:$Q,16,FALSE)&gt;=VLOOKUP($A27,informe!$A:$J,9,FALSE),"cg","c"),"n")</f>
        <v>n</v>
      </c>
      <c r="O27" s="195" t="str">
        <f>IF(AND(O$3&gt;=$D27,O$3&lt;=$E27),IF((O$3-$D27+1)*VLOOKUP($A27,presupuesto!$B:$Q,16,FALSE)&gt;=VLOOKUP($A27,informe!$A:$J,9,FALSE),"cg","c"),"n")</f>
        <v>n</v>
      </c>
      <c r="P27" s="195" t="str">
        <f>IF(AND(P$3&gt;=$D27,P$3&lt;=$E27),IF((P$3-$D27+1)*VLOOKUP($A27,presupuesto!$B:$Q,16,FALSE)&gt;=VLOOKUP($A27,informe!$A:$J,9,FALSE),"cg","c"),"n")</f>
        <v>n</v>
      </c>
      <c r="Q27" s="195" t="str">
        <f>IF(AND(Q$3&gt;=$D27,Q$3&lt;=$E27),IF((Q$3-$D27+1)*VLOOKUP($A27,presupuesto!$B:$Q,16,FALSE)&gt;=VLOOKUP($A27,informe!$A:$J,9,FALSE),"cg","c"),"n")</f>
        <v>n</v>
      </c>
      <c r="R27" s="195" t="str">
        <f>IF(AND(R$3&gt;=$D27,R$3&lt;=$E27),IF((R$3-$D27+1)*VLOOKUP($A27,presupuesto!$B:$Q,16,FALSE)&gt;=VLOOKUP($A27,informe!$A:$J,9,FALSE),"cg","c"),"n")</f>
        <v>n</v>
      </c>
      <c r="S27" s="195" t="str">
        <f>IF(AND(S$3&gt;=$D27,S$3&lt;=$E27),IF((S$3-$D27+1)*VLOOKUP($A27,presupuesto!$B:$Q,16,FALSE)&gt;=VLOOKUP($A27,informe!$A:$J,9,FALSE),"cg","c"),"n")</f>
        <v>n</v>
      </c>
      <c r="T27" s="195" t="str">
        <f>IF(AND(T$3&gt;=$D27,T$3&lt;=$E27),IF((T$3-$D27+1)*VLOOKUP($A27,presupuesto!$B:$Q,16,FALSE)&gt;=VLOOKUP($A27,informe!$A:$J,9,FALSE),"cg","c"),"n")</f>
        <v>n</v>
      </c>
      <c r="U27" s="195" t="str">
        <f>IF(AND(U$3&gt;=$D27,U$3&lt;=$E27),IF((U$3-$D27+1)*VLOOKUP($A27,presupuesto!$B:$Q,16,FALSE)&gt;=VLOOKUP($A27,informe!$A:$J,9,FALSE),"cg","c"),"n")</f>
        <v>n</v>
      </c>
      <c r="V27" s="195" t="str">
        <f>IF(AND(V$3&gt;=$D27,V$3&lt;=$E27),IF((V$3-$D27+1)*VLOOKUP($A27,presupuesto!$B:$Q,16,FALSE)&gt;=VLOOKUP($A27,informe!$A:$J,9,FALSE),"cg","c"),"n")</f>
        <v>n</v>
      </c>
      <c r="W27" s="195" t="str">
        <f>IF(AND(W$3&gt;=$D27,W$3&lt;=$E27),IF((W$3-$D27+1)*VLOOKUP($A27,presupuesto!$B:$Q,16,FALSE)&gt;=VLOOKUP($A27,informe!$A:$J,9,FALSE),"cg","c"),"n")</f>
        <v>n</v>
      </c>
      <c r="X27" s="195" t="str">
        <f>IF(AND(X$3&gt;=$D27,X$3&lt;=$E27),IF((X$3-$D27+1)*VLOOKUP($A27,presupuesto!$B:$Q,16,FALSE)&gt;=VLOOKUP($A27,informe!$A:$J,9,FALSE),"cg","c"),"n")</f>
        <v>n</v>
      </c>
      <c r="Y27" s="195" t="str">
        <f>IF(AND(Y$3&gt;=$D27,Y$3&lt;=$E27),IF((Y$3-$D27+1)*VLOOKUP($A27,presupuesto!$B:$Q,16,FALSE)&gt;=VLOOKUP($A27,informe!$A:$J,9,FALSE),"cg","c"),"n")</f>
        <v>n</v>
      </c>
      <c r="Z27" s="195" t="str">
        <f>IF(AND(Z$3&gt;=$D27,Z$3&lt;=$E27),IF((Z$3-$D27+1)*VLOOKUP($A27,presupuesto!$B:$Q,16,FALSE)&gt;=VLOOKUP($A27,informe!$A:$J,9,FALSE),"cg","c"),"n")</f>
        <v>n</v>
      </c>
      <c r="AA27" s="195" t="str">
        <f>IF(AND(AA$3&gt;=$D27,AA$3&lt;=$E27),IF((AA$3-$D27+1)*VLOOKUP($A27,presupuesto!$B:$Q,16,FALSE)&gt;=VLOOKUP($A27,informe!$A:$J,9,FALSE),"cg","c"),"n")</f>
        <v>n</v>
      </c>
      <c r="AB27" s="195" t="str">
        <f>IF(AND(AB$3&gt;=$D27,AB$3&lt;=$E27),IF((AB$3-$D27+1)*VLOOKUP($A27,presupuesto!$B:$Q,16,FALSE)&gt;=VLOOKUP($A27,informe!$A:$J,9,FALSE),"cg","c"),"n")</f>
        <v>n</v>
      </c>
      <c r="AC27" s="195" t="str">
        <f>IF(AND(AC$3&gt;=$D27,AC$3&lt;=$E27),IF((AC$3-$D27+1)*VLOOKUP($A27,presupuesto!$B:$Q,16,FALSE)&gt;=VLOOKUP($A27,informe!$A:$J,9,FALSE),"cg","c"),"n")</f>
        <v>n</v>
      </c>
      <c r="AD27" s="195" t="str">
        <f>IF(AND(AD$3&gt;=$D27,AD$3&lt;=$E27),IF((AD$3-$D27+1)*VLOOKUP($A27,presupuesto!$B:$Q,16,FALSE)&gt;=VLOOKUP($A27,informe!$A:$J,9,FALSE),"cg","c"),"n")</f>
        <v>n</v>
      </c>
      <c r="AE27" s="195" t="str">
        <f>IF(AND(AE$3&gt;=$D27,AE$3&lt;=$E27),IF((AE$3-$D27+1)*VLOOKUP($A27,presupuesto!$B:$Q,16,FALSE)&gt;=VLOOKUP($A27,informe!$A:$J,9,FALSE),"cg","c"),"n")</f>
        <v>n</v>
      </c>
      <c r="AF27" s="195" t="str">
        <f>IF(AND(AF$3&gt;=$D27,AF$3&lt;=$E27),IF((AF$3-$D27+1)*VLOOKUP($A27,presupuesto!$B:$Q,16,FALSE)&gt;=VLOOKUP($A27,informe!$A:$J,9,FALSE),"cg","c"),"n")</f>
        <v>n</v>
      </c>
      <c r="AG27" s="195" t="str">
        <f>IF(AND(AG$3&gt;=$D27,AG$3&lt;=$E27),IF((AG$3-$D27+1)*VLOOKUP($A27,presupuesto!$B:$Q,16,FALSE)&gt;=VLOOKUP($A27,informe!$A:$J,9,FALSE),"cg","c"),"n")</f>
        <v>n</v>
      </c>
      <c r="AH27" s="195" t="str">
        <f>IF(AND(AH$3&gt;=$D27,AH$3&lt;=$E27),IF((AH$3-$D27+1)*VLOOKUP($A27,presupuesto!$B:$Q,16,FALSE)&gt;=VLOOKUP($A27,informe!$A:$J,9,FALSE),"cg","c"),"n")</f>
        <v>n</v>
      </c>
      <c r="AI27" s="195" t="str">
        <f>IF(AND(AI$3&gt;=$D27,AI$3&lt;=$E27),IF((AI$3-$D27+1)*VLOOKUP($A27,presupuesto!$B:$Q,16,FALSE)&gt;=VLOOKUP($A27,informe!$A:$J,9,FALSE),"cg","c"),"n")</f>
        <v>n</v>
      </c>
      <c r="AJ27" s="195" t="str">
        <f>IF(AND(AJ$3&gt;=$D27,AJ$3&lt;=$E27),IF((AJ$3-$D27+1)*VLOOKUP($A27,presupuesto!$B:$Q,16,FALSE)&gt;=VLOOKUP($A27,informe!$A:$J,9,FALSE),"cg","c"),"n")</f>
        <v>n</v>
      </c>
      <c r="AK27" s="196" t="str">
        <f>IF(AND(AK$3&gt;=$D27,AK$3&lt;=$E27),IF((AK$3-$D27+1)*VLOOKUP($A27,presupuesto!$B:$Q,16,FALSE)&gt;=VLOOKUP($A27,informe!$A:$J,9,FALSE),"cg","c"),"n")</f>
        <v>n</v>
      </c>
    </row>
    <row r="28" spans="1:37" s="1" customFormat="1" ht="14.25" customHeight="1" x14ac:dyDescent="0.25">
      <c r="A28" s="197">
        <f>presupuesto!B27</f>
        <v>14</v>
      </c>
      <c r="B28" s="182" t="str">
        <f>presupuesto!C27</f>
        <v xml:space="preserve">         Excavación de zanja, terreno Tipo III</v>
      </c>
      <c r="C28" s="174" t="str">
        <f>presupuesto!G27</f>
        <v>45 días</v>
      </c>
      <c r="D28" s="177">
        <f>presupuesto!N27</f>
        <v>45704</v>
      </c>
      <c r="E28" s="177">
        <f>presupuesto!O27</f>
        <v>45748</v>
      </c>
      <c r="F28" s="194" t="str">
        <f>IF(AK28="n",CONCATENATE(" - "),IF(AK28="cg",CONCATENATE(" - "),CONCATENATE(ROUND(IFERROR(VLOOKUP(A28,informe!A:J,9,FALSE)/VLOOKUP(A28,informe!A:J,5,FALSE),0)*100,2),"% ")))</f>
        <v xml:space="preserve"> - </v>
      </c>
      <c r="G28" s="195" t="str">
        <f>IF(AND(G$3&gt;=$D28,G$3&lt;=$E28),IF((G$3-$D28+1)*VLOOKUP($A28,presupuesto!$B:$Q,16,FALSE)&gt;=VLOOKUP($A28,informe!$A:$J,9,FALSE),"cg","c"),"n")</f>
        <v>n</v>
      </c>
      <c r="H28" s="195" t="str">
        <f>IF(AND(H$3&gt;=$D28,H$3&lt;=$E28),IF((H$3-$D28+1)*VLOOKUP($A28,presupuesto!$B:$Q,16,FALSE)&gt;=VLOOKUP($A28,informe!$A:$J,9,FALSE),"cg","c"),"n")</f>
        <v>n</v>
      </c>
      <c r="I28" s="195" t="str">
        <f>IF(AND(I$3&gt;=$D28,I$3&lt;=$E28),IF((I$3-$D28+1)*VLOOKUP($A28,presupuesto!$B:$Q,16,FALSE)&gt;=VLOOKUP($A28,informe!$A:$J,9,FALSE),"cg","c"),"n")</f>
        <v>n</v>
      </c>
      <c r="J28" s="195" t="str">
        <f>IF(AND(J$3&gt;=$D28,J$3&lt;=$E28),IF((J$3-$D28+1)*VLOOKUP($A28,presupuesto!$B:$Q,16,FALSE)&gt;=VLOOKUP($A28,informe!$A:$J,9,FALSE),"cg","c"),"n")</f>
        <v>n</v>
      </c>
      <c r="K28" s="195" t="str">
        <f>IF(AND(K$3&gt;=$D28,K$3&lt;=$E28),IF((K$3-$D28+1)*VLOOKUP($A28,presupuesto!$B:$Q,16,FALSE)&gt;=VLOOKUP($A28,informe!$A:$J,9,FALSE),"cg","c"),"n")</f>
        <v>n</v>
      </c>
      <c r="L28" s="195" t="str">
        <f>IF(AND(L$3&gt;=$D28,L$3&lt;=$E28),IF((L$3-$D28+1)*VLOOKUP($A28,presupuesto!$B:$Q,16,FALSE)&gt;=VLOOKUP($A28,informe!$A:$J,9,FALSE),"cg","c"),"n")</f>
        <v>n</v>
      </c>
      <c r="M28" s="195" t="str">
        <f>IF(AND(M$3&gt;=$D28,M$3&lt;=$E28),IF((M$3-$D28+1)*VLOOKUP($A28,presupuesto!$B:$Q,16,FALSE)&gt;=VLOOKUP($A28,informe!$A:$J,9,FALSE),"cg","c"),"n")</f>
        <v>n</v>
      </c>
      <c r="N28" s="195" t="str">
        <f>IF(AND(N$3&gt;=$D28,N$3&lt;=$E28),IF((N$3-$D28+1)*VLOOKUP($A28,presupuesto!$B:$Q,16,FALSE)&gt;=VLOOKUP($A28,informe!$A:$J,9,FALSE),"cg","c"),"n")</f>
        <v>n</v>
      </c>
      <c r="O28" s="195" t="str">
        <f>IF(AND(O$3&gt;=$D28,O$3&lt;=$E28),IF((O$3-$D28+1)*VLOOKUP($A28,presupuesto!$B:$Q,16,FALSE)&gt;=VLOOKUP($A28,informe!$A:$J,9,FALSE),"cg","c"),"n")</f>
        <v>n</v>
      </c>
      <c r="P28" s="195" t="str">
        <f>IF(AND(P$3&gt;=$D28,P$3&lt;=$E28),IF((P$3-$D28+1)*VLOOKUP($A28,presupuesto!$B:$Q,16,FALSE)&gt;=VLOOKUP($A28,informe!$A:$J,9,FALSE),"cg","c"),"n")</f>
        <v>n</v>
      </c>
      <c r="Q28" s="195" t="str">
        <f>IF(AND(Q$3&gt;=$D28,Q$3&lt;=$E28),IF((Q$3-$D28+1)*VLOOKUP($A28,presupuesto!$B:$Q,16,FALSE)&gt;=VLOOKUP($A28,informe!$A:$J,9,FALSE),"cg","c"),"n")</f>
        <v>n</v>
      </c>
      <c r="R28" s="195" t="str">
        <f>IF(AND(R$3&gt;=$D28,R$3&lt;=$E28),IF((R$3-$D28+1)*VLOOKUP($A28,presupuesto!$B:$Q,16,FALSE)&gt;=VLOOKUP($A28,informe!$A:$J,9,FALSE),"cg","c"),"n")</f>
        <v>n</v>
      </c>
      <c r="S28" s="195" t="str">
        <f>IF(AND(S$3&gt;=$D28,S$3&lt;=$E28),IF((S$3-$D28+1)*VLOOKUP($A28,presupuesto!$B:$Q,16,FALSE)&gt;=VLOOKUP($A28,informe!$A:$J,9,FALSE),"cg","c"),"n")</f>
        <v>n</v>
      </c>
      <c r="T28" s="195" t="str">
        <f>IF(AND(T$3&gt;=$D28,T$3&lt;=$E28),IF((T$3-$D28+1)*VLOOKUP($A28,presupuesto!$B:$Q,16,FALSE)&gt;=VLOOKUP($A28,informe!$A:$J,9,FALSE),"cg","c"),"n")</f>
        <v>n</v>
      </c>
      <c r="U28" s="195" t="str">
        <f>IF(AND(U$3&gt;=$D28,U$3&lt;=$E28),IF((U$3-$D28+1)*VLOOKUP($A28,presupuesto!$B:$Q,16,FALSE)&gt;=VLOOKUP($A28,informe!$A:$J,9,FALSE),"cg","c"),"n")</f>
        <v>n</v>
      </c>
      <c r="V28" s="195" t="str">
        <f>IF(AND(V$3&gt;=$D28,V$3&lt;=$E28),IF((V$3-$D28+1)*VLOOKUP($A28,presupuesto!$B:$Q,16,FALSE)&gt;=VLOOKUP($A28,informe!$A:$J,9,FALSE),"cg","c"),"n")</f>
        <v>n</v>
      </c>
      <c r="W28" s="195" t="str">
        <f>IF(AND(W$3&gt;=$D28,W$3&lt;=$E28),IF((W$3-$D28+1)*VLOOKUP($A28,presupuesto!$B:$Q,16,FALSE)&gt;=VLOOKUP($A28,informe!$A:$J,9,FALSE),"cg","c"),"n")</f>
        <v>n</v>
      </c>
      <c r="X28" s="195" t="str">
        <f>IF(AND(X$3&gt;=$D28,X$3&lt;=$E28),IF((X$3-$D28+1)*VLOOKUP($A28,presupuesto!$B:$Q,16,FALSE)&gt;=VLOOKUP($A28,informe!$A:$J,9,FALSE),"cg","c"),"n")</f>
        <v>n</v>
      </c>
      <c r="Y28" s="195" t="str">
        <f>IF(AND(Y$3&gt;=$D28,Y$3&lt;=$E28),IF((Y$3-$D28+1)*VLOOKUP($A28,presupuesto!$B:$Q,16,FALSE)&gt;=VLOOKUP($A28,informe!$A:$J,9,FALSE),"cg","c"),"n")</f>
        <v>n</v>
      </c>
      <c r="Z28" s="195" t="str">
        <f>IF(AND(Z$3&gt;=$D28,Z$3&lt;=$E28),IF((Z$3-$D28+1)*VLOOKUP($A28,presupuesto!$B:$Q,16,FALSE)&gt;=VLOOKUP($A28,informe!$A:$J,9,FALSE),"cg","c"),"n")</f>
        <v>n</v>
      </c>
      <c r="AA28" s="195" t="str">
        <f>IF(AND(AA$3&gt;=$D28,AA$3&lt;=$E28),IF((AA$3-$D28+1)*VLOOKUP($A28,presupuesto!$B:$Q,16,FALSE)&gt;=VLOOKUP($A28,informe!$A:$J,9,FALSE),"cg","c"),"n")</f>
        <v>n</v>
      </c>
      <c r="AB28" s="195" t="str">
        <f>IF(AND(AB$3&gt;=$D28,AB$3&lt;=$E28),IF((AB$3-$D28+1)*VLOOKUP($A28,presupuesto!$B:$Q,16,FALSE)&gt;=VLOOKUP($A28,informe!$A:$J,9,FALSE),"cg","c"),"n")</f>
        <v>n</v>
      </c>
      <c r="AC28" s="195" t="str">
        <f>IF(AND(AC$3&gt;=$D28,AC$3&lt;=$E28),IF((AC$3-$D28+1)*VLOOKUP($A28,presupuesto!$B:$Q,16,FALSE)&gt;=VLOOKUP($A28,informe!$A:$J,9,FALSE),"cg","c"),"n")</f>
        <v>n</v>
      </c>
      <c r="AD28" s="195" t="str">
        <f>IF(AND(AD$3&gt;=$D28,AD$3&lt;=$E28),IF((AD$3-$D28+1)*VLOOKUP($A28,presupuesto!$B:$Q,16,FALSE)&gt;=VLOOKUP($A28,informe!$A:$J,9,FALSE),"cg","c"),"n")</f>
        <v>n</v>
      </c>
      <c r="AE28" s="195" t="str">
        <f>IF(AND(AE$3&gt;=$D28,AE$3&lt;=$E28),IF((AE$3-$D28+1)*VLOOKUP($A28,presupuesto!$B:$Q,16,FALSE)&gt;=VLOOKUP($A28,informe!$A:$J,9,FALSE),"cg","c"),"n")</f>
        <v>n</v>
      </c>
      <c r="AF28" s="195" t="str">
        <f>IF(AND(AF$3&gt;=$D28,AF$3&lt;=$E28),IF((AF$3-$D28+1)*VLOOKUP($A28,presupuesto!$B:$Q,16,FALSE)&gt;=VLOOKUP($A28,informe!$A:$J,9,FALSE),"cg","c"),"n")</f>
        <v>n</v>
      </c>
      <c r="AG28" s="195" t="str">
        <f>IF(AND(AG$3&gt;=$D28,AG$3&lt;=$E28),IF((AG$3-$D28+1)*VLOOKUP($A28,presupuesto!$B:$Q,16,FALSE)&gt;=VLOOKUP($A28,informe!$A:$J,9,FALSE),"cg","c"),"n")</f>
        <v>n</v>
      </c>
      <c r="AH28" s="195" t="str">
        <f>IF(AND(AH$3&gt;=$D28,AH$3&lt;=$E28),IF((AH$3-$D28+1)*VLOOKUP($A28,presupuesto!$B:$Q,16,FALSE)&gt;=VLOOKUP($A28,informe!$A:$J,9,FALSE),"cg","c"),"n")</f>
        <v>n</v>
      </c>
      <c r="AI28" s="195" t="str">
        <f>IF(AND(AI$3&gt;=$D28,AI$3&lt;=$E28),IF((AI$3-$D28+1)*VLOOKUP($A28,presupuesto!$B:$Q,16,FALSE)&gt;=VLOOKUP($A28,informe!$A:$J,9,FALSE),"cg","c"),"n")</f>
        <v>n</v>
      </c>
      <c r="AJ28" s="195" t="str">
        <f>IF(AND(AJ$3&gt;=$D28,AJ$3&lt;=$E28),IF((AJ$3-$D28+1)*VLOOKUP($A28,presupuesto!$B:$Q,16,FALSE)&gt;=VLOOKUP($A28,informe!$A:$J,9,FALSE),"cg","c"),"n")</f>
        <v>n</v>
      </c>
      <c r="AK28" s="196" t="str">
        <f>IF(AND(AK$3&gt;=$D28,AK$3&lt;=$E28),IF((AK$3-$D28+1)*VLOOKUP($A28,presupuesto!$B:$Q,16,FALSE)&gt;=VLOOKUP($A28,informe!$A:$J,9,FALSE),"cg","c"),"n")</f>
        <v>n</v>
      </c>
    </row>
    <row r="29" spans="1:37" s="1" customFormat="1" ht="15" customHeight="1" x14ac:dyDescent="0.25">
      <c r="A29" s="197">
        <f>presupuesto!B28</f>
        <v>15</v>
      </c>
      <c r="B29" s="182" t="str">
        <f>presupuesto!C28</f>
        <v xml:space="preserve">         Base de apoyo</v>
      </c>
      <c r="C29" s="174" t="str">
        <f>presupuesto!G28</f>
        <v>45 días</v>
      </c>
      <c r="D29" s="177">
        <f>presupuesto!N28</f>
        <v>45704</v>
      </c>
      <c r="E29" s="177">
        <f>presupuesto!O28</f>
        <v>45748</v>
      </c>
      <c r="F29" s="194" t="str">
        <f>IF(AK29="n",CONCATENATE(" - "),IF(AK29="cg",CONCATENATE(" - "),CONCATENATE(ROUND(IFERROR(VLOOKUP(A29,informe!A:J,9,FALSE)/VLOOKUP(A29,informe!A:J,5,FALSE),0)*100,2),"% ")))</f>
        <v xml:space="preserve"> - </v>
      </c>
      <c r="G29" s="195" t="str">
        <f>IF(AND(G$3&gt;=$D29,G$3&lt;=$E29),IF((G$3-$D29+1)*VLOOKUP($A29,presupuesto!$B:$Q,16,FALSE)&gt;=VLOOKUP($A29,informe!$A:$J,9,FALSE),"cg","c"),"n")</f>
        <v>n</v>
      </c>
      <c r="H29" s="195" t="str">
        <f>IF(AND(H$3&gt;=$D29,H$3&lt;=$E29),IF((H$3-$D29+1)*VLOOKUP($A29,presupuesto!$B:$Q,16,FALSE)&gt;=VLOOKUP($A29,informe!$A:$J,9,FALSE),"cg","c"),"n")</f>
        <v>n</v>
      </c>
      <c r="I29" s="195" t="str">
        <f>IF(AND(I$3&gt;=$D29,I$3&lt;=$E29),IF((I$3-$D29+1)*VLOOKUP($A29,presupuesto!$B:$Q,16,FALSE)&gt;=VLOOKUP($A29,informe!$A:$J,9,FALSE),"cg","c"),"n")</f>
        <v>n</v>
      </c>
      <c r="J29" s="195" t="str">
        <f>IF(AND(J$3&gt;=$D29,J$3&lt;=$E29),IF((J$3-$D29+1)*VLOOKUP($A29,presupuesto!$B:$Q,16,FALSE)&gt;=VLOOKUP($A29,informe!$A:$J,9,FALSE),"cg","c"),"n")</f>
        <v>n</v>
      </c>
      <c r="K29" s="195" t="str">
        <f>IF(AND(K$3&gt;=$D29,K$3&lt;=$E29),IF((K$3-$D29+1)*VLOOKUP($A29,presupuesto!$B:$Q,16,FALSE)&gt;=VLOOKUP($A29,informe!$A:$J,9,FALSE),"cg","c"),"n")</f>
        <v>n</v>
      </c>
      <c r="L29" s="195" t="str">
        <f>IF(AND(L$3&gt;=$D29,L$3&lt;=$E29),IF((L$3-$D29+1)*VLOOKUP($A29,presupuesto!$B:$Q,16,FALSE)&gt;=VLOOKUP($A29,informe!$A:$J,9,FALSE),"cg","c"),"n")</f>
        <v>n</v>
      </c>
      <c r="M29" s="195" t="str">
        <f>IF(AND(M$3&gt;=$D29,M$3&lt;=$E29),IF((M$3-$D29+1)*VLOOKUP($A29,presupuesto!$B:$Q,16,FALSE)&gt;=VLOOKUP($A29,informe!$A:$J,9,FALSE),"cg","c"),"n")</f>
        <v>n</v>
      </c>
      <c r="N29" s="195" t="str">
        <f>IF(AND(N$3&gt;=$D29,N$3&lt;=$E29),IF((N$3-$D29+1)*VLOOKUP($A29,presupuesto!$B:$Q,16,FALSE)&gt;=VLOOKUP($A29,informe!$A:$J,9,FALSE),"cg","c"),"n")</f>
        <v>n</v>
      </c>
      <c r="O29" s="195" t="str">
        <f>IF(AND(O$3&gt;=$D29,O$3&lt;=$E29),IF((O$3-$D29+1)*VLOOKUP($A29,presupuesto!$B:$Q,16,FALSE)&gt;=VLOOKUP($A29,informe!$A:$J,9,FALSE),"cg","c"),"n")</f>
        <v>n</v>
      </c>
      <c r="P29" s="195" t="str">
        <f>IF(AND(P$3&gt;=$D29,P$3&lt;=$E29),IF((P$3-$D29+1)*VLOOKUP($A29,presupuesto!$B:$Q,16,FALSE)&gt;=VLOOKUP($A29,informe!$A:$J,9,FALSE),"cg","c"),"n")</f>
        <v>n</v>
      </c>
      <c r="Q29" s="195" t="str">
        <f>IF(AND(Q$3&gt;=$D29,Q$3&lt;=$E29),IF((Q$3-$D29+1)*VLOOKUP($A29,presupuesto!$B:$Q,16,FALSE)&gt;=VLOOKUP($A29,informe!$A:$J,9,FALSE),"cg","c"),"n")</f>
        <v>n</v>
      </c>
      <c r="R29" s="195" t="str">
        <f>IF(AND(R$3&gt;=$D29,R$3&lt;=$E29),IF((R$3-$D29+1)*VLOOKUP($A29,presupuesto!$B:$Q,16,FALSE)&gt;=VLOOKUP($A29,informe!$A:$J,9,FALSE),"cg","c"),"n")</f>
        <v>n</v>
      </c>
      <c r="S29" s="195" t="str">
        <f>IF(AND(S$3&gt;=$D29,S$3&lt;=$E29),IF((S$3-$D29+1)*VLOOKUP($A29,presupuesto!$B:$Q,16,FALSE)&gt;=VLOOKUP($A29,informe!$A:$J,9,FALSE),"cg","c"),"n")</f>
        <v>n</v>
      </c>
      <c r="T29" s="195" t="str">
        <f>IF(AND(T$3&gt;=$D29,T$3&lt;=$E29),IF((T$3-$D29+1)*VLOOKUP($A29,presupuesto!$B:$Q,16,FALSE)&gt;=VLOOKUP($A29,informe!$A:$J,9,FALSE),"cg","c"),"n")</f>
        <v>n</v>
      </c>
      <c r="U29" s="195" t="str">
        <f>IF(AND(U$3&gt;=$D29,U$3&lt;=$E29),IF((U$3-$D29+1)*VLOOKUP($A29,presupuesto!$B:$Q,16,FALSE)&gt;=VLOOKUP($A29,informe!$A:$J,9,FALSE),"cg","c"),"n")</f>
        <v>n</v>
      </c>
      <c r="V29" s="195" t="str">
        <f>IF(AND(V$3&gt;=$D29,V$3&lt;=$E29),IF((V$3-$D29+1)*VLOOKUP($A29,presupuesto!$B:$Q,16,FALSE)&gt;=VLOOKUP($A29,informe!$A:$J,9,FALSE),"cg","c"),"n")</f>
        <v>n</v>
      </c>
      <c r="W29" s="195" t="str">
        <f>IF(AND(W$3&gt;=$D29,W$3&lt;=$E29),IF((W$3-$D29+1)*VLOOKUP($A29,presupuesto!$B:$Q,16,FALSE)&gt;=VLOOKUP($A29,informe!$A:$J,9,FALSE),"cg","c"),"n")</f>
        <v>n</v>
      </c>
      <c r="X29" s="195" t="str">
        <f>IF(AND(X$3&gt;=$D29,X$3&lt;=$E29),IF((X$3-$D29+1)*VLOOKUP($A29,presupuesto!$B:$Q,16,FALSE)&gt;=VLOOKUP($A29,informe!$A:$J,9,FALSE),"cg","c"),"n")</f>
        <v>n</v>
      </c>
      <c r="Y29" s="195" t="str">
        <f>IF(AND(Y$3&gt;=$D29,Y$3&lt;=$E29),IF((Y$3-$D29+1)*VLOOKUP($A29,presupuesto!$B:$Q,16,FALSE)&gt;=VLOOKUP($A29,informe!$A:$J,9,FALSE),"cg","c"),"n")</f>
        <v>n</v>
      </c>
      <c r="Z29" s="195" t="str">
        <f>IF(AND(Z$3&gt;=$D29,Z$3&lt;=$E29),IF((Z$3-$D29+1)*VLOOKUP($A29,presupuesto!$B:$Q,16,FALSE)&gt;=VLOOKUP($A29,informe!$A:$J,9,FALSE),"cg","c"),"n")</f>
        <v>n</v>
      </c>
      <c r="AA29" s="195" t="str">
        <f>IF(AND(AA$3&gt;=$D29,AA$3&lt;=$E29),IF((AA$3-$D29+1)*VLOOKUP($A29,presupuesto!$B:$Q,16,FALSE)&gt;=VLOOKUP($A29,informe!$A:$J,9,FALSE),"cg","c"),"n")</f>
        <v>n</v>
      </c>
      <c r="AB29" s="195" t="str">
        <f>IF(AND(AB$3&gt;=$D29,AB$3&lt;=$E29),IF((AB$3-$D29+1)*VLOOKUP($A29,presupuesto!$B:$Q,16,FALSE)&gt;=VLOOKUP($A29,informe!$A:$J,9,FALSE),"cg","c"),"n")</f>
        <v>n</v>
      </c>
      <c r="AC29" s="195" t="str">
        <f>IF(AND(AC$3&gt;=$D29,AC$3&lt;=$E29),IF((AC$3-$D29+1)*VLOOKUP($A29,presupuesto!$B:$Q,16,FALSE)&gt;=VLOOKUP($A29,informe!$A:$J,9,FALSE),"cg","c"),"n")</f>
        <v>n</v>
      </c>
      <c r="AD29" s="195" t="str">
        <f>IF(AND(AD$3&gt;=$D29,AD$3&lt;=$E29),IF((AD$3-$D29+1)*VLOOKUP($A29,presupuesto!$B:$Q,16,FALSE)&gt;=VLOOKUP($A29,informe!$A:$J,9,FALSE),"cg","c"),"n")</f>
        <v>n</v>
      </c>
      <c r="AE29" s="195" t="str">
        <f>IF(AND(AE$3&gt;=$D29,AE$3&lt;=$E29),IF((AE$3-$D29+1)*VLOOKUP($A29,presupuesto!$B:$Q,16,FALSE)&gt;=VLOOKUP($A29,informe!$A:$J,9,FALSE),"cg","c"),"n")</f>
        <v>n</v>
      </c>
      <c r="AF29" s="195" t="str">
        <f>IF(AND(AF$3&gt;=$D29,AF$3&lt;=$E29),IF((AF$3-$D29+1)*VLOOKUP($A29,presupuesto!$B:$Q,16,FALSE)&gt;=VLOOKUP($A29,informe!$A:$J,9,FALSE),"cg","c"),"n")</f>
        <v>n</v>
      </c>
      <c r="AG29" s="195" t="str">
        <f>IF(AND(AG$3&gt;=$D29,AG$3&lt;=$E29),IF((AG$3-$D29+1)*VLOOKUP($A29,presupuesto!$B:$Q,16,FALSE)&gt;=VLOOKUP($A29,informe!$A:$J,9,FALSE),"cg","c"),"n")</f>
        <v>n</v>
      </c>
      <c r="AH29" s="195" t="str">
        <f>IF(AND(AH$3&gt;=$D29,AH$3&lt;=$E29),IF((AH$3-$D29+1)*VLOOKUP($A29,presupuesto!$B:$Q,16,FALSE)&gt;=VLOOKUP($A29,informe!$A:$J,9,FALSE),"cg","c"),"n")</f>
        <v>n</v>
      </c>
      <c r="AI29" s="195" t="str">
        <f>IF(AND(AI$3&gt;=$D29,AI$3&lt;=$E29),IF((AI$3-$D29+1)*VLOOKUP($A29,presupuesto!$B:$Q,16,FALSE)&gt;=VLOOKUP($A29,informe!$A:$J,9,FALSE),"cg","c"),"n")</f>
        <v>n</v>
      </c>
      <c r="AJ29" s="195" t="str">
        <f>IF(AND(AJ$3&gt;=$D29,AJ$3&lt;=$E29),IF((AJ$3-$D29+1)*VLOOKUP($A29,presupuesto!$B:$Q,16,FALSE)&gt;=VLOOKUP($A29,informe!$A:$J,9,FALSE),"cg","c"),"n")</f>
        <v>n</v>
      </c>
      <c r="AK29" s="196" t="str">
        <f>IF(AND(AK$3&gt;=$D29,AK$3&lt;=$E29),IF((AK$3-$D29+1)*VLOOKUP($A29,presupuesto!$B:$Q,16,FALSE)&gt;=VLOOKUP($A29,informe!$A:$J,9,FALSE),"cg","c"),"n")</f>
        <v>n</v>
      </c>
    </row>
    <row r="30" spans="1:37" s="1" customFormat="1" ht="15" customHeight="1" x14ac:dyDescent="0.25">
      <c r="A30" s="197">
        <f>presupuesto!B29</f>
        <v>16</v>
      </c>
      <c r="B30" s="182" t="str">
        <f>presupuesto!C29</f>
        <v xml:space="preserve">         Relleno de zanja</v>
      </c>
      <c r="C30" s="174" t="str">
        <f>presupuesto!G29</f>
        <v>45 días</v>
      </c>
      <c r="D30" s="177">
        <f>presupuesto!N29</f>
        <v>45704</v>
      </c>
      <c r="E30" s="177">
        <f>presupuesto!O29</f>
        <v>45748</v>
      </c>
      <c r="F30" s="194" t="str">
        <f>IF(AK30="n",CONCATENATE(" - "),IF(AK30="cg",CONCATENATE(" - "),CONCATENATE(ROUND(IFERROR(VLOOKUP(A30,informe!A:J,9,FALSE)/VLOOKUP(A30,informe!A:J,5,FALSE),0)*100,2),"% ")))</f>
        <v xml:space="preserve"> - </v>
      </c>
      <c r="G30" s="195" t="str">
        <f>IF(AND(G$3&gt;=$D30,G$3&lt;=$E30),IF((G$3-$D30+1)*VLOOKUP($A30,presupuesto!$B:$Q,16,FALSE)&gt;=VLOOKUP($A30,informe!$A:$J,9,FALSE),"cg","c"),"n")</f>
        <v>n</v>
      </c>
      <c r="H30" s="195" t="str">
        <f>IF(AND(H$3&gt;=$D30,H$3&lt;=$E30),IF((H$3-$D30+1)*VLOOKUP($A30,presupuesto!$B:$Q,16,FALSE)&gt;=VLOOKUP($A30,informe!$A:$J,9,FALSE),"cg","c"),"n")</f>
        <v>n</v>
      </c>
      <c r="I30" s="195" t="str">
        <f>IF(AND(I$3&gt;=$D30,I$3&lt;=$E30),IF((I$3-$D30+1)*VLOOKUP($A30,presupuesto!$B:$Q,16,FALSE)&gt;=VLOOKUP($A30,informe!$A:$J,9,FALSE),"cg","c"),"n")</f>
        <v>n</v>
      </c>
      <c r="J30" s="195" t="str">
        <f>IF(AND(J$3&gt;=$D30,J$3&lt;=$E30),IF((J$3-$D30+1)*VLOOKUP($A30,presupuesto!$B:$Q,16,FALSE)&gt;=VLOOKUP($A30,informe!$A:$J,9,FALSE),"cg","c"),"n")</f>
        <v>n</v>
      </c>
      <c r="K30" s="195" t="str">
        <f>IF(AND(K$3&gt;=$D30,K$3&lt;=$E30),IF((K$3-$D30+1)*VLOOKUP($A30,presupuesto!$B:$Q,16,FALSE)&gt;=VLOOKUP($A30,informe!$A:$J,9,FALSE),"cg","c"),"n")</f>
        <v>n</v>
      </c>
      <c r="L30" s="195" t="str">
        <f>IF(AND(L$3&gt;=$D30,L$3&lt;=$E30),IF((L$3-$D30+1)*VLOOKUP($A30,presupuesto!$B:$Q,16,FALSE)&gt;=VLOOKUP($A30,informe!$A:$J,9,FALSE),"cg","c"),"n")</f>
        <v>n</v>
      </c>
      <c r="M30" s="195" t="str">
        <f>IF(AND(M$3&gt;=$D30,M$3&lt;=$E30),IF((M$3-$D30+1)*VLOOKUP($A30,presupuesto!$B:$Q,16,FALSE)&gt;=VLOOKUP($A30,informe!$A:$J,9,FALSE),"cg","c"),"n")</f>
        <v>n</v>
      </c>
      <c r="N30" s="195" t="str">
        <f>IF(AND(N$3&gt;=$D30,N$3&lt;=$E30),IF((N$3-$D30+1)*VLOOKUP($A30,presupuesto!$B:$Q,16,FALSE)&gt;=VLOOKUP($A30,informe!$A:$J,9,FALSE),"cg","c"),"n")</f>
        <v>n</v>
      </c>
      <c r="O30" s="195" t="str">
        <f>IF(AND(O$3&gt;=$D30,O$3&lt;=$E30),IF((O$3-$D30+1)*VLOOKUP($A30,presupuesto!$B:$Q,16,FALSE)&gt;=VLOOKUP($A30,informe!$A:$J,9,FALSE),"cg","c"),"n")</f>
        <v>n</v>
      </c>
      <c r="P30" s="195" t="str">
        <f>IF(AND(P$3&gt;=$D30,P$3&lt;=$E30),IF((P$3-$D30+1)*VLOOKUP($A30,presupuesto!$B:$Q,16,FALSE)&gt;=VLOOKUP($A30,informe!$A:$J,9,FALSE),"cg","c"),"n")</f>
        <v>n</v>
      </c>
      <c r="Q30" s="195" t="str">
        <f>IF(AND(Q$3&gt;=$D30,Q$3&lt;=$E30),IF((Q$3-$D30+1)*VLOOKUP($A30,presupuesto!$B:$Q,16,FALSE)&gt;=VLOOKUP($A30,informe!$A:$J,9,FALSE),"cg","c"),"n")</f>
        <v>n</v>
      </c>
      <c r="R30" s="195" t="str">
        <f>IF(AND(R$3&gt;=$D30,R$3&lt;=$E30),IF((R$3-$D30+1)*VLOOKUP($A30,presupuesto!$B:$Q,16,FALSE)&gt;=VLOOKUP($A30,informe!$A:$J,9,FALSE),"cg","c"),"n")</f>
        <v>n</v>
      </c>
      <c r="S30" s="195" t="str">
        <f>IF(AND(S$3&gt;=$D30,S$3&lt;=$E30),IF((S$3-$D30+1)*VLOOKUP($A30,presupuesto!$B:$Q,16,FALSE)&gt;=VLOOKUP($A30,informe!$A:$J,9,FALSE),"cg","c"),"n")</f>
        <v>n</v>
      </c>
      <c r="T30" s="195" t="str">
        <f>IF(AND(T$3&gt;=$D30,T$3&lt;=$E30),IF((T$3-$D30+1)*VLOOKUP($A30,presupuesto!$B:$Q,16,FALSE)&gt;=VLOOKUP($A30,informe!$A:$J,9,FALSE),"cg","c"),"n")</f>
        <v>n</v>
      </c>
      <c r="U30" s="195" t="str">
        <f>IF(AND(U$3&gt;=$D30,U$3&lt;=$E30),IF((U$3-$D30+1)*VLOOKUP($A30,presupuesto!$B:$Q,16,FALSE)&gt;=VLOOKUP($A30,informe!$A:$J,9,FALSE),"cg","c"),"n")</f>
        <v>n</v>
      </c>
      <c r="V30" s="195" t="str">
        <f>IF(AND(V$3&gt;=$D30,V$3&lt;=$E30),IF((V$3-$D30+1)*VLOOKUP($A30,presupuesto!$B:$Q,16,FALSE)&gt;=VLOOKUP($A30,informe!$A:$J,9,FALSE),"cg","c"),"n")</f>
        <v>n</v>
      </c>
      <c r="W30" s="195" t="str">
        <f>IF(AND(W$3&gt;=$D30,W$3&lt;=$E30),IF((W$3-$D30+1)*VLOOKUP($A30,presupuesto!$B:$Q,16,FALSE)&gt;=VLOOKUP($A30,informe!$A:$J,9,FALSE),"cg","c"),"n")</f>
        <v>n</v>
      </c>
      <c r="X30" s="195" t="str">
        <f>IF(AND(X$3&gt;=$D30,X$3&lt;=$E30),IF((X$3-$D30+1)*VLOOKUP($A30,presupuesto!$B:$Q,16,FALSE)&gt;=VLOOKUP($A30,informe!$A:$J,9,FALSE),"cg","c"),"n")</f>
        <v>n</v>
      </c>
      <c r="Y30" s="195" t="str">
        <f>IF(AND(Y$3&gt;=$D30,Y$3&lt;=$E30),IF((Y$3-$D30+1)*VLOOKUP($A30,presupuesto!$B:$Q,16,FALSE)&gt;=VLOOKUP($A30,informe!$A:$J,9,FALSE),"cg","c"),"n")</f>
        <v>n</v>
      </c>
      <c r="Z30" s="195" t="str">
        <f>IF(AND(Z$3&gt;=$D30,Z$3&lt;=$E30),IF((Z$3-$D30+1)*VLOOKUP($A30,presupuesto!$B:$Q,16,FALSE)&gt;=VLOOKUP($A30,informe!$A:$J,9,FALSE),"cg","c"),"n")</f>
        <v>n</v>
      </c>
      <c r="AA30" s="195" t="str">
        <f>IF(AND(AA$3&gt;=$D30,AA$3&lt;=$E30),IF((AA$3-$D30+1)*VLOOKUP($A30,presupuesto!$B:$Q,16,FALSE)&gt;=VLOOKUP($A30,informe!$A:$J,9,FALSE),"cg","c"),"n")</f>
        <v>n</v>
      </c>
      <c r="AB30" s="195" t="str">
        <f>IF(AND(AB$3&gt;=$D30,AB$3&lt;=$E30),IF((AB$3-$D30+1)*VLOOKUP($A30,presupuesto!$B:$Q,16,FALSE)&gt;=VLOOKUP($A30,informe!$A:$J,9,FALSE),"cg","c"),"n")</f>
        <v>n</v>
      </c>
      <c r="AC30" s="195" t="str">
        <f>IF(AND(AC$3&gt;=$D30,AC$3&lt;=$E30),IF((AC$3-$D30+1)*VLOOKUP($A30,presupuesto!$B:$Q,16,FALSE)&gt;=VLOOKUP($A30,informe!$A:$J,9,FALSE),"cg","c"),"n")</f>
        <v>n</v>
      </c>
      <c r="AD30" s="195" t="str">
        <f>IF(AND(AD$3&gt;=$D30,AD$3&lt;=$E30),IF((AD$3-$D30+1)*VLOOKUP($A30,presupuesto!$B:$Q,16,FALSE)&gt;=VLOOKUP($A30,informe!$A:$J,9,FALSE),"cg","c"),"n")</f>
        <v>n</v>
      </c>
      <c r="AE30" s="195" t="str">
        <f>IF(AND(AE$3&gt;=$D30,AE$3&lt;=$E30),IF((AE$3-$D30+1)*VLOOKUP($A30,presupuesto!$B:$Q,16,FALSE)&gt;=VLOOKUP($A30,informe!$A:$J,9,FALSE),"cg","c"),"n")</f>
        <v>n</v>
      </c>
      <c r="AF30" s="195" t="str">
        <f>IF(AND(AF$3&gt;=$D30,AF$3&lt;=$E30),IF((AF$3-$D30+1)*VLOOKUP($A30,presupuesto!$B:$Q,16,FALSE)&gt;=VLOOKUP($A30,informe!$A:$J,9,FALSE),"cg","c"),"n")</f>
        <v>n</v>
      </c>
      <c r="AG30" s="195" t="str">
        <f>IF(AND(AG$3&gt;=$D30,AG$3&lt;=$E30),IF((AG$3-$D30+1)*VLOOKUP($A30,presupuesto!$B:$Q,16,FALSE)&gt;=VLOOKUP($A30,informe!$A:$J,9,FALSE),"cg","c"),"n")</f>
        <v>n</v>
      </c>
      <c r="AH30" s="195" t="str">
        <f>IF(AND(AH$3&gt;=$D30,AH$3&lt;=$E30),IF((AH$3-$D30+1)*VLOOKUP($A30,presupuesto!$B:$Q,16,FALSE)&gt;=VLOOKUP($A30,informe!$A:$J,9,FALSE),"cg","c"),"n")</f>
        <v>n</v>
      </c>
      <c r="AI30" s="195" t="str">
        <f>IF(AND(AI$3&gt;=$D30,AI$3&lt;=$E30),IF((AI$3-$D30+1)*VLOOKUP($A30,presupuesto!$B:$Q,16,FALSE)&gt;=VLOOKUP($A30,informe!$A:$J,9,FALSE),"cg","c"),"n")</f>
        <v>n</v>
      </c>
      <c r="AJ30" s="195" t="str">
        <f>IF(AND(AJ$3&gt;=$D30,AJ$3&lt;=$E30),IF((AJ$3-$D30+1)*VLOOKUP($A30,presupuesto!$B:$Q,16,FALSE)&gt;=VLOOKUP($A30,informe!$A:$J,9,FALSE),"cg","c"),"n")</f>
        <v>n</v>
      </c>
      <c r="AK30" s="196" t="str">
        <f>IF(AND(AK$3&gt;=$D30,AK$3&lt;=$E30),IF((AK$3-$D30+1)*VLOOKUP($A30,presupuesto!$B:$Q,16,FALSE)&gt;=VLOOKUP($A30,informe!$A:$J,9,FALSE),"cg","c"),"n")</f>
        <v>n</v>
      </c>
    </row>
    <row r="31" spans="1:37" s="1" customFormat="1" ht="15" customHeight="1" x14ac:dyDescent="0.25">
      <c r="A31" s="197">
        <f>presupuesto!B30</f>
        <v>17</v>
      </c>
      <c r="B31" s="182" t="str">
        <f>presupuesto!C30</f>
        <v xml:space="preserve">         Retiro de excedentes</v>
      </c>
      <c r="C31" s="174" t="str">
        <f>presupuesto!G30</f>
        <v>45 días</v>
      </c>
      <c r="D31" s="177">
        <f>presupuesto!N30</f>
        <v>45704</v>
      </c>
      <c r="E31" s="177">
        <f>presupuesto!O30</f>
        <v>45748</v>
      </c>
      <c r="F31" s="194" t="str">
        <f>IF(AK31="n",CONCATENATE(" - "),IF(AK31="cg",CONCATENATE(" - "),CONCATENATE(ROUND(IFERROR(VLOOKUP(A31,informe!A:J,9,FALSE)/VLOOKUP(A31,informe!A:J,5,FALSE),0)*100,2),"% ")))</f>
        <v xml:space="preserve"> - </v>
      </c>
      <c r="G31" s="195" t="str">
        <f>IF(AND(G$3&gt;=$D31,G$3&lt;=$E31),IF((G$3-$D31+1)*VLOOKUP($A31,presupuesto!$B:$Q,16,FALSE)&gt;=VLOOKUP($A31,informe!$A:$J,9,FALSE),"cg","c"),"n")</f>
        <v>n</v>
      </c>
      <c r="H31" s="195" t="str">
        <f>IF(AND(H$3&gt;=$D31,H$3&lt;=$E31),IF((H$3-$D31+1)*VLOOKUP($A31,presupuesto!$B:$Q,16,FALSE)&gt;=VLOOKUP($A31,informe!$A:$J,9,FALSE),"cg","c"),"n")</f>
        <v>n</v>
      </c>
      <c r="I31" s="195" t="str">
        <f>IF(AND(I$3&gt;=$D31,I$3&lt;=$E31),IF((I$3-$D31+1)*VLOOKUP($A31,presupuesto!$B:$Q,16,FALSE)&gt;=VLOOKUP($A31,informe!$A:$J,9,FALSE),"cg","c"),"n")</f>
        <v>n</v>
      </c>
      <c r="J31" s="195" t="str">
        <f>IF(AND(J$3&gt;=$D31,J$3&lt;=$E31),IF((J$3-$D31+1)*VLOOKUP($A31,presupuesto!$B:$Q,16,FALSE)&gt;=VLOOKUP($A31,informe!$A:$J,9,FALSE),"cg","c"),"n")</f>
        <v>n</v>
      </c>
      <c r="K31" s="195" t="str">
        <f>IF(AND(K$3&gt;=$D31,K$3&lt;=$E31),IF((K$3-$D31+1)*VLOOKUP($A31,presupuesto!$B:$Q,16,FALSE)&gt;=VLOOKUP($A31,informe!$A:$J,9,FALSE),"cg","c"),"n")</f>
        <v>n</v>
      </c>
      <c r="L31" s="195" t="str">
        <f>IF(AND(L$3&gt;=$D31,L$3&lt;=$E31),IF((L$3-$D31+1)*VLOOKUP($A31,presupuesto!$B:$Q,16,FALSE)&gt;=VLOOKUP($A31,informe!$A:$J,9,FALSE),"cg","c"),"n")</f>
        <v>n</v>
      </c>
      <c r="M31" s="195" t="str">
        <f>IF(AND(M$3&gt;=$D31,M$3&lt;=$E31),IF((M$3-$D31+1)*VLOOKUP($A31,presupuesto!$B:$Q,16,FALSE)&gt;=VLOOKUP($A31,informe!$A:$J,9,FALSE),"cg","c"),"n")</f>
        <v>n</v>
      </c>
      <c r="N31" s="195" t="str">
        <f>IF(AND(N$3&gt;=$D31,N$3&lt;=$E31),IF((N$3-$D31+1)*VLOOKUP($A31,presupuesto!$B:$Q,16,FALSE)&gt;=VLOOKUP($A31,informe!$A:$J,9,FALSE),"cg","c"),"n")</f>
        <v>n</v>
      </c>
      <c r="O31" s="195" t="str">
        <f>IF(AND(O$3&gt;=$D31,O$3&lt;=$E31),IF((O$3-$D31+1)*VLOOKUP($A31,presupuesto!$B:$Q,16,FALSE)&gt;=VLOOKUP($A31,informe!$A:$J,9,FALSE),"cg","c"),"n")</f>
        <v>n</v>
      </c>
      <c r="P31" s="195" t="str">
        <f>IF(AND(P$3&gt;=$D31,P$3&lt;=$E31),IF((P$3-$D31+1)*VLOOKUP($A31,presupuesto!$B:$Q,16,FALSE)&gt;=VLOOKUP($A31,informe!$A:$J,9,FALSE),"cg","c"),"n")</f>
        <v>n</v>
      </c>
      <c r="Q31" s="195" t="str">
        <f>IF(AND(Q$3&gt;=$D31,Q$3&lt;=$E31),IF((Q$3-$D31+1)*VLOOKUP($A31,presupuesto!$B:$Q,16,FALSE)&gt;=VLOOKUP($A31,informe!$A:$J,9,FALSE),"cg","c"),"n")</f>
        <v>n</v>
      </c>
      <c r="R31" s="195" t="str">
        <f>IF(AND(R$3&gt;=$D31,R$3&lt;=$E31),IF((R$3-$D31+1)*VLOOKUP($A31,presupuesto!$B:$Q,16,FALSE)&gt;=VLOOKUP($A31,informe!$A:$J,9,FALSE),"cg","c"),"n")</f>
        <v>n</v>
      </c>
      <c r="S31" s="195" t="str">
        <f>IF(AND(S$3&gt;=$D31,S$3&lt;=$E31),IF((S$3-$D31+1)*VLOOKUP($A31,presupuesto!$B:$Q,16,FALSE)&gt;=VLOOKUP($A31,informe!$A:$J,9,FALSE),"cg","c"),"n")</f>
        <v>n</v>
      </c>
      <c r="T31" s="195" t="str">
        <f>IF(AND(T$3&gt;=$D31,T$3&lt;=$E31),IF((T$3-$D31+1)*VLOOKUP($A31,presupuesto!$B:$Q,16,FALSE)&gt;=VLOOKUP($A31,informe!$A:$J,9,FALSE),"cg","c"),"n")</f>
        <v>n</v>
      </c>
      <c r="U31" s="195" t="str">
        <f>IF(AND(U$3&gt;=$D31,U$3&lt;=$E31),IF((U$3-$D31+1)*VLOOKUP($A31,presupuesto!$B:$Q,16,FALSE)&gt;=VLOOKUP($A31,informe!$A:$J,9,FALSE),"cg","c"),"n")</f>
        <v>n</v>
      </c>
      <c r="V31" s="195" t="str">
        <f>IF(AND(V$3&gt;=$D31,V$3&lt;=$E31),IF((V$3-$D31+1)*VLOOKUP($A31,presupuesto!$B:$Q,16,FALSE)&gt;=VLOOKUP($A31,informe!$A:$J,9,FALSE),"cg","c"),"n")</f>
        <v>n</v>
      </c>
      <c r="W31" s="195" t="str">
        <f>IF(AND(W$3&gt;=$D31,W$3&lt;=$E31),IF((W$3-$D31+1)*VLOOKUP($A31,presupuesto!$B:$Q,16,FALSE)&gt;=VLOOKUP($A31,informe!$A:$J,9,FALSE),"cg","c"),"n")</f>
        <v>n</v>
      </c>
      <c r="X31" s="195" t="str">
        <f>IF(AND(X$3&gt;=$D31,X$3&lt;=$E31),IF((X$3-$D31+1)*VLOOKUP($A31,presupuesto!$B:$Q,16,FALSE)&gt;=VLOOKUP($A31,informe!$A:$J,9,FALSE),"cg","c"),"n")</f>
        <v>n</v>
      </c>
      <c r="Y31" s="195" t="str">
        <f>IF(AND(Y$3&gt;=$D31,Y$3&lt;=$E31),IF((Y$3-$D31+1)*VLOOKUP($A31,presupuesto!$B:$Q,16,FALSE)&gt;=VLOOKUP($A31,informe!$A:$J,9,FALSE),"cg","c"),"n")</f>
        <v>n</v>
      </c>
      <c r="Z31" s="195" t="str">
        <f>IF(AND(Z$3&gt;=$D31,Z$3&lt;=$E31),IF((Z$3-$D31+1)*VLOOKUP($A31,presupuesto!$B:$Q,16,FALSE)&gt;=VLOOKUP($A31,informe!$A:$J,9,FALSE),"cg","c"),"n")</f>
        <v>n</v>
      </c>
      <c r="AA31" s="195" t="str">
        <f>IF(AND(AA$3&gt;=$D31,AA$3&lt;=$E31),IF((AA$3-$D31+1)*VLOOKUP($A31,presupuesto!$B:$Q,16,FALSE)&gt;=VLOOKUP($A31,informe!$A:$J,9,FALSE),"cg","c"),"n")</f>
        <v>n</v>
      </c>
      <c r="AB31" s="195" t="str">
        <f>IF(AND(AB$3&gt;=$D31,AB$3&lt;=$E31),IF((AB$3-$D31+1)*VLOOKUP($A31,presupuesto!$B:$Q,16,FALSE)&gt;=VLOOKUP($A31,informe!$A:$J,9,FALSE),"cg","c"),"n")</f>
        <v>n</v>
      </c>
      <c r="AC31" s="195" t="str">
        <f>IF(AND(AC$3&gt;=$D31,AC$3&lt;=$E31),IF((AC$3-$D31+1)*VLOOKUP($A31,presupuesto!$B:$Q,16,FALSE)&gt;=VLOOKUP($A31,informe!$A:$J,9,FALSE),"cg","c"),"n")</f>
        <v>n</v>
      </c>
      <c r="AD31" s="195" t="str">
        <f>IF(AND(AD$3&gt;=$D31,AD$3&lt;=$E31),IF((AD$3-$D31+1)*VLOOKUP($A31,presupuesto!$B:$Q,16,FALSE)&gt;=VLOOKUP($A31,informe!$A:$J,9,FALSE),"cg","c"),"n")</f>
        <v>n</v>
      </c>
      <c r="AE31" s="195" t="str">
        <f>IF(AND(AE$3&gt;=$D31,AE$3&lt;=$E31),IF((AE$3-$D31+1)*VLOOKUP($A31,presupuesto!$B:$Q,16,FALSE)&gt;=VLOOKUP($A31,informe!$A:$J,9,FALSE),"cg","c"),"n")</f>
        <v>n</v>
      </c>
      <c r="AF31" s="195" t="str">
        <f>IF(AND(AF$3&gt;=$D31,AF$3&lt;=$E31),IF((AF$3-$D31+1)*VLOOKUP($A31,presupuesto!$B:$Q,16,FALSE)&gt;=VLOOKUP($A31,informe!$A:$J,9,FALSE),"cg","c"),"n")</f>
        <v>n</v>
      </c>
      <c r="AG31" s="195" t="str">
        <f>IF(AND(AG$3&gt;=$D31,AG$3&lt;=$E31),IF((AG$3-$D31+1)*VLOOKUP($A31,presupuesto!$B:$Q,16,FALSE)&gt;=VLOOKUP($A31,informe!$A:$J,9,FALSE),"cg","c"),"n")</f>
        <v>n</v>
      </c>
      <c r="AH31" s="195" t="str">
        <f>IF(AND(AH$3&gt;=$D31,AH$3&lt;=$E31),IF((AH$3-$D31+1)*VLOOKUP($A31,presupuesto!$B:$Q,16,FALSE)&gt;=VLOOKUP($A31,informe!$A:$J,9,FALSE),"cg","c"),"n")</f>
        <v>n</v>
      </c>
      <c r="AI31" s="195" t="str">
        <f>IF(AND(AI$3&gt;=$D31,AI$3&lt;=$E31),IF((AI$3-$D31+1)*VLOOKUP($A31,presupuesto!$B:$Q,16,FALSE)&gt;=VLOOKUP($A31,informe!$A:$J,9,FALSE),"cg","c"),"n")</f>
        <v>n</v>
      </c>
      <c r="AJ31" s="195" t="str">
        <f>IF(AND(AJ$3&gt;=$D31,AJ$3&lt;=$E31),IF((AJ$3-$D31+1)*VLOOKUP($A31,presupuesto!$B:$Q,16,FALSE)&gt;=VLOOKUP($A31,informe!$A:$J,9,FALSE),"cg","c"),"n")</f>
        <v>n</v>
      </c>
      <c r="AK31" s="196" t="str">
        <f>IF(AND(AK$3&gt;=$D31,AK$3&lt;=$E31),IF((AK$3-$D31+1)*VLOOKUP($A31,presupuesto!$B:$Q,16,FALSE)&gt;=VLOOKUP($A31,informe!$A:$J,9,FALSE),"cg","c"),"n")</f>
        <v>n</v>
      </c>
    </row>
    <row r="32" spans="1:37" s="1" customFormat="1" ht="15" customHeight="1" x14ac:dyDescent="0.3">
      <c r="A32" s="193" t="str">
        <f>presupuesto!B31</f>
        <v>B.-</v>
      </c>
      <c r="B32" s="181" t="str">
        <f>presupuesto!C31</f>
        <v xml:space="preserve">      INTERCONEXIONES HIDRÁULICAS</v>
      </c>
      <c r="C32" s="173" t="str">
        <f>presupuesto!G31</f>
        <v>52 días</v>
      </c>
      <c r="D32" s="176">
        <f>presupuesto!N31</f>
        <v>45704</v>
      </c>
      <c r="E32" s="176">
        <f>presupuesto!O31</f>
        <v>45755</v>
      </c>
      <c r="F32" s="194" t="str">
        <f>IF(AK32="n",CONCATENATE(" - "),IF(AK32="cg",CONCATENATE(" - "),CONCATENATE(ROUND(IFERROR(VLOOKUP(A32,informe!A:J,9,FALSE)/VLOOKUP(A32,informe!A:J,5,FALSE),0)*100,2),"% ")))</f>
        <v xml:space="preserve"> - </v>
      </c>
      <c r="G32" s="195" t="str">
        <f>IF(AND(G$3&gt;=$D32,G$3&lt;=$E32),IF((G$3-$D32+1)*VLOOKUP($A32,presupuesto!$B:$Q,16,FALSE)&gt;=VLOOKUP($A32,informe!$A:$J,9,FALSE),"cg","c"),"n")</f>
        <v>n</v>
      </c>
      <c r="H32" s="195" t="str">
        <f>IF(AND(H$3&gt;=$D32,H$3&lt;=$E32),IF((H$3-$D32+1)*VLOOKUP($A32,presupuesto!$B:$Q,16,FALSE)&gt;=VLOOKUP($A32,informe!$A:$J,9,FALSE),"cg","c"),"n")</f>
        <v>n</v>
      </c>
      <c r="I32" s="195" t="str">
        <f>IF(AND(I$3&gt;=$D32,I$3&lt;=$E32),IF((I$3-$D32+1)*VLOOKUP($A32,presupuesto!$B:$Q,16,FALSE)&gt;=VLOOKUP($A32,informe!$A:$J,9,FALSE),"cg","c"),"n")</f>
        <v>n</v>
      </c>
      <c r="J32" s="195" t="str">
        <f>IF(AND(J$3&gt;=$D32,J$3&lt;=$E32),IF((J$3-$D32+1)*VLOOKUP($A32,presupuesto!$B:$Q,16,FALSE)&gt;=VLOOKUP($A32,informe!$A:$J,9,FALSE),"cg","c"),"n")</f>
        <v>n</v>
      </c>
      <c r="K32" s="195" t="str">
        <f>IF(AND(K$3&gt;=$D32,K$3&lt;=$E32),IF((K$3-$D32+1)*VLOOKUP($A32,presupuesto!$B:$Q,16,FALSE)&gt;=VLOOKUP($A32,informe!$A:$J,9,FALSE),"cg","c"),"n")</f>
        <v>n</v>
      </c>
      <c r="L32" s="195" t="str">
        <f>IF(AND(L$3&gt;=$D32,L$3&lt;=$E32),IF((L$3-$D32+1)*VLOOKUP($A32,presupuesto!$B:$Q,16,FALSE)&gt;=VLOOKUP($A32,informe!$A:$J,9,FALSE),"cg","c"),"n")</f>
        <v>n</v>
      </c>
      <c r="M32" s="195" t="str">
        <f>IF(AND(M$3&gt;=$D32,M$3&lt;=$E32),IF((M$3-$D32+1)*VLOOKUP($A32,presupuesto!$B:$Q,16,FALSE)&gt;=VLOOKUP($A32,informe!$A:$J,9,FALSE),"cg","c"),"n")</f>
        <v>n</v>
      </c>
      <c r="N32" s="195" t="str">
        <f>IF(AND(N$3&gt;=$D32,N$3&lt;=$E32),IF((N$3-$D32+1)*VLOOKUP($A32,presupuesto!$B:$Q,16,FALSE)&gt;=VLOOKUP($A32,informe!$A:$J,9,FALSE),"cg","c"),"n")</f>
        <v>n</v>
      </c>
      <c r="O32" s="195" t="str">
        <f>IF(AND(O$3&gt;=$D32,O$3&lt;=$E32),IF((O$3-$D32+1)*VLOOKUP($A32,presupuesto!$B:$Q,16,FALSE)&gt;=VLOOKUP($A32,informe!$A:$J,9,FALSE),"cg","c"),"n")</f>
        <v>n</v>
      </c>
      <c r="P32" s="195" t="str">
        <f>IF(AND(P$3&gt;=$D32,P$3&lt;=$E32),IF((P$3-$D32+1)*VLOOKUP($A32,presupuesto!$B:$Q,16,FALSE)&gt;=VLOOKUP($A32,informe!$A:$J,9,FALSE),"cg","c"),"n")</f>
        <v>n</v>
      </c>
      <c r="Q32" s="195" t="str">
        <f>IF(AND(Q$3&gt;=$D32,Q$3&lt;=$E32),IF((Q$3-$D32+1)*VLOOKUP($A32,presupuesto!$B:$Q,16,FALSE)&gt;=VLOOKUP($A32,informe!$A:$J,9,FALSE),"cg","c"),"n")</f>
        <v>n</v>
      </c>
      <c r="R32" s="195" t="str">
        <f>IF(AND(R$3&gt;=$D32,R$3&lt;=$E32),IF((R$3-$D32+1)*VLOOKUP($A32,presupuesto!$B:$Q,16,FALSE)&gt;=VLOOKUP($A32,informe!$A:$J,9,FALSE),"cg","c"),"n")</f>
        <v>n</v>
      </c>
      <c r="S32" s="195" t="str">
        <f>IF(AND(S$3&gt;=$D32,S$3&lt;=$E32),IF((S$3-$D32+1)*VLOOKUP($A32,presupuesto!$B:$Q,16,FALSE)&gt;=VLOOKUP($A32,informe!$A:$J,9,FALSE),"cg","c"),"n")</f>
        <v>n</v>
      </c>
      <c r="T32" s="195" t="str">
        <f>IF(AND(T$3&gt;=$D32,T$3&lt;=$E32),IF((T$3-$D32+1)*VLOOKUP($A32,presupuesto!$B:$Q,16,FALSE)&gt;=VLOOKUP($A32,informe!$A:$J,9,FALSE),"cg","c"),"n")</f>
        <v>n</v>
      </c>
      <c r="U32" s="195" t="str">
        <f>IF(AND(U$3&gt;=$D32,U$3&lt;=$E32),IF((U$3-$D32+1)*VLOOKUP($A32,presupuesto!$B:$Q,16,FALSE)&gt;=VLOOKUP($A32,informe!$A:$J,9,FALSE),"cg","c"),"n")</f>
        <v>n</v>
      </c>
      <c r="V32" s="195" t="str">
        <f>IF(AND(V$3&gt;=$D32,V$3&lt;=$E32),IF((V$3-$D32+1)*VLOOKUP($A32,presupuesto!$B:$Q,16,FALSE)&gt;=VLOOKUP($A32,informe!$A:$J,9,FALSE),"cg","c"),"n")</f>
        <v>n</v>
      </c>
      <c r="W32" s="195" t="str">
        <f>IF(AND(W$3&gt;=$D32,W$3&lt;=$E32),IF((W$3-$D32+1)*VLOOKUP($A32,presupuesto!$B:$Q,16,FALSE)&gt;=VLOOKUP($A32,informe!$A:$J,9,FALSE),"cg","c"),"n")</f>
        <v>n</v>
      </c>
      <c r="X32" s="195" t="str">
        <f>IF(AND(X$3&gt;=$D32,X$3&lt;=$E32),IF((X$3-$D32+1)*VLOOKUP($A32,presupuesto!$B:$Q,16,FALSE)&gt;=VLOOKUP($A32,informe!$A:$J,9,FALSE),"cg","c"),"n")</f>
        <v>n</v>
      </c>
      <c r="Y32" s="195" t="str">
        <f>IF(AND(Y$3&gt;=$D32,Y$3&lt;=$E32),IF((Y$3-$D32+1)*VLOOKUP($A32,presupuesto!$B:$Q,16,FALSE)&gt;=VLOOKUP($A32,informe!$A:$J,9,FALSE),"cg","c"),"n")</f>
        <v>n</v>
      </c>
      <c r="Z32" s="195" t="str">
        <f>IF(AND(Z$3&gt;=$D32,Z$3&lt;=$E32),IF((Z$3-$D32+1)*VLOOKUP($A32,presupuesto!$B:$Q,16,FALSE)&gt;=VLOOKUP($A32,informe!$A:$J,9,FALSE),"cg","c"),"n")</f>
        <v>n</v>
      </c>
      <c r="AA32" s="195" t="str">
        <f>IF(AND(AA$3&gt;=$D32,AA$3&lt;=$E32),IF((AA$3-$D32+1)*VLOOKUP($A32,presupuesto!$B:$Q,16,FALSE)&gt;=VLOOKUP($A32,informe!$A:$J,9,FALSE),"cg","c"),"n")</f>
        <v>n</v>
      </c>
      <c r="AB32" s="195" t="str">
        <f>IF(AND(AB$3&gt;=$D32,AB$3&lt;=$E32),IF((AB$3-$D32+1)*VLOOKUP($A32,presupuesto!$B:$Q,16,FALSE)&gt;=VLOOKUP($A32,informe!$A:$J,9,FALSE),"cg","c"),"n")</f>
        <v>n</v>
      </c>
      <c r="AC32" s="195" t="str">
        <f>IF(AND(AC$3&gt;=$D32,AC$3&lt;=$E32),IF((AC$3-$D32+1)*VLOOKUP($A32,presupuesto!$B:$Q,16,FALSE)&gt;=VLOOKUP($A32,informe!$A:$J,9,FALSE),"cg","c"),"n")</f>
        <v>n</v>
      </c>
      <c r="AD32" s="195" t="str">
        <f>IF(AND(AD$3&gt;=$D32,AD$3&lt;=$E32),IF((AD$3-$D32+1)*VLOOKUP($A32,presupuesto!$B:$Q,16,FALSE)&gt;=VLOOKUP($A32,informe!$A:$J,9,FALSE),"cg","c"),"n")</f>
        <v>n</v>
      </c>
      <c r="AE32" s="195" t="str">
        <f>IF(AND(AE$3&gt;=$D32,AE$3&lt;=$E32),IF((AE$3-$D32+1)*VLOOKUP($A32,presupuesto!$B:$Q,16,FALSE)&gt;=VLOOKUP($A32,informe!$A:$J,9,FALSE),"cg","c"),"n")</f>
        <v>n</v>
      </c>
      <c r="AF32" s="195" t="str">
        <f>IF(AND(AF$3&gt;=$D32,AF$3&lt;=$E32),IF((AF$3-$D32+1)*VLOOKUP($A32,presupuesto!$B:$Q,16,FALSE)&gt;=VLOOKUP($A32,informe!$A:$J,9,FALSE),"cg","c"),"n")</f>
        <v>n</v>
      </c>
      <c r="AG32" s="195" t="str">
        <f>IF(AND(AG$3&gt;=$D32,AG$3&lt;=$E32),IF((AG$3-$D32+1)*VLOOKUP($A32,presupuesto!$B:$Q,16,FALSE)&gt;=VLOOKUP($A32,informe!$A:$J,9,FALSE),"cg","c"),"n")</f>
        <v>n</v>
      </c>
      <c r="AH32" s="195" t="str">
        <f>IF(AND(AH$3&gt;=$D32,AH$3&lt;=$E32),IF((AH$3-$D32+1)*VLOOKUP($A32,presupuesto!$B:$Q,16,FALSE)&gt;=VLOOKUP($A32,informe!$A:$J,9,FALSE),"cg","c"),"n")</f>
        <v>n</v>
      </c>
      <c r="AI32" s="195" t="str">
        <f>IF(AND(AI$3&gt;=$D32,AI$3&lt;=$E32),IF((AI$3-$D32+1)*VLOOKUP($A32,presupuesto!$B:$Q,16,FALSE)&gt;=VLOOKUP($A32,informe!$A:$J,9,FALSE),"cg","c"),"n")</f>
        <v>n</v>
      </c>
      <c r="AJ32" s="195" t="str">
        <f>IF(AND(AJ$3&gt;=$D32,AJ$3&lt;=$E32),IF((AJ$3-$D32+1)*VLOOKUP($A32,presupuesto!$B:$Q,16,FALSE)&gt;=VLOOKUP($A32,informe!$A:$J,9,FALSE),"cg","c"),"n")</f>
        <v>n</v>
      </c>
      <c r="AK32" s="196" t="str">
        <f>IF(AND(AK$3&gt;=$D32,AK$3&lt;=$E32),IF((AK$3-$D32+1)*VLOOKUP($A32,presupuesto!$B:$Q,16,FALSE)&gt;=VLOOKUP($A32,informe!$A:$J,9,FALSE),"cg","c"),"n")</f>
        <v>n</v>
      </c>
    </row>
    <row r="33" spans="1:37" s="1" customFormat="1" ht="15" customHeight="1" x14ac:dyDescent="0.3">
      <c r="A33" s="197" t="str">
        <f>presupuesto!B32</f>
        <v>B.1.-</v>
      </c>
      <c r="B33" s="181" t="str">
        <f>presupuesto!C32</f>
        <v xml:space="preserve">         Suministro, transporte, transporte interno, colocación y prueba de Tuberías de HDPE</v>
      </c>
      <c r="C33" s="174" t="str">
        <f>presupuesto!G32</f>
        <v>45 días</v>
      </c>
      <c r="D33" s="177">
        <f>presupuesto!N32</f>
        <v>45704</v>
      </c>
      <c r="E33" s="177">
        <f>presupuesto!O32</f>
        <v>45749</v>
      </c>
      <c r="F33" s="194" t="str">
        <f>IF(AK33="n",CONCATENATE(" - "),IF(AK33="cg",CONCATENATE(" - "),CONCATENATE(ROUND(IFERROR(VLOOKUP(A33,informe!A:J,9,FALSE)/VLOOKUP(A33,informe!A:J,5,FALSE),0)*100,2),"% ")))</f>
        <v xml:space="preserve"> - </v>
      </c>
      <c r="G33" s="195" t="str">
        <f>IF(AND(G$3&gt;=$D33,G$3&lt;=$E33),IF((G$3-$D33+1)*VLOOKUP($A33,presupuesto!$B:$Q,16,FALSE)&gt;=VLOOKUP($A33,informe!$A:$J,9,FALSE),"cg","c"),"n")</f>
        <v>n</v>
      </c>
      <c r="H33" s="195" t="str">
        <f>IF(AND(H$3&gt;=$D33,H$3&lt;=$E33),IF((H$3-$D33+1)*VLOOKUP($A33,presupuesto!$B:$Q,16,FALSE)&gt;=VLOOKUP($A33,informe!$A:$J,9,FALSE),"cg","c"),"n")</f>
        <v>n</v>
      </c>
      <c r="I33" s="195" t="str">
        <f>IF(AND(I$3&gt;=$D33,I$3&lt;=$E33),IF((I$3-$D33+1)*VLOOKUP($A33,presupuesto!$B:$Q,16,FALSE)&gt;=VLOOKUP($A33,informe!$A:$J,9,FALSE),"cg","c"),"n")</f>
        <v>n</v>
      </c>
      <c r="J33" s="195" t="str">
        <f>IF(AND(J$3&gt;=$D33,J$3&lt;=$E33),IF((J$3-$D33+1)*VLOOKUP($A33,presupuesto!$B:$Q,16,FALSE)&gt;=VLOOKUP($A33,informe!$A:$J,9,FALSE),"cg","c"),"n")</f>
        <v>n</v>
      </c>
      <c r="K33" s="195" t="str">
        <f>IF(AND(K$3&gt;=$D33,K$3&lt;=$E33),IF((K$3-$D33+1)*VLOOKUP($A33,presupuesto!$B:$Q,16,FALSE)&gt;=VLOOKUP($A33,informe!$A:$J,9,FALSE),"cg","c"),"n")</f>
        <v>n</v>
      </c>
      <c r="L33" s="195" t="str">
        <f>IF(AND(L$3&gt;=$D33,L$3&lt;=$E33),IF((L$3-$D33+1)*VLOOKUP($A33,presupuesto!$B:$Q,16,FALSE)&gt;=VLOOKUP($A33,informe!$A:$J,9,FALSE),"cg","c"),"n")</f>
        <v>n</v>
      </c>
      <c r="M33" s="195" t="str">
        <f>IF(AND(M$3&gt;=$D33,M$3&lt;=$E33),IF((M$3-$D33+1)*VLOOKUP($A33,presupuesto!$B:$Q,16,FALSE)&gt;=VLOOKUP($A33,informe!$A:$J,9,FALSE),"cg","c"),"n")</f>
        <v>n</v>
      </c>
      <c r="N33" s="195" t="str">
        <f>IF(AND(N$3&gt;=$D33,N$3&lt;=$E33),IF((N$3-$D33+1)*VLOOKUP($A33,presupuesto!$B:$Q,16,FALSE)&gt;=VLOOKUP($A33,informe!$A:$J,9,FALSE),"cg","c"),"n")</f>
        <v>n</v>
      </c>
      <c r="O33" s="195" t="str">
        <f>IF(AND(O$3&gt;=$D33,O$3&lt;=$E33),IF((O$3-$D33+1)*VLOOKUP($A33,presupuesto!$B:$Q,16,FALSE)&gt;=VLOOKUP($A33,informe!$A:$J,9,FALSE),"cg","c"),"n")</f>
        <v>n</v>
      </c>
      <c r="P33" s="195" t="str">
        <f>IF(AND(P$3&gt;=$D33,P$3&lt;=$E33),IF((P$3-$D33+1)*VLOOKUP($A33,presupuesto!$B:$Q,16,FALSE)&gt;=VLOOKUP($A33,informe!$A:$J,9,FALSE),"cg","c"),"n")</f>
        <v>n</v>
      </c>
      <c r="Q33" s="195" t="str">
        <f>IF(AND(Q$3&gt;=$D33,Q$3&lt;=$E33),IF((Q$3-$D33+1)*VLOOKUP($A33,presupuesto!$B:$Q,16,FALSE)&gt;=VLOOKUP($A33,informe!$A:$J,9,FALSE),"cg","c"),"n")</f>
        <v>n</v>
      </c>
      <c r="R33" s="195" t="str">
        <f>IF(AND(R$3&gt;=$D33,R$3&lt;=$E33),IF((R$3-$D33+1)*VLOOKUP($A33,presupuesto!$B:$Q,16,FALSE)&gt;=VLOOKUP($A33,informe!$A:$J,9,FALSE),"cg","c"),"n")</f>
        <v>n</v>
      </c>
      <c r="S33" s="195" t="str">
        <f>IF(AND(S$3&gt;=$D33,S$3&lt;=$E33),IF((S$3-$D33+1)*VLOOKUP($A33,presupuesto!$B:$Q,16,FALSE)&gt;=VLOOKUP($A33,informe!$A:$J,9,FALSE),"cg","c"),"n")</f>
        <v>n</v>
      </c>
      <c r="T33" s="195" t="str">
        <f>IF(AND(T$3&gt;=$D33,T$3&lt;=$E33),IF((T$3-$D33+1)*VLOOKUP($A33,presupuesto!$B:$Q,16,FALSE)&gt;=VLOOKUP($A33,informe!$A:$J,9,FALSE),"cg","c"),"n")</f>
        <v>n</v>
      </c>
      <c r="U33" s="195" t="str">
        <f>IF(AND(U$3&gt;=$D33,U$3&lt;=$E33),IF((U$3-$D33+1)*VLOOKUP($A33,presupuesto!$B:$Q,16,FALSE)&gt;=VLOOKUP($A33,informe!$A:$J,9,FALSE),"cg","c"),"n")</f>
        <v>n</v>
      </c>
      <c r="V33" s="195" t="str">
        <f>IF(AND(V$3&gt;=$D33,V$3&lt;=$E33),IF((V$3-$D33+1)*VLOOKUP($A33,presupuesto!$B:$Q,16,FALSE)&gt;=VLOOKUP($A33,informe!$A:$J,9,FALSE),"cg","c"),"n")</f>
        <v>n</v>
      </c>
      <c r="W33" s="195" t="str">
        <f>IF(AND(W$3&gt;=$D33,W$3&lt;=$E33),IF((W$3-$D33+1)*VLOOKUP($A33,presupuesto!$B:$Q,16,FALSE)&gt;=VLOOKUP($A33,informe!$A:$J,9,FALSE),"cg","c"),"n")</f>
        <v>n</v>
      </c>
      <c r="X33" s="195" t="str">
        <f>IF(AND(X$3&gt;=$D33,X$3&lt;=$E33),IF((X$3-$D33+1)*VLOOKUP($A33,presupuesto!$B:$Q,16,FALSE)&gt;=VLOOKUP($A33,informe!$A:$J,9,FALSE),"cg","c"),"n")</f>
        <v>n</v>
      </c>
      <c r="Y33" s="195" t="str">
        <f>IF(AND(Y$3&gt;=$D33,Y$3&lt;=$E33),IF((Y$3-$D33+1)*VLOOKUP($A33,presupuesto!$B:$Q,16,FALSE)&gt;=VLOOKUP($A33,informe!$A:$J,9,FALSE),"cg","c"),"n")</f>
        <v>n</v>
      </c>
      <c r="Z33" s="195" t="str">
        <f>IF(AND(Z$3&gt;=$D33,Z$3&lt;=$E33),IF((Z$3-$D33+1)*VLOOKUP($A33,presupuesto!$B:$Q,16,FALSE)&gt;=VLOOKUP($A33,informe!$A:$J,9,FALSE),"cg","c"),"n")</f>
        <v>n</v>
      </c>
      <c r="AA33" s="195" t="str">
        <f>IF(AND(AA$3&gt;=$D33,AA$3&lt;=$E33),IF((AA$3-$D33+1)*VLOOKUP($A33,presupuesto!$B:$Q,16,FALSE)&gt;=VLOOKUP($A33,informe!$A:$J,9,FALSE),"cg","c"),"n")</f>
        <v>n</v>
      </c>
      <c r="AB33" s="195" t="str">
        <f>IF(AND(AB$3&gt;=$D33,AB$3&lt;=$E33),IF((AB$3-$D33+1)*VLOOKUP($A33,presupuesto!$B:$Q,16,FALSE)&gt;=VLOOKUP($A33,informe!$A:$J,9,FALSE),"cg","c"),"n")</f>
        <v>n</v>
      </c>
      <c r="AC33" s="195" t="str">
        <f>IF(AND(AC$3&gt;=$D33,AC$3&lt;=$E33),IF((AC$3-$D33+1)*VLOOKUP($A33,presupuesto!$B:$Q,16,FALSE)&gt;=VLOOKUP($A33,informe!$A:$J,9,FALSE),"cg","c"),"n")</f>
        <v>n</v>
      </c>
      <c r="AD33" s="195" t="str">
        <f>IF(AND(AD$3&gt;=$D33,AD$3&lt;=$E33),IF((AD$3-$D33+1)*VLOOKUP($A33,presupuesto!$B:$Q,16,FALSE)&gt;=VLOOKUP($A33,informe!$A:$J,9,FALSE),"cg","c"),"n")</f>
        <v>n</v>
      </c>
      <c r="AE33" s="195" t="str">
        <f>IF(AND(AE$3&gt;=$D33,AE$3&lt;=$E33),IF((AE$3-$D33+1)*VLOOKUP($A33,presupuesto!$B:$Q,16,FALSE)&gt;=VLOOKUP($A33,informe!$A:$J,9,FALSE),"cg","c"),"n")</f>
        <v>n</v>
      </c>
      <c r="AF33" s="195" t="str">
        <f>IF(AND(AF$3&gt;=$D33,AF$3&lt;=$E33),IF((AF$3-$D33+1)*VLOOKUP($A33,presupuesto!$B:$Q,16,FALSE)&gt;=VLOOKUP($A33,informe!$A:$J,9,FALSE),"cg","c"),"n")</f>
        <v>n</v>
      </c>
      <c r="AG33" s="195" t="str">
        <f>IF(AND(AG$3&gt;=$D33,AG$3&lt;=$E33),IF((AG$3-$D33+1)*VLOOKUP($A33,presupuesto!$B:$Q,16,FALSE)&gt;=VLOOKUP($A33,informe!$A:$J,9,FALSE),"cg","c"),"n")</f>
        <v>n</v>
      </c>
      <c r="AH33" s="195" t="str">
        <f>IF(AND(AH$3&gt;=$D33,AH$3&lt;=$E33),IF((AH$3-$D33+1)*VLOOKUP($A33,presupuesto!$B:$Q,16,FALSE)&gt;=VLOOKUP($A33,informe!$A:$J,9,FALSE),"cg","c"),"n")</f>
        <v>n</v>
      </c>
      <c r="AI33" s="195" t="str">
        <f>IF(AND(AI$3&gt;=$D33,AI$3&lt;=$E33),IF((AI$3-$D33+1)*VLOOKUP($A33,presupuesto!$B:$Q,16,FALSE)&gt;=VLOOKUP($A33,informe!$A:$J,9,FALSE),"cg","c"),"n")</f>
        <v>n</v>
      </c>
      <c r="AJ33" s="195" t="str">
        <f>IF(AND(AJ$3&gt;=$D33,AJ$3&lt;=$E33),IF((AJ$3-$D33+1)*VLOOKUP($A33,presupuesto!$B:$Q,16,FALSE)&gt;=VLOOKUP($A33,informe!$A:$J,9,FALSE),"cg","c"),"n")</f>
        <v>n</v>
      </c>
      <c r="AK33" s="196" t="str">
        <f>IF(AND(AK$3&gt;=$D33,AK$3&lt;=$E33),IF((AK$3-$D33+1)*VLOOKUP($A33,presupuesto!$B:$Q,16,FALSE)&gt;=VLOOKUP($A33,informe!$A:$J,9,FALSE),"cg","c"),"n")</f>
        <v>n</v>
      </c>
    </row>
    <row r="34" spans="1:37" s="1" customFormat="1" ht="15" customHeight="1" x14ac:dyDescent="0.25">
      <c r="A34" s="197">
        <f>presupuesto!B33</f>
        <v>18</v>
      </c>
      <c r="B34" s="182" t="str">
        <f>presupuesto!C33</f>
        <v xml:space="preserve">            Cañería de HDPE PN 16 D = 75 mm</v>
      </c>
      <c r="C34" s="174" t="str">
        <f>presupuesto!G33</f>
        <v>45 días</v>
      </c>
      <c r="D34" s="177">
        <f>presupuesto!N33</f>
        <v>45704</v>
      </c>
      <c r="E34" s="177">
        <f>presupuesto!O33</f>
        <v>45749</v>
      </c>
      <c r="F34" s="194" t="str">
        <f>IF(AK34="n",CONCATENATE(" - "),IF(AK34="cg",CONCATENATE(" - "),CONCATENATE(ROUND(IFERROR(VLOOKUP(A34,informe!A:J,9,FALSE)/VLOOKUP(A34,informe!A:J,5,FALSE),0)*100,2),"% ")))</f>
        <v xml:space="preserve"> - </v>
      </c>
      <c r="G34" s="195" t="str">
        <f>IF(AND(G$3&gt;=$D34,G$3&lt;=$E34),IF((G$3-$D34+1)*VLOOKUP($A34,presupuesto!$B:$Q,16,FALSE)&gt;=VLOOKUP($A34,informe!$A:$J,9,FALSE),"cg","c"),"n")</f>
        <v>n</v>
      </c>
      <c r="H34" s="195" t="str">
        <f>IF(AND(H$3&gt;=$D34,H$3&lt;=$E34),IF((H$3-$D34+1)*VLOOKUP($A34,presupuesto!$B:$Q,16,FALSE)&gt;=VLOOKUP($A34,informe!$A:$J,9,FALSE),"cg","c"),"n")</f>
        <v>n</v>
      </c>
      <c r="I34" s="195" t="str">
        <f>IF(AND(I$3&gt;=$D34,I$3&lt;=$E34),IF((I$3-$D34+1)*VLOOKUP($A34,presupuesto!$B:$Q,16,FALSE)&gt;=VLOOKUP($A34,informe!$A:$J,9,FALSE),"cg","c"),"n")</f>
        <v>n</v>
      </c>
      <c r="J34" s="195" t="str">
        <f>IF(AND(J$3&gt;=$D34,J$3&lt;=$E34),IF((J$3-$D34+1)*VLOOKUP($A34,presupuesto!$B:$Q,16,FALSE)&gt;=VLOOKUP($A34,informe!$A:$J,9,FALSE),"cg","c"),"n")</f>
        <v>n</v>
      </c>
      <c r="K34" s="195" t="str">
        <f>IF(AND(K$3&gt;=$D34,K$3&lt;=$E34),IF((K$3-$D34+1)*VLOOKUP($A34,presupuesto!$B:$Q,16,FALSE)&gt;=VLOOKUP($A34,informe!$A:$J,9,FALSE),"cg","c"),"n")</f>
        <v>n</v>
      </c>
      <c r="L34" s="195" t="str">
        <f>IF(AND(L$3&gt;=$D34,L$3&lt;=$E34),IF((L$3-$D34+1)*VLOOKUP($A34,presupuesto!$B:$Q,16,FALSE)&gt;=VLOOKUP($A34,informe!$A:$J,9,FALSE),"cg","c"),"n")</f>
        <v>n</v>
      </c>
      <c r="M34" s="195" t="str">
        <f>IF(AND(M$3&gt;=$D34,M$3&lt;=$E34),IF((M$3-$D34+1)*VLOOKUP($A34,presupuesto!$B:$Q,16,FALSE)&gt;=VLOOKUP($A34,informe!$A:$J,9,FALSE),"cg","c"),"n")</f>
        <v>n</v>
      </c>
      <c r="N34" s="195" t="str">
        <f>IF(AND(N$3&gt;=$D34,N$3&lt;=$E34),IF((N$3-$D34+1)*VLOOKUP($A34,presupuesto!$B:$Q,16,FALSE)&gt;=VLOOKUP($A34,informe!$A:$J,9,FALSE),"cg","c"),"n")</f>
        <v>n</v>
      </c>
      <c r="O34" s="195" t="str">
        <f>IF(AND(O$3&gt;=$D34,O$3&lt;=$E34),IF((O$3-$D34+1)*VLOOKUP($A34,presupuesto!$B:$Q,16,FALSE)&gt;=VLOOKUP($A34,informe!$A:$J,9,FALSE),"cg","c"),"n")</f>
        <v>n</v>
      </c>
      <c r="P34" s="195" t="str">
        <f>IF(AND(P$3&gt;=$D34,P$3&lt;=$E34),IF((P$3-$D34+1)*VLOOKUP($A34,presupuesto!$B:$Q,16,FALSE)&gt;=VLOOKUP($A34,informe!$A:$J,9,FALSE),"cg","c"),"n")</f>
        <v>n</v>
      </c>
      <c r="Q34" s="195" t="str">
        <f>IF(AND(Q$3&gt;=$D34,Q$3&lt;=$E34),IF((Q$3-$D34+1)*VLOOKUP($A34,presupuesto!$B:$Q,16,FALSE)&gt;=VLOOKUP($A34,informe!$A:$J,9,FALSE),"cg","c"),"n")</f>
        <v>n</v>
      </c>
      <c r="R34" s="195" t="str">
        <f>IF(AND(R$3&gt;=$D34,R$3&lt;=$E34),IF((R$3-$D34+1)*VLOOKUP($A34,presupuesto!$B:$Q,16,FALSE)&gt;=VLOOKUP($A34,informe!$A:$J,9,FALSE),"cg","c"),"n")</f>
        <v>n</v>
      </c>
      <c r="S34" s="195" t="str">
        <f>IF(AND(S$3&gt;=$D34,S$3&lt;=$E34),IF((S$3-$D34+1)*VLOOKUP($A34,presupuesto!$B:$Q,16,FALSE)&gt;=VLOOKUP($A34,informe!$A:$J,9,FALSE),"cg","c"),"n")</f>
        <v>n</v>
      </c>
      <c r="T34" s="195" t="str">
        <f>IF(AND(T$3&gt;=$D34,T$3&lt;=$E34),IF((T$3-$D34+1)*VLOOKUP($A34,presupuesto!$B:$Q,16,FALSE)&gt;=VLOOKUP($A34,informe!$A:$J,9,FALSE),"cg","c"),"n")</f>
        <v>n</v>
      </c>
      <c r="U34" s="195" t="str">
        <f>IF(AND(U$3&gt;=$D34,U$3&lt;=$E34),IF((U$3-$D34+1)*VLOOKUP($A34,presupuesto!$B:$Q,16,FALSE)&gt;=VLOOKUP($A34,informe!$A:$J,9,FALSE),"cg","c"),"n")</f>
        <v>n</v>
      </c>
      <c r="V34" s="195" t="str">
        <f>IF(AND(V$3&gt;=$D34,V$3&lt;=$E34),IF((V$3-$D34+1)*VLOOKUP($A34,presupuesto!$B:$Q,16,FALSE)&gt;=VLOOKUP($A34,informe!$A:$J,9,FALSE),"cg","c"),"n")</f>
        <v>n</v>
      </c>
      <c r="W34" s="195" t="str">
        <f>IF(AND(W$3&gt;=$D34,W$3&lt;=$E34),IF((W$3-$D34+1)*VLOOKUP($A34,presupuesto!$B:$Q,16,FALSE)&gt;=VLOOKUP($A34,informe!$A:$J,9,FALSE),"cg","c"),"n")</f>
        <v>n</v>
      </c>
      <c r="X34" s="195" t="str">
        <f>IF(AND(X$3&gt;=$D34,X$3&lt;=$E34),IF((X$3-$D34+1)*VLOOKUP($A34,presupuesto!$B:$Q,16,FALSE)&gt;=VLOOKUP($A34,informe!$A:$J,9,FALSE),"cg","c"),"n")</f>
        <v>n</v>
      </c>
      <c r="Y34" s="195" t="str">
        <f>IF(AND(Y$3&gt;=$D34,Y$3&lt;=$E34),IF((Y$3-$D34+1)*VLOOKUP($A34,presupuesto!$B:$Q,16,FALSE)&gt;=VLOOKUP($A34,informe!$A:$J,9,FALSE),"cg","c"),"n")</f>
        <v>n</v>
      </c>
      <c r="Z34" s="195" t="str">
        <f>IF(AND(Z$3&gt;=$D34,Z$3&lt;=$E34),IF((Z$3-$D34+1)*VLOOKUP($A34,presupuesto!$B:$Q,16,FALSE)&gt;=VLOOKUP($A34,informe!$A:$J,9,FALSE),"cg","c"),"n")</f>
        <v>n</v>
      </c>
      <c r="AA34" s="195" t="str">
        <f>IF(AND(AA$3&gt;=$D34,AA$3&lt;=$E34),IF((AA$3-$D34+1)*VLOOKUP($A34,presupuesto!$B:$Q,16,FALSE)&gt;=VLOOKUP($A34,informe!$A:$J,9,FALSE),"cg","c"),"n")</f>
        <v>n</v>
      </c>
      <c r="AB34" s="195" t="str">
        <f>IF(AND(AB$3&gt;=$D34,AB$3&lt;=$E34),IF((AB$3-$D34+1)*VLOOKUP($A34,presupuesto!$B:$Q,16,FALSE)&gt;=VLOOKUP($A34,informe!$A:$J,9,FALSE),"cg","c"),"n")</f>
        <v>n</v>
      </c>
      <c r="AC34" s="195" t="str">
        <f>IF(AND(AC$3&gt;=$D34,AC$3&lt;=$E34),IF((AC$3-$D34+1)*VLOOKUP($A34,presupuesto!$B:$Q,16,FALSE)&gt;=VLOOKUP($A34,informe!$A:$J,9,FALSE),"cg","c"),"n")</f>
        <v>n</v>
      </c>
      <c r="AD34" s="195" t="str">
        <f>IF(AND(AD$3&gt;=$D34,AD$3&lt;=$E34),IF((AD$3-$D34+1)*VLOOKUP($A34,presupuesto!$B:$Q,16,FALSE)&gt;=VLOOKUP($A34,informe!$A:$J,9,FALSE),"cg","c"),"n")</f>
        <v>n</v>
      </c>
      <c r="AE34" s="195" t="str">
        <f>IF(AND(AE$3&gt;=$D34,AE$3&lt;=$E34),IF((AE$3-$D34+1)*VLOOKUP($A34,presupuesto!$B:$Q,16,FALSE)&gt;=VLOOKUP($A34,informe!$A:$J,9,FALSE),"cg","c"),"n")</f>
        <v>n</v>
      </c>
      <c r="AF34" s="195" t="str">
        <f>IF(AND(AF$3&gt;=$D34,AF$3&lt;=$E34),IF((AF$3-$D34+1)*VLOOKUP($A34,presupuesto!$B:$Q,16,FALSE)&gt;=VLOOKUP($A34,informe!$A:$J,9,FALSE),"cg","c"),"n")</f>
        <v>n</v>
      </c>
      <c r="AG34" s="195" t="str">
        <f>IF(AND(AG$3&gt;=$D34,AG$3&lt;=$E34),IF((AG$3-$D34+1)*VLOOKUP($A34,presupuesto!$B:$Q,16,FALSE)&gt;=VLOOKUP($A34,informe!$A:$J,9,FALSE),"cg","c"),"n")</f>
        <v>n</v>
      </c>
      <c r="AH34" s="195" t="str">
        <f>IF(AND(AH$3&gt;=$D34,AH$3&lt;=$E34),IF((AH$3-$D34+1)*VLOOKUP($A34,presupuesto!$B:$Q,16,FALSE)&gt;=VLOOKUP($A34,informe!$A:$J,9,FALSE),"cg","c"),"n")</f>
        <v>n</v>
      </c>
      <c r="AI34" s="195" t="str">
        <f>IF(AND(AI$3&gt;=$D34,AI$3&lt;=$E34),IF((AI$3-$D34+1)*VLOOKUP($A34,presupuesto!$B:$Q,16,FALSE)&gt;=VLOOKUP($A34,informe!$A:$J,9,FALSE),"cg","c"),"n")</f>
        <v>n</v>
      </c>
      <c r="AJ34" s="195" t="str">
        <f>IF(AND(AJ$3&gt;=$D34,AJ$3&lt;=$E34),IF((AJ$3-$D34+1)*VLOOKUP($A34,presupuesto!$B:$Q,16,FALSE)&gt;=VLOOKUP($A34,informe!$A:$J,9,FALSE),"cg","c"),"n")</f>
        <v>n</v>
      </c>
      <c r="AK34" s="196" t="str">
        <f>IF(AND(AK$3&gt;=$D34,AK$3&lt;=$E34),IF((AK$3-$D34+1)*VLOOKUP($A34,presupuesto!$B:$Q,16,FALSE)&gt;=VLOOKUP($A34,informe!$A:$J,9,FALSE),"cg","c"),"n")</f>
        <v>n</v>
      </c>
    </row>
    <row r="35" spans="1:37" s="1" customFormat="1" ht="15" customHeight="1" x14ac:dyDescent="0.3">
      <c r="A35" s="193" t="str">
        <f>presupuesto!B34</f>
        <v>B.2.-</v>
      </c>
      <c r="B35" s="181" t="str">
        <f>presupuesto!C34</f>
        <v xml:space="preserve">         Suministro, transporte, transporte interno, colocación y prueba de Tuberías de Acero Galvanizado</v>
      </c>
      <c r="C35" s="173" t="str">
        <f>presupuesto!G34</f>
        <v>7 días</v>
      </c>
      <c r="D35" s="176">
        <f>presupuesto!N34</f>
        <v>45742</v>
      </c>
      <c r="E35" s="176">
        <f>presupuesto!O34</f>
        <v>45749</v>
      </c>
      <c r="F35" s="194" t="str">
        <f>IF(AK35="n",CONCATENATE(" - "),IF(AK35="cg",CONCATENATE(" - "),CONCATENATE(ROUND(IFERROR(VLOOKUP(A35,informe!A:J,9,FALSE)/VLOOKUP(A35,informe!A:J,5,FALSE),0)*100,2),"% ")))</f>
        <v xml:space="preserve"> - </v>
      </c>
      <c r="G35" s="195" t="str">
        <f>IF(AND(G$3&gt;=$D35,G$3&lt;=$E35),IF((G$3-$D35+1)*VLOOKUP($A35,presupuesto!$B:$Q,16,FALSE)&gt;=VLOOKUP($A35,informe!$A:$J,9,FALSE),"cg","c"),"n")</f>
        <v>n</v>
      </c>
      <c r="H35" s="195" t="str">
        <f>IF(AND(H$3&gt;=$D35,H$3&lt;=$E35),IF((H$3-$D35+1)*VLOOKUP($A35,presupuesto!$B:$Q,16,FALSE)&gt;=VLOOKUP($A35,informe!$A:$J,9,FALSE),"cg","c"),"n")</f>
        <v>n</v>
      </c>
      <c r="I35" s="195" t="str">
        <f>IF(AND(I$3&gt;=$D35,I$3&lt;=$E35),IF((I$3-$D35+1)*VLOOKUP($A35,presupuesto!$B:$Q,16,FALSE)&gt;=VLOOKUP($A35,informe!$A:$J,9,FALSE),"cg","c"),"n")</f>
        <v>n</v>
      </c>
      <c r="J35" s="195" t="str">
        <f>IF(AND(J$3&gt;=$D35,J$3&lt;=$E35),IF((J$3-$D35+1)*VLOOKUP($A35,presupuesto!$B:$Q,16,FALSE)&gt;=VLOOKUP($A35,informe!$A:$J,9,FALSE),"cg","c"),"n")</f>
        <v>n</v>
      </c>
      <c r="K35" s="195" t="str">
        <f>IF(AND(K$3&gt;=$D35,K$3&lt;=$E35),IF((K$3-$D35+1)*VLOOKUP($A35,presupuesto!$B:$Q,16,FALSE)&gt;=VLOOKUP($A35,informe!$A:$J,9,FALSE),"cg","c"),"n")</f>
        <v>n</v>
      </c>
      <c r="L35" s="195" t="str">
        <f>IF(AND(L$3&gt;=$D35,L$3&lt;=$E35),IF((L$3-$D35+1)*VLOOKUP($A35,presupuesto!$B:$Q,16,FALSE)&gt;=VLOOKUP($A35,informe!$A:$J,9,FALSE),"cg","c"),"n")</f>
        <v>n</v>
      </c>
      <c r="M35" s="195" t="str">
        <f>IF(AND(M$3&gt;=$D35,M$3&lt;=$E35),IF((M$3-$D35+1)*VLOOKUP($A35,presupuesto!$B:$Q,16,FALSE)&gt;=VLOOKUP($A35,informe!$A:$J,9,FALSE),"cg","c"),"n")</f>
        <v>n</v>
      </c>
      <c r="N35" s="195" t="str">
        <f>IF(AND(N$3&gt;=$D35,N$3&lt;=$E35),IF((N$3-$D35+1)*VLOOKUP($A35,presupuesto!$B:$Q,16,FALSE)&gt;=VLOOKUP($A35,informe!$A:$J,9,FALSE),"cg","c"),"n")</f>
        <v>n</v>
      </c>
      <c r="O35" s="195" t="str">
        <f>IF(AND(O$3&gt;=$D35,O$3&lt;=$E35),IF((O$3-$D35+1)*VLOOKUP($A35,presupuesto!$B:$Q,16,FALSE)&gt;=VLOOKUP($A35,informe!$A:$J,9,FALSE),"cg","c"),"n")</f>
        <v>n</v>
      </c>
      <c r="P35" s="195" t="str">
        <f>IF(AND(P$3&gt;=$D35,P$3&lt;=$E35),IF((P$3-$D35+1)*VLOOKUP($A35,presupuesto!$B:$Q,16,FALSE)&gt;=VLOOKUP($A35,informe!$A:$J,9,FALSE),"cg","c"),"n")</f>
        <v>n</v>
      </c>
      <c r="Q35" s="195" t="str">
        <f>IF(AND(Q$3&gt;=$D35,Q$3&lt;=$E35),IF((Q$3-$D35+1)*VLOOKUP($A35,presupuesto!$B:$Q,16,FALSE)&gt;=VLOOKUP($A35,informe!$A:$J,9,FALSE),"cg","c"),"n")</f>
        <v>n</v>
      </c>
      <c r="R35" s="195" t="str">
        <f>IF(AND(R$3&gt;=$D35,R$3&lt;=$E35),IF((R$3-$D35+1)*VLOOKUP($A35,presupuesto!$B:$Q,16,FALSE)&gt;=VLOOKUP($A35,informe!$A:$J,9,FALSE),"cg","c"),"n")</f>
        <v>n</v>
      </c>
      <c r="S35" s="195" t="str">
        <f>IF(AND(S$3&gt;=$D35,S$3&lt;=$E35),IF((S$3-$D35+1)*VLOOKUP($A35,presupuesto!$B:$Q,16,FALSE)&gt;=VLOOKUP($A35,informe!$A:$J,9,FALSE),"cg","c"),"n")</f>
        <v>n</v>
      </c>
      <c r="T35" s="195" t="str">
        <f>IF(AND(T$3&gt;=$D35,T$3&lt;=$E35),IF((T$3-$D35+1)*VLOOKUP($A35,presupuesto!$B:$Q,16,FALSE)&gt;=VLOOKUP($A35,informe!$A:$J,9,FALSE),"cg","c"),"n")</f>
        <v>n</v>
      </c>
      <c r="U35" s="195" t="str">
        <f>IF(AND(U$3&gt;=$D35,U$3&lt;=$E35),IF((U$3-$D35+1)*VLOOKUP($A35,presupuesto!$B:$Q,16,FALSE)&gt;=VLOOKUP($A35,informe!$A:$J,9,FALSE),"cg","c"),"n")</f>
        <v>n</v>
      </c>
      <c r="V35" s="195" t="str">
        <f>IF(AND(V$3&gt;=$D35,V$3&lt;=$E35),IF((V$3-$D35+1)*VLOOKUP($A35,presupuesto!$B:$Q,16,FALSE)&gt;=VLOOKUP($A35,informe!$A:$J,9,FALSE),"cg","c"),"n")</f>
        <v>n</v>
      </c>
      <c r="W35" s="195" t="str">
        <f>IF(AND(W$3&gt;=$D35,W$3&lt;=$E35),IF((W$3-$D35+1)*VLOOKUP($A35,presupuesto!$B:$Q,16,FALSE)&gt;=VLOOKUP($A35,informe!$A:$J,9,FALSE),"cg","c"),"n")</f>
        <v>n</v>
      </c>
      <c r="X35" s="195" t="str">
        <f>IF(AND(X$3&gt;=$D35,X$3&lt;=$E35),IF((X$3-$D35+1)*VLOOKUP($A35,presupuesto!$B:$Q,16,FALSE)&gt;=VLOOKUP($A35,informe!$A:$J,9,FALSE),"cg","c"),"n")</f>
        <v>n</v>
      </c>
      <c r="Y35" s="195" t="str">
        <f>IF(AND(Y$3&gt;=$D35,Y$3&lt;=$E35),IF((Y$3-$D35+1)*VLOOKUP($A35,presupuesto!$B:$Q,16,FALSE)&gt;=VLOOKUP($A35,informe!$A:$J,9,FALSE),"cg","c"),"n")</f>
        <v>n</v>
      </c>
      <c r="Z35" s="195" t="str">
        <f>IF(AND(Z$3&gt;=$D35,Z$3&lt;=$E35),IF((Z$3-$D35+1)*VLOOKUP($A35,presupuesto!$B:$Q,16,FALSE)&gt;=VLOOKUP($A35,informe!$A:$J,9,FALSE),"cg","c"),"n")</f>
        <v>n</v>
      </c>
      <c r="AA35" s="195" t="str">
        <f>IF(AND(AA$3&gt;=$D35,AA$3&lt;=$E35),IF((AA$3-$D35+1)*VLOOKUP($A35,presupuesto!$B:$Q,16,FALSE)&gt;=VLOOKUP($A35,informe!$A:$J,9,FALSE),"cg","c"),"n")</f>
        <v>n</v>
      </c>
      <c r="AB35" s="195" t="str">
        <f>IF(AND(AB$3&gt;=$D35,AB$3&lt;=$E35),IF((AB$3-$D35+1)*VLOOKUP($A35,presupuesto!$B:$Q,16,FALSE)&gt;=VLOOKUP($A35,informe!$A:$J,9,FALSE),"cg","c"),"n")</f>
        <v>n</v>
      </c>
      <c r="AC35" s="195" t="str">
        <f>IF(AND(AC$3&gt;=$D35,AC$3&lt;=$E35),IF((AC$3-$D35+1)*VLOOKUP($A35,presupuesto!$B:$Q,16,FALSE)&gt;=VLOOKUP($A35,informe!$A:$J,9,FALSE),"cg","c"),"n")</f>
        <v>n</v>
      </c>
      <c r="AD35" s="195" t="str">
        <f>IF(AND(AD$3&gt;=$D35,AD$3&lt;=$E35),IF((AD$3-$D35+1)*VLOOKUP($A35,presupuesto!$B:$Q,16,FALSE)&gt;=VLOOKUP($A35,informe!$A:$J,9,FALSE),"cg","c"),"n")</f>
        <v>n</v>
      </c>
      <c r="AE35" s="195" t="str">
        <f>IF(AND(AE$3&gt;=$D35,AE$3&lt;=$E35),IF((AE$3-$D35+1)*VLOOKUP($A35,presupuesto!$B:$Q,16,FALSE)&gt;=VLOOKUP($A35,informe!$A:$J,9,FALSE),"cg","c"),"n")</f>
        <v>n</v>
      </c>
      <c r="AF35" s="195" t="str">
        <f>IF(AND(AF$3&gt;=$D35,AF$3&lt;=$E35),IF((AF$3-$D35+1)*VLOOKUP($A35,presupuesto!$B:$Q,16,FALSE)&gt;=VLOOKUP($A35,informe!$A:$J,9,FALSE),"cg","c"),"n")</f>
        <v>n</v>
      </c>
      <c r="AG35" s="195" t="str">
        <f>IF(AND(AG$3&gt;=$D35,AG$3&lt;=$E35),IF((AG$3-$D35+1)*VLOOKUP($A35,presupuesto!$B:$Q,16,FALSE)&gt;=VLOOKUP($A35,informe!$A:$J,9,FALSE),"cg","c"),"n")</f>
        <v>n</v>
      </c>
      <c r="AH35" s="195" t="str">
        <f>IF(AND(AH$3&gt;=$D35,AH$3&lt;=$E35),IF((AH$3-$D35+1)*VLOOKUP($A35,presupuesto!$B:$Q,16,FALSE)&gt;=VLOOKUP($A35,informe!$A:$J,9,FALSE),"cg","c"),"n")</f>
        <v>n</v>
      </c>
      <c r="AI35" s="195" t="str">
        <f>IF(AND(AI$3&gt;=$D35,AI$3&lt;=$E35),IF((AI$3-$D35+1)*VLOOKUP($A35,presupuesto!$B:$Q,16,FALSE)&gt;=VLOOKUP($A35,informe!$A:$J,9,FALSE),"cg","c"),"n")</f>
        <v>n</v>
      </c>
      <c r="AJ35" s="195" t="str">
        <f>IF(AND(AJ$3&gt;=$D35,AJ$3&lt;=$E35),IF((AJ$3-$D35+1)*VLOOKUP($A35,presupuesto!$B:$Q,16,FALSE)&gt;=VLOOKUP($A35,informe!$A:$J,9,FALSE),"cg","c"),"n")</f>
        <v>n</v>
      </c>
      <c r="AK35" s="196" t="str">
        <f>IF(AND(AK$3&gt;=$D35,AK$3&lt;=$E35),IF((AK$3-$D35+1)*VLOOKUP($A35,presupuesto!$B:$Q,16,FALSE)&gt;=VLOOKUP($A35,informe!$A:$J,9,FALSE),"cg","c"),"n")</f>
        <v>n</v>
      </c>
    </row>
    <row r="36" spans="1:37" s="1" customFormat="1" ht="15" customHeight="1" x14ac:dyDescent="0.25">
      <c r="A36" s="197">
        <f>presupuesto!B35</f>
        <v>19</v>
      </c>
      <c r="B36" s="182" t="str">
        <f>presupuesto!C35</f>
        <v xml:space="preserve">            Cañeria de acero galvanizadp D=6"</v>
      </c>
      <c r="C36" s="174" t="str">
        <f>presupuesto!G35</f>
        <v>7 días</v>
      </c>
      <c r="D36" s="177">
        <f>presupuesto!N35</f>
        <v>45742</v>
      </c>
      <c r="E36" s="177">
        <f>presupuesto!O35</f>
        <v>45749</v>
      </c>
      <c r="F36" s="194" t="str">
        <f>IF(AK36="n",CONCATENATE(" - "),IF(AK36="cg",CONCATENATE(" - "),CONCATENATE(ROUND(IFERROR(VLOOKUP(A36,informe!A:J,9,FALSE)/VLOOKUP(A36,informe!A:J,5,FALSE),0)*100,2),"% ")))</f>
        <v xml:space="preserve"> - </v>
      </c>
      <c r="G36" s="195" t="str">
        <f>IF(AND(G$3&gt;=$D36,G$3&lt;=$E36),IF((G$3-$D36+1)*VLOOKUP($A36,presupuesto!$B:$Q,16,FALSE)&gt;=VLOOKUP($A36,informe!$A:$J,9,FALSE),"cg","c"),"n")</f>
        <v>n</v>
      </c>
      <c r="H36" s="195" t="str">
        <f>IF(AND(H$3&gt;=$D36,H$3&lt;=$E36),IF((H$3-$D36+1)*VLOOKUP($A36,presupuesto!$B:$Q,16,FALSE)&gt;=VLOOKUP($A36,informe!$A:$J,9,FALSE),"cg","c"),"n")</f>
        <v>n</v>
      </c>
      <c r="I36" s="195" t="str">
        <f>IF(AND(I$3&gt;=$D36,I$3&lt;=$E36),IF((I$3-$D36+1)*VLOOKUP($A36,presupuesto!$B:$Q,16,FALSE)&gt;=VLOOKUP($A36,informe!$A:$J,9,FALSE),"cg","c"),"n")</f>
        <v>n</v>
      </c>
      <c r="J36" s="195" t="str">
        <f>IF(AND(J$3&gt;=$D36,J$3&lt;=$E36),IF((J$3-$D36+1)*VLOOKUP($A36,presupuesto!$B:$Q,16,FALSE)&gt;=VLOOKUP($A36,informe!$A:$J,9,FALSE),"cg","c"),"n")</f>
        <v>n</v>
      </c>
      <c r="K36" s="195" t="str">
        <f>IF(AND(K$3&gt;=$D36,K$3&lt;=$E36),IF((K$3-$D36+1)*VLOOKUP($A36,presupuesto!$B:$Q,16,FALSE)&gt;=VLOOKUP($A36,informe!$A:$J,9,FALSE),"cg","c"),"n")</f>
        <v>n</v>
      </c>
      <c r="L36" s="195" t="str">
        <f>IF(AND(L$3&gt;=$D36,L$3&lt;=$E36),IF((L$3-$D36+1)*VLOOKUP($A36,presupuesto!$B:$Q,16,FALSE)&gt;=VLOOKUP($A36,informe!$A:$J,9,FALSE),"cg","c"),"n")</f>
        <v>n</v>
      </c>
      <c r="M36" s="195" t="str">
        <f>IF(AND(M$3&gt;=$D36,M$3&lt;=$E36),IF((M$3-$D36+1)*VLOOKUP($A36,presupuesto!$B:$Q,16,FALSE)&gt;=VLOOKUP($A36,informe!$A:$J,9,FALSE),"cg","c"),"n")</f>
        <v>n</v>
      </c>
      <c r="N36" s="195" t="str">
        <f>IF(AND(N$3&gt;=$D36,N$3&lt;=$E36),IF((N$3-$D36+1)*VLOOKUP($A36,presupuesto!$B:$Q,16,FALSE)&gt;=VLOOKUP($A36,informe!$A:$J,9,FALSE),"cg","c"),"n")</f>
        <v>n</v>
      </c>
      <c r="O36" s="195" t="str">
        <f>IF(AND(O$3&gt;=$D36,O$3&lt;=$E36),IF((O$3-$D36+1)*VLOOKUP($A36,presupuesto!$B:$Q,16,FALSE)&gt;=VLOOKUP($A36,informe!$A:$J,9,FALSE),"cg","c"),"n")</f>
        <v>n</v>
      </c>
      <c r="P36" s="195" t="str">
        <f>IF(AND(P$3&gt;=$D36,P$3&lt;=$E36),IF((P$3-$D36+1)*VLOOKUP($A36,presupuesto!$B:$Q,16,FALSE)&gt;=VLOOKUP($A36,informe!$A:$J,9,FALSE),"cg","c"),"n")</f>
        <v>n</v>
      </c>
      <c r="Q36" s="195" t="str">
        <f>IF(AND(Q$3&gt;=$D36,Q$3&lt;=$E36),IF((Q$3-$D36+1)*VLOOKUP($A36,presupuesto!$B:$Q,16,FALSE)&gt;=VLOOKUP($A36,informe!$A:$J,9,FALSE),"cg","c"),"n")</f>
        <v>n</v>
      </c>
      <c r="R36" s="195" t="str">
        <f>IF(AND(R$3&gt;=$D36,R$3&lt;=$E36),IF((R$3-$D36+1)*VLOOKUP($A36,presupuesto!$B:$Q,16,FALSE)&gt;=VLOOKUP($A36,informe!$A:$J,9,FALSE),"cg","c"),"n")</f>
        <v>n</v>
      </c>
      <c r="S36" s="195" t="str">
        <f>IF(AND(S$3&gt;=$D36,S$3&lt;=$E36),IF((S$3-$D36+1)*VLOOKUP($A36,presupuesto!$B:$Q,16,FALSE)&gt;=VLOOKUP($A36,informe!$A:$J,9,FALSE),"cg","c"),"n")</f>
        <v>n</v>
      </c>
      <c r="T36" s="195" t="str">
        <f>IF(AND(T$3&gt;=$D36,T$3&lt;=$E36),IF((T$3-$D36+1)*VLOOKUP($A36,presupuesto!$B:$Q,16,FALSE)&gt;=VLOOKUP($A36,informe!$A:$J,9,FALSE),"cg","c"),"n")</f>
        <v>n</v>
      </c>
      <c r="U36" s="195" t="str">
        <f>IF(AND(U$3&gt;=$D36,U$3&lt;=$E36),IF((U$3-$D36+1)*VLOOKUP($A36,presupuesto!$B:$Q,16,FALSE)&gt;=VLOOKUP($A36,informe!$A:$J,9,FALSE),"cg","c"),"n")</f>
        <v>n</v>
      </c>
      <c r="V36" s="195" t="str">
        <f>IF(AND(V$3&gt;=$D36,V$3&lt;=$E36),IF((V$3-$D36+1)*VLOOKUP($A36,presupuesto!$B:$Q,16,FALSE)&gt;=VLOOKUP($A36,informe!$A:$J,9,FALSE),"cg","c"),"n")</f>
        <v>n</v>
      </c>
      <c r="W36" s="195" t="str">
        <f>IF(AND(W$3&gt;=$D36,W$3&lt;=$E36),IF((W$3-$D36+1)*VLOOKUP($A36,presupuesto!$B:$Q,16,FALSE)&gt;=VLOOKUP($A36,informe!$A:$J,9,FALSE),"cg","c"),"n")</f>
        <v>n</v>
      </c>
      <c r="X36" s="195" t="str">
        <f>IF(AND(X$3&gt;=$D36,X$3&lt;=$E36),IF((X$3-$D36+1)*VLOOKUP($A36,presupuesto!$B:$Q,16,FALSE)&gt;=VLOOKUP($A36,informe!$A:$J,9,FALSE),"cg","c"),"n")</f>
        <v>n</v>
      </c>
      <c r="Y36" s="195" t="str">
        <f>IF(AND(Y$3&gt;=$D36,Y$3&lt;=$E36),IF((Y$3-$D36+1)*VLOOKUP($A36,presupuesto!$B:$Q,16,FALSE)&gt;=VLOOKUP($A36,informe!$A:$J,9,FALSE),"cg","c"),"n")</f>
        <v>n</v>
      </c>
      <c r="Z36" s="195" t="str">
        <f>IF(AND(Z$3&gt;=$D36,Z$3&lt;=$E36),IF((Z$3-$D36+1)*VLOOKUP($A36,presupuesto!$B:$Q,16,FALSE)&gt;=VLOOKUP($A36,informe!$A:$J,9,FALSE),"cg","c"),"n")</f>
        <v>n</v>
      </c>
      <c r="AA36" s="195" t="str">
        <f>IF(AND(AA$3&gt;=$D36,AA$3&lt;=$E36),IF((AA$3-$D36+1)*VLOOKUP($A36,presupuesto!$B:$Q,16,FALSE)&gt;=VLOOKUP($A36,informe!$A:$J,9,FALSE),"cg","c"),"n")</f>
        <v>n</v>
      </c>
      <c r="AB36" s="195" t="str">
        <f>IF(AND(AB$3&gt;=$D36,AB$3&lt;=$E36),IF((AB$3-$D36+1)*VLOOKUP($A36,presupuesto!$B:$Q,16,FALSE)&gt;=VLOOKUP($A36,informe!$A:$J,9,FALSE),"cg","c"),"n")</f>
        <v>n</v>
      </c>
      <c r="AC36" s="195" t="str">
        <f>IF(AND(AC$3&gt;=$D36,AC$3&lt;=$E36),IF((AC$3-$D36+1)*VLOOKUP($A36,presupuesto!$B:$Q,16,FALSE)&gt;=VLOOKUP($A36,informe!$A:$J,9,FALSE),"cg","c"),"n")</f>
        <v>n</v>
      </c>
      <c r="AD36" s="195" t="str">
        <f>IF(AND(AD$3&gt;=$D36,AD$3&lt;=$E36),IF((AD$3-$D36+1)*VLOOKUP($A36,presupuesto!$B:$Q,16,FALSE)&gt;=VLOOKUP($A36,informe!$A:$J,9,FALSE),"cg","c"),"n")</f>
        <v>n</v>
      </c>
      <c r="AE36" s="195" t="str">
        <f>IF(AND(AE$3&gt;=$D36,AE$3&lt;=$E36),IF((AE$3-$D36+1)*VLOOKUP($A36,presupuesto!$B:$Q,16,FALSE)&gt;=VLOOKUP($A36,informe!$A:$J,9,FALSE),"cg","c"),"n")</f>
        <v>n</v>
      </c>
      <c r="AF36" s="195" t="str">
        <f>IF(AND(AF$3&gt;=$D36,AF$3&lt;=$E36),IF((AF$3-$D36+1)*VLOOKUP($A36,presupuesto!$B:$Q,16,FALSE)&gt;=VLOOKUP($A36,informe!$A:$J,9,FALSE),"cg","c"),"n")</f>
        <v>n</v>
      </c>
      <c r="AG36" s="195" t="str">
        <f>IF(AND(AG$3&gt;=$D36,AG$3&lt;=$E36),IF((AG$3-$D36+1)*VLOOKUP($A36,presupuesto!$B:$Q,16,FALSE)&gt;=VLOOKUP($A36,informe!$A:$J,9,FALSE),"cg","c"),"n")</f>
        <v>n</v>
      </c>
      <c r="AH36" s="195" t="str">
        <f>IF(AND(AH$3&gt;=$D36,AH$3&lt;=$E36),IF((AH$3-$D36+1)*VLOOKUP($A36,presupuesto!$B:$Q,16,FALSE)&gt;=VLOOKUP($A36,informe!$A:$J,9,FALSE),"cg","c"),"n")</f>
        <v>n</v>
      </c>
      <c r="AI36" s="195" t="str">
        <f>IF(AND(AI$3&gt;=$D36,AI$3&lt;=$E36),IF((AI$3-$D36+1)*VLOOKUP($A36,presupuesto!$B:$Q,16,FALSE)&gt;=VLOOKUP($A36,informe!$A:$J,9,FALSE),"cg","c"),"n")</f>
        <v>n</v>
      </c>
      <c r="AJ36" s="195" t="str">
        <f>IF(AND(AJ$3&gt;=$D36,AJ$3&lt;=$E36),IF((AJ$3-$D36+1)*VLOOKUP($A36,presupuesto!$B:$Q,16,FALSE)&gt;=VLOOKUP($A36,informe!$A:$J,9,FALSE),"cg","c"),"n")</f>
        <v>n</v>
      </c>
      <c r="AK36" s="196" t="str">
        <f>IF(AND(AK$3&gt;=$D36,AK$3&lt;=$E36),IF((AK$3-$D36+1)*VLOOKUP($A36,presupuesto!$B:$Q,16,FALSE)&gt;=VLOOKUP($A36,informe!$A:$J,9,FALSE),"cg","c"),"n")</f>
        <v>n</v>
      </c>
    </row>
    <row r="37" spans="1:37" s="1" customFormat="1" ht="15" customHeight="1" x14ac:dyDescent="0.3">
      <c r="A37" s="197" t="str">
        <f>presupuesto!B36</f>
        <v>B.3.-</v>
      </c>
      <c r="B37" s="181" t="str">
        <f>presupuesto!C36</f>
        <v xml:space="preserve">         Suministro, transporte, transporte interno, colocación y prueba de Piezas Especiales con/sin mecanismo</v>
      </c>
      <c r="C37" s="174" t="str">
        <f>presupuesto!G36</f>
        <v>30 días</v>
      </c>
      <c r="D37" s="177">
        <f>presupuesto!N36</f>
        <v>45726</v>
      </c>
      <c r="E37" s="177">
        <f>presupuesto!O36</f>
        <v>45755</v>
      </c>
      <c r="F37" s="194" t="str">
        <f>IF(AK37="n",CONCATENATE(" - "),IF(AK37="cg",CONCATENATE(" - "),CONCATENATE(ROUND(IFERROR(VLOOKUP(A37,informe!A:J,9,FALSE)/VLOOKUP(A37,informe!A:J,5,FALSE),0)*100,2),"% ")))</f>
        <v xml:space="preserve"> - </v>
      </c>
      <c r="G37" s="195" t="str">
        <f>IF(AND(G$3&gt;=$D37,G$3&lt;=$E37),IF((G$3-$D37+1)*VLOOKUP($A37,presupuesto!$B:$Q,16,FALSE)&gt;=VLOOKUP($A37,informe!$A:$J,9,FALSE),"cg","c"),"n")</f>
        <v>n</v>
      </c>
      <c r="H37" s="195" t="str">
        <f>IF(AND(H$3&gt;=$D37,H$3&lt;=$E37),IF((H$3-$D37+1)*VLOOKUP($A37,presupuesto!$B:$Q,16,FALSE)&gt;=VLOOKUP($A37,informe!$A:$J,9,FALSE),"cg","c"),"n")</f>
        <v>n</v>
      </c>
      <c r="I37" s="195" t="str">
        <f>IF(AND(I$3&gt;=$D37,I$3&lt;=$E37),IF((I$3-$D37+1)*VLOOKUP($A37,presupuesto!$B:$Q,16,FALSE)&gt;=VLOOKUP($A37,informe!$A:$J,9,FALSE),"cg","c"),"n")</f>
        <v>n</v>
      </c>
      <c r="J37" s="195" t="str">
        <f>IF(AND(J$3&gt;=$D37,J$3&lt;=$E37),IF((J$3-$D37+1)*VLOOKUP($A37,presupuesto!$B:$Q,16,FALSE)&gt;=VLOOKUP($A37,informe!$A:$J,9,FALSE),"cg","c"),"n")</f>
        <v>n</v>
      </c>
      <c r="K37" s="195" t="str">
        <f>IF(AND(K$3&gt;=$D37,K$3&lt;=$E37),IF((K$3-$D37+1)*VLOOKUP($A37,presupuesto!$B:$Q,16,FALSE)&gt;=VLOOKUP($A37,informe!$A:$J,9,FALSE),"cg","c"),"n")</f>
        <v>n</v>
      </c>
      <c r="L37" s="195" t="str">
        <f>IF(AND(L$3&gt;=$D37,L$3&lt;=$E37),IF((L$3-$D37+1)*VLOOKUP($A37,presupuesto!$B:$Q,16,FALSE)&gt;=VLOOKUP($A37,informe!$A:$J,9,FALSE),"cg","c"),"n")</f>
        <v>n</v>
      </c>
      <c r="M37" s="195" t="str">
        <f>IF(AND(M$3&gt;=$D37,M$3&lt;=$E37),IF((M$3-$D37+1)*VLOOKUP($A37,presupuesto!$B:$Q,16,FALSE)&gt;=VLOOKUP($A37,informe!$A:$J,9,FALSE),"cg","c"),"n")</f>
        <v>n</v>
      </c>
      <c r="N37" s="195" t="str">
        <f>IF(AND(N$3&gt;=$D37,N$3&lt;=$E37),IF((N$3-$D37+1)*VLOOKUP($A37,presupuesto!$B:$Q,16,FALSE)&gt;=VLOOKUP($A37,informe!$A:$J,9,FALSE),"cg","c"),"n")</f>
        <v>n</v>
      </c>
      <c r="O37" s="195" t="str">
        <f>IF(AND(O$3&gt;=$D37,O$3&lt;=$E37),IF((O$3-$D37+1)*VLOOKUP($A37,presupuesto!$B:$Q,16,FALSE)&gt;=VLOOKUP($A37,informe!$A:$J,9,FALSE),"cg","c"),"n")</f>
        <v>n</v>
      </c>
      <c r="P37" s="195" t="str">
        <f>IF(AND(P$3&gt;=$D37,P$3&lt;=$E37),IF((P$3-$D37+1)*VLOOKUP($A37,presupuesto!$B:$Q,16,FALSE)&gt;=VLOOKUP($A37,informe!$A:$J,9,FALSE),"cg","c"),"n")</f>
        <v>n</v>
      </c>
      <c r="Q37" s="195" t="str">
        <f>IF(AND(Q$3&gt;=$D37,Q$3&lt;=$E37),IF((Q$3-$D37+1)*VLOOKUP($A37,presupuesto!$B:$Q,16,FALSE)&gt;=VLOOKUP($A37,informe!$A:$J,9,FALSE),"cg","c"),"n")</f>
        <v>n</v>
      </c>
      <c r="R37" s="195" t="str">
        <f>IF(AND(R$3&gt;=$D37,R$3&lt;=$E37),IF((R$3-$D37+1)*VLOOKUP($A37,presupuesto!$B:$Q,16,FALSE)&gt;=VLOOKUP($A37,informe!$A:$J,9,FALSE),"cg","c"),"n")</f>
        <v>n</v>
      </c>
      <c r="S37" s="195" t="str">
        <f>IF(AND(S$3&gt;=$D37,S$3&lt;=$E37),IF((S$3-$D37+1)*VLOOKUP($A37,presupuesto!$B:$Q,16,FALSE)&gt;=VLOOKUP($A37,informe!$A:$J,9,FALSE),"cg","c"),"n")</f>
        <v>n</v>
      </c>
      <c r="T37" s="195" t="str">
        <f>IF(AND(T$3&gt;=$D37,T$3&lt;=$E37),IF((T$3-$D37+1)*VLOOKUP($A37,presupuesto!$B:$Q,16,FALSE)&gt;=VLOOKUP($A37,informe!$A:$J,9,FALSE),"cg","c"),"n")</f>
        <v>n</v>
      </c>
      <c r="U37" s="195" t="str">
        <f>IF(AND(U$3&gt;=$D37,U$3&lt;=$E37),IF((U$3-$D37+1)*VLOOKUP($A37,presupuesto!$B:$Q,16,FALSE)&gt;=VLOOKUP($A37,informe!$A:$J,9,FALSE),"cg","c"),"n")</f>
        <v>n</v>
      </c>
      <c r="V37" s="195" t="str">
        <f>IF(AND(V$3&gt;=$D37,V$3&lt;=$E37),IF((V$3-$D37+1)*VLOOKUP($A37,presupuesto!$B:$Q,16,FALSE)&gt;=VLOOKUP($A37,informe!$A:$J,9,FALSE),"cg","c"),"n")</f>
        <v>n</v>
      </c>
      <c r="W37" s="195" t="str">
        <f>IF(AND(W$3&gt;=$D37,W$3&lt;=$E37),IF((W$3-$D37+1)*VLOOKUP($A37,presupuesto!$B:$Q,16,FALSE)&gt;=VLOOKUP($A37,informe!$A:$J,9,FALSE),"cg","c"),"n")</f>
        <v>n</v>
      </c>
      <c r="X37" s="195" t="str">
        <f>IF(AND(X$3&gt;=$D37,X$3&lt;=$E37),IF((X$3-$D37+1)*VLOOKUP($A37,presupuesto!$B:$Q,16,FALSE)&gt;=VLOOKUP($A37,informe!$A:$J,9,FALSE),"cg","c"),"n")</f>
        <v>n</v>
      </c>
      <c r="Y37" s="195" t="str">
        <f>IF(AND(Y$3&gt;=$D37,Y$3&lt;=$E37),IF((Y$3-$D37+1)*VLOOKUP($A37,presupuesto!$B:$Q,16,FALSE)&gt;=VLOOKUP($A37,informe!$A:$J,9,FALSE),"cg","c"),"n")</f>
        <v>n</v>
      </c>
      <c r="Z37" s="195" t="str">
        <f>IF(AND(Z$3&gt;=$D37,Z$3&lt;=$E37),IF((Z$3-$D37+1)*VLOOKUP($A37,presupuesto!$B:$Q,16,FALSE)&gt;=VLOOKUP($A37,informe!$A:$J,9,FALSE),"cg","c"),"n")</f>
        <v>n</v>
      </c>
      <c r="AA37" s="195" t="str">
        <f>IF(AND(AA$3&gt;=$D37,AA$3&lt;=$E37),IF((AA$3-$D37+1)*VLOOKUP($A37,presupuesto!$B:$Q,16,FALSE)&gt;=VLOOKUP($A37,informe!$A:$J,9,FALSE),"cg","c"),"n")</f>
        <v>n</v>
      </c>
      <c r="AB37" s="195" t="str">
        <f>IF(AND(AB$3&gt;=$D37,AB$3&lt;=$E37),IF((AB$3-$D37+1)*VLOOKUP($A37,presupuesto!$B:$Q,16,FALSE)&gt;=VLOOKUP($A37,informe!$A:$J,9,FALSE),"cg","c"),"n")</f>
        <v>n</v>
      </c>
      <c r="AC37" s="195" t="str">
        <f>IF(AND(AC$3&gt;=$D37,AC$3&lt;=$E37),IF((AC$3-$D37+1)*VLOOKUP($A37,presupuesto!$B:$Q,16,FALSE)&gt;=VLOOKUP($A37,informe!$A:$J,9,FALSE),"cg","c"),"n")</f>
        <v>n</v>
      </c>
      <c r="AD37" s="195" t="str">
        <f>IF(AND(AD$3&gt;=$D37,AD$3&lt;=$E37),IF((AD$3-$D37+1)*VLOOKUP($A37,presupuesto!$B:$Q,16,FALSE)&gt;=VLOOKUP($A37,informe!$A:$J,9,FALSE),"cg","c"),"n")</f>
        <v>n</v>
      </c>
      <c r="AE37" s="195" t="str">
        <f>IF(AND(AE$3&gt;=$D37,AE$3&lt;=$E37),IF((AE$3-$D37+1)*VLOOKUP($A37,presupuesto!$B:$Q,16,FALSE)&gt;=VLOOKUP($A37,informe!$A:$J,9,FALSE),"cg","c"),"n")</f>
        <v>n</v>
      </c>
      <c r="AF37" s="195" t="str">
        <f>IF(AND(AF$3&gt;=$D37,AF$3&lt;=$E37),IF((AF$3-$D37+1)*VLOOKUP($A37,presupuesto!$B:$Q,16,FALSE)&gt;=VLOOKUP($A37,informe!$A:$J,9,FALSE),"cg","c"),"n")</f>
        <v>n</v>
      </c>
      <c r="AG37" s="195" t="str">
        <f>IF(AND(AG$3&gt;=$D37,AG$3&lt;=$E37),IF((AG$3-$D37+1)*VLOOKUP($A37,presupuesto!$B:$Q,16,FALSE)&gt;=VLOOKUP($A37,informe!$A:$J,9,FALSE),"cg","c"),"n")</f>
        <v>n</v>
      </c>
      <c r="AH37" s="195" t="str">
        <f>IF(AND(AH$3&gt;=$D37,AH$3&lt;=$E37),IF((AH$3-$D37+1)*VLOOKUP($A37,presupuesto!$B:$Q,16,FALSE)&gt;=VLOOKUP($A37,informe!$A:$J,9,FALSE),"cg","c"),"n")</f>
        <v>n</v>
      </c>
      <c r="AI37" s="195" t="str">
        <f>IF(AND(AI$3&gt;=$D37,AI$3&lt;=$E37),IF((AI$3-$D37+1)*VLOOKUP($A37,presupuesto!$B:$Q,16,FALSE)&gt;=VLOOKUP($A37,informe!$A:$J,9,FALSE),"cg","c"),"n")</f>
        <v>n</v>
      </c>
      <c r="AJ37" s="195" t="str">
        <f>IF(AND(AJ$3&gt;=$D37,AJ$3&lt;=$E37),IF((AJ$3-$D37+1)*VLOOKUP($A37,presupuesto!$B:$Q,16,FALSE)&gt;=VLOOKUP($A37,informe!$A:$J,9,FALSE),"cg","c"),"n")</f>
        <v>n</v>
      </c>
      <c r="AK37" s="196" t="str">
        <f>IF(AND(AK$3&gt;=$D37,AK$3&lt;=$E37),IF((AK$3-$D37+1)*VLOOKUP($A37,presupuesto!$B:$Q,16,FALSE)&gt;=VLOOKUP($A37,informe!$A:$J,9,FALSE),"cg","c"),"n")</f>
        <v>n</v>
      </c>
    </row>
    <row r="38" spans="1:37" s="1" customFormat="1" ht="15" customHeight="1" x14ac:dyDescent="0.25">
      <c r="A38" s="197">
        <f>presupuesto!B37</f>
        <v>20</v>
      </c>
      <c r="B38" s="182" t="str">
        <f>presupuesto!C37</f>
        <v xml:space="preserve">            Piezas especiales de HDPE</v>
      </c>
      <c r="C38" s="174" t="str">
        <f>presupuesto!G37</f>
        <v>10 días</v>
      </c>
      <c r="D38" s="177">
        <f>presupuesto!N37</f>
        <v>45739</v>
      </c>
      <c r="E38" s="177">
        <f>presupuesto!O37</f>
        <v>45749</v>
      </c>
      <c r="F38" s="194" t="str">
        <f>IF(AK38="n",CONCATENATE(" - "),IF(AK38="cg",CONCATENATE(" - "),CONCATENATE(ROUND(IFERROR(VLOOKUP(A38,informe!A:J,9,FALSE)/VLOOKUP(A38,informe!A:J,5,FALSE),0)*100,2),"% ")))</f>
        <v xml:space="preserve"> - </v>
      </c>
      <c r="G38" s="195" t="str">
        <f>IF(AND(G$3&gt;=$D38,G$3&lt;=$E38),IF((G$3-$D38+1)*VLOOKUP($A38,presupuesto!$B:$Q,16,FALSE)&gt;=VLOOKUP($A38,informe!$A:$J,9,FALSE),"cg","c"),"n")</f>
        <v>n</v>
      </c>
      <c r="H38" s="195" t="str">
        <f>IF(AND(H$3&gt;=$D38,H$3&lt;=$E38),IF((H$3-$D38+1)*VLOOKUP($A38,presupuesto!$B:$Q,16,FALSE)&gt;=VLOOKUP($A38,informe!$A:$J,9,FALSE),"cg","c"),"n")</f>
        <v>n</v>
      </c>
      <c r="I38" s="195" t="str">
        <f>IF(AND(I$3&gt;=$D38,I$3&lt;=$E38),IF((I$3-$D38+1)*VLOOKUP($A38,presupuesto!$B:$Q,16,FALSE)&gt;=VLOOKUP($A38,informe!$A:$J,9,FALSE),"cg","c"),"n")</f>
        <v>n</v>
      </c>
      <c r="J38" s="195" t="str">
        <f>IF(AND(J$3&gt;=$D38,J$3&lt;=$E38),IF((J$3-$D38+1)*VLOOKUP($A38,presupuesto!$B:$Q,16,FALSE)&gt;=VLOOKUP($A38,informe!$A:$J,9,FALSE),"cg","c"),"n")</f>
        <v>n</v>
      </c>
      <c r="K38" s="195" t="str">
        <f>IF(AND(K$3&gt;=$D38,K$3&lt;=$E38),IF((K$3-$D38+1)*VLOOKUP($A38,presupuesto!$B:$Q,16,FALSE)&gt;=VLOOKUP($A38,informe!$A:$J,9,FALSE),"cg","c"),"n")</f>
        <v>n</v>
      </c>
      <c r="L38" s="195" t="str">
        <f>IF(AND(L$3&gt;=$D38,L$3&lt;=$E38),IF((L$3-$D38+1)*VLOOKUP($A38,presupuesto!$B:$Q,16,FALSE)&gt;=VLOOKUP($A38,informe!$A:$J,9,FALSE),"cg","c"),"n")</f>
        <v>n</v>
      </c>
      <c r="M38" s="195" t="str">
        <f>IF(AND(M$3&gt;=$D38,M$3&lt;=$E38),IF((M$3-$D38+1)*VLOOKUP($A38,presupuesto!$B:$Q,16,FALSE)&gt;=VLOOKUP($A38,informe!$A:$J,9,FALSE),"cg","c"),"n")</f>
        <v>n</v>
      </c>
      <c r="N38" s="195" t="str">
        <f>IF(AND(N$3&gt;=$D38,N$3&lt;=$E38),IF((N$3-$D38+1)*VLOOKUP($A38,presupuesto!$B:$Q,16,FALSE)&gt;=VLOOKUP($A38,informe!$A:$J,9,FALSE),"cg","c"),"n")</f>
        <v>n</v>
      </c>
      <c r="O38" s="195" t="str">
        <f>IF(AND(O$3&gt;=$D38,O$3&lt;=$E38),IF((O$3-$D38+1)*VLOOKUP($A38,presupuesto!$B:$Q,16,FALSE)&gt;=VLOOKUP($A38,informe!$A:$J,9,FALSE),"cg","c"),"n")</f>
        <v>n</v>
      </c>
      <c r="P38" s="195" t="str">
        <f>IF(AND(P$3&gt;=$D38,P$3&lt;=$E38),IF((P$3-$D38+1)*VLOOKUP($A38,presupuesto!$B:$Q,16,FALSE)&gt;=VLOOKUP($A38,informe!$A:$J,9,FALSE),"cg","c"),"n")</f>
        <v>n</v>
      </c>
      <c r="Q38" s="195" t="str">
        <f>IF(AND(Q$3&gt;=$D38,Q$3&lt;=$E38),IF((Q$3-$D38+1)*VLOOKUP($A38,presupuesto!$B:$Q,16,FALSE)&gt;=VLOOKUP($A38,informe!$A:$J,9,FALSE),"cg","c"),"n")</f>
        <v>n</v>
      </c>
      <c r="R38" s="195" t="str">
        <f>IF(AND(R$3&gt;=$D38,R$3&lt;=$E38),IF((R$3-$D38+1)*VLOOKUP($A38,presupuesto!$B:$Q,16,FALSE)&gt;=VLOOKUP($A38,informe!$A:$J,9,FALSE),"cg","c"),"n")</f>
        <v>n</v>
      </c>
      <c r="S38" s="195" t="str">
        <f>IF(AND(S$3&gt;=$D38,S$3&lt;=$E38),IF((S$3-$D38+1)*VLOOKUP($A38,presupuesto!$B:$Q,16,FALSE)&gt;=VLOOKUP($A38,informe!$A:$J,9,FALSE),"cg","c"),"n")</f>
        <v>n</v>
      </c>
      <c r="T38" s="195" t="str">
        <f>IF(AND(T$3&gt;=$D38,T$3&lt;=$E38),IF((T$3-$D38+1)*VLOOKUP($A38,presupuesto!$B:$Q,16,FALSE)&gt;=VLOOKUP($A38,informe!$A:$J,9,FALSE),"cg","c"),"n")</f>
        <v>n</v>
      </c>
      <c r="U38" s="195" t="str">
        <f>IF(AND(U$3&gt;=$D38,U$3&lt;=$E38),IF((U$3-$D38+1)*VLOOKUP($A38,presupuesto!$B:$Q,16,FALSE)&gt;=VLOOKUP($A38,informe!$A:$J,9,FALSE),"cg","c"),"n")</f>
        <v>n</v>
      </c>
      <c r="V38" s="195" t="str">
        <f>IF(AND(V$3&gt;=$D38,V$3&lt;=$E38),IF((V$3-$D38+1)*VLOOKUP($A38,presupuesto!$B:$Q,16,FALSE)&gt;=VLOOKUP($A38,informe!$A:$J,9,FALSE),"cg","c"),"n")</f>
        <v>n</v>
      </c>
      <c r="W38" s="195" t="str">
        <f>IF(AND(W$3&gt;=$D38,W$3&lt;=$E38),IF((W$3-$D38+1)*VLOOKUP($A38,presupuesto!$B:$Q,16,FALSE)&gt;=VLOOKUP($A38,informe!$A:$J,9,FALSE),"cg","c"),"n")</f>
        <v>n</v>
      </c>
      <c r="X38" s="195" t="str">
        <f>IF(AND(X$3&gt;=$D38,X$3&lt;=$E38),IF((X$3-$D38+1)*VLOOKUP($A38,presupuesto!$B:$Q,16,FALSE)&gt;=VLOOKUP($A38,informe!$A:$J,9,FALSE),"cg","c"),"n")</f>
        <v>n</v>
      </c>
      <c r="Y38" s="195" t="str">
        <f>IF(AND(Y$3&gt;=$D38,Y$3&lt;=$E38),IF((Y$3-$D38+1)*VLOOKUP($A38,presupuesto!$B:$Q,16,FALSE)&gt;=VLOOKUP($A38,informe!$A:$J,9,FALSE),"cg","c"),"n")</f>
        <v>n</v>
      </c>
      <c r="Z38" s="195" t="str">
        <f>IF(AND(Z$3&gt;=$D38,Z$3&lt;=$E38),IF((Z$3-$D38+1)*VLOOKUP($A38,presupuesto!$B:$Q,16,FALSE)&gt;=VLOOKUP($A38,informe!$A:$J,9,FALSE),"cg","c"),"n")</f>
        <v>n</v>
      </c>
      <c r="AA38" s="195" t="str">
        <f>IF(AND(AA$3&gt;=$D38,AA$3&lt;=$E38),IF((AA$3-$D38+1)*VLOOKUP($A38,presupuesto!$B:$Q,16,FALSE)&gt;=VLOOKUP($A38,informe!$A:$J,9,FALSE),"cg","c"),"n")</f>
        <v>n</v>
      </c>
      <c r="AB38" s="195" t="str">
        <f>IF(AND(AB$3&gt;=$D38,AB$3&lt;=$E38),IF((AB$3-$D38+1)*VLOOKUP($A38,presupuesto!$B:$Q,16,FALSE)&gt;=VLOOKUP($A38,informe!$A:$J,9,FALSE),"cg","c"),"n")</f>
        <v>n</v>
      </c>
      <c r="AC38" s="195" t="str">
        <f>IF(AND(AC$3&gt;=$D38,AC$3&lt;=$E38),IF((AC$3-$D38+1)*VLOOKUP($A38,presupuesto!$B:$Q,16,FALSE)&gt;=VLOOKUP($A38,informe!$A:$J,9,FALSE),"cg","c"),"n")</f>
        <v>n</v>
      </c>
      <c r="AD38" s="195" t="str">
        <f>IF(AND(AD$3&gt;=$D38,AD$3&lt;=$E38),IF((AD$3-$D38+1)*VLOOKUP($A38,presupuesto!$B:$Q,16,FALSE)&gt;=VLOOKUP($A38,informe!$A:$J,9,FALSE),"cg","c"),"n")</f>
        <v>n</v>
      </c>
      <c r="AE38" s="195" t="str">
        <f>IF(AND(AE$3&gt;=$D38,AE$3&lt;=$E38),IF((AE$3-$D38+1)*VLOOKUP($A38,presupuesto!$B:$Q,16,FALSE)&gt;=VLOOKUP($A38,informe!$A:$J,9,FALSE),"cg","c"),"n")</f>
        <v>n</v>
      </c>
      <c r="AF38" s="195" t="str">
        <f>IF(AND(AF$3&gt;=$D38,AF$3&lt;=$E38),IF((AF$3-$D38+1)*VLOOKUP($A38,presupuesto!$B:$Q,16,FALSE)&gt;=VLOOKUP($A38,informe!$A:$J,9,FALSE),"cg","c"),"n")</f>
        <v>n</v>
      </c>
      <c r="AG38" s="195" t="str">
        <f>IF(AND(AG$3&gt;=$D38,AG$3&lt;=$E38),IF((AG$3-$D38+1)*VLOOKUP($A38,presupuesto!$B:$Q,16,FALSE)&gt;=VLOOKUP($A38,informe!$A:$J,9,FALSE),"cg","c"),"n")</f>
        <v>n</v>
      </c>
      <c r="AH38" s="195" t="str">
        <f>IF(AND(AH$3&gt;=$D38,AH$3&lt;=$E38),IF((AH$3-$D38+1)*VLOOKUP($A38,presupuesto!$B:$Q,16,FALSE)&gt;=VLOOKUP($A38,informe!$A:$J,9,FALSE),"cg","c"),"n")</f>
        <v>n</v>
      </c>
      <c r="AI38" s="195" t="str">
        <f>IF(AND(AI$3&gt;=$D38,AI$3&lt;=$E38),IF((AI$3-$D38+1)*VLOOKUP($A38,presupuesto!$B:$Q,16,FALSE)&gt;=VLOOKUP($A38,informe!$A:$J,9,FALSE),"cg","c"),"n")</f>
        <v>n</v>
      </c>
      <c r="AJ38" s="195" t="str">
        <f>IF(AND(AJ$3&gt;=$D38,AJ$3&lt;=$E38),IF((AJ$3-$D38+1)*VLOOKUP($A38,presupuesto!$B:$Q,16,FALSE)&gt;=VLOOKUP($A38,informe!$A:$J,9,FALSE),"cg","c"),"n")</f>
        <v>n</v>
      </c>
      <c r="AK38" s="196" t="str">
        <f>IF(AND(AK$3&gt;=$D38,AK$3&lt;=$E38),IF((AK$3-$D38+1)*VLOOKUP($A38,presupuesto!$B:$Q,16,FALSE)&gt;=VLOOKUP($A38,informe!$A:$J,9,FALSE),"cg","c"),"n")</f>
        <v>n</v>
      </c>
    </row>
    <row r="39" spans="1:37" s="1" customFormat="1" ht="15" customHeight="1" x14ac:dyDescent="0.25">
      <c r="A39" s="197">
        <f>presupuesto!B38</f>
        <v>21</v>
      </c>
      <c r="B39" s="182" t="str">
        <f>presupuesto!C38</f>
        <v xml:space="preserve">            Piezas especiales de Fierro Fundido</v>
      </c>
      <c r="C39" s="174" t="str">
        <f>presupuesto!G38</f>
        <v>30 días</v>
      </c>
      <c r="D39" s="177">
        <f>presupuesto!N38</f>
        <v>45726</v>
      </c>
      <c r="E39" s="177">
        <f>presupuesto!O38</f>
        <v>45755</v>
      </c>
      <c r="F39" s="194" t="str">
        <f>IF(AK39="n",CONCATENATE(" - "),IF(AK39="cg",CONCATENATE(" - "),CONCATENATE(ROUND(IFERROR(VLOOKUP(A39,informe!A:J,9,FALSE)/VLOOKUP(A39,informe!A:J,5,FALSE),0)*100,2),"% ")))</f>
        <v xml:space="preserve"> - </v>
      </c>
      <c r="G39" s="195" t="str">
        <f>IF(AND(G$3&gt;=$D39,G$3&lt;=$E39),IF((G$3-$D39+1)*VLOOKUP($A39,presupuesto!$B:$Q,16,FALSE)&gt;=VLOOKUP($A39,informe!$A:$J,9,FALSE),"cg","c"),"n")</f>
        <v>n</v>
      </c>
      <c r="H39" s="195" t="str">
        <f>IF(AND(H$3&gt;=$D39,H$3&lt;=$E39),IF((H$3-$D39+1)*VLOOKUP($A39,presupuesto!$B:$Q,16,FALSE)&gt;=VLOOKUP($A39,informe!$A:$J,9,FALSE),"cg","c"),"n")</f>
        <v>n</v>
      </c>
      <c r="I39" s="195" t="str">
        <f>IF(AND(I$3&gt;=$D39,I$3&lt;=$E39),IF((I$3-$D39+1)*VLOOKUP($A39,presupuesto!$B:$Q,16,FALSE)&gt;=VLOOKUP($A39,informe!$A:$J,9,FALSE),"cg","c"),"n")</f>
        <v>n</v>
      </c>
      <c r="J39" s="195" t="str">
        <f>IF(AND(J$3&gt;=$D39,J$3&lt;=$E39),IF((J$3-$D39+1)*VLOOKUP($A39,presupuesto!$B:$Q,16,FALSE)&gt;=VLOOKUP($A39,informe!$A:$J,9,FALSE),"cg","c"),"n")</f>
        <v>n</v>
      </c>
      <c r="K39" s="195" t="str">
        <f>IF(AND(K$3&gt;=$D39,K$3&lt;=$E39),IF((K$3-$D39+1)*VLOOKUP($A39,presupuesto!$B:$Q,16,FALSE)&gt;=VLOOKUP($A39,informe!$A:$J,9,FALSE),"cg","c"),"n")</f>
        <v>n</v>
      </c>
      <c r="L39" s="195" t="str">
        <f>IF(AND(L$3&gt;=$D39,L$3&lt;=$E39),IF((L$3-$D39+1)*VLOOKUP($A39,presupuesto!$B:$Q,16,FALSE)&gt;=VLOOKUP($A39,informe!$A:$J,9,FALSE),"cg","c"),"n")</f>
        <v>n</v>
      </c>
      <c r="M39" s="195" t="str">
        <f>IF(AND(M$3&gt;=$D39,M$3&lt;=$E39),IF((M$3-$D39+1)*VLOOKUP($A39,presupuesto!$B:$Q,16,FALSE)&gt;=VLOOKUP($A39,informe!$A:$J,9,FALSE),"cg","c"),"n")</f>
        <v>n</v>
      </c>
      <c r="N39" s="195" t="str">
        <f>IF(AND(N$3&gt;=$D39,N$3&lt;=$E39),IF((N$3-$D39+1)*VLOOKUP($A39,presupuesto!$B:$Q,16,FALSE)&gt;=VLOOKUP($A39,informe!$A:$J,9,FALSE),"cg","c"),"n")</f>
        <v>n</v>
      </c>
      <c r="O39" s="195" t="str">
        <f>IF(AND(O$3&gt;=$D39,O$3&lt;=$E39),IF((O$3-$D39+1)*VLOOKUP($A39,presupuesto!$B:$Q,16,FALSE)&gt;=VLOOKUP($A39,informe!$A:$J,9,FALSE),"cg","c"),"n")</f>
        <v>n</v>
      </c>
      <c r="P39" s="195" t="str">
        <f>IF(AND(P$3&gt;=$D39,P$3&lt;=$E39),IF((P$3-$D39+1)*VLOOKUP($A39,presupuesto!$B:$Q,16,FALSE)&gt;=VLOOKUP($A39,informe!$A:$J,9,FALSE),"cg","c"),"n")</f>
        <v>n</v>
      </c>
      <c r="Q39" s="195" t="str">
        <f>IF(AND(Q$3&gt;=$D39,Q$3&lt;=$E39),IF((Q$3-$D39+1)*VLOOKUP($A39,presupuesto!$B:$Q,16,FALSE)&gt;=VLOOKUP($A39,informe!$A:$J,9,FALSE),"cg","c"),"n")</f>
        <v>n</v>
      </c>
      <c r="R39" s="195" t="str">
        <f>IF(AND(R$3&gt;=$D39,R$3&lt;=$E39),IF((R$3-$D39+1)*VLOOKUP($A39,presupuesto!$B:$Q,16,FALSE)&gt;=VLOOKUP($A39,informe!$A:$J,9,FALSE),"cg","c"),"n")</f>
        <v>n</v>
      </c>
      <c r="S39" s="195" t="str">
        <f>IF(AND(S$3&gt;=$D39,S$3&lt;=$E39),IF((S$3-$D39+1)*VLOOKUP($A39,presupuesto!$B:$Q,16,FALSE)&gt;=VLOOKUP($A39,informe!$A:$J,9,FALSE),"cg","c"),"n")</f>
        <v>n</v>
      </c>
      <c r="T39" s="195" t="str">
        <f>IF(AND(T$3&gt;=$D39,T$3&lt;=$E39),IF((T$3-$D39+1)*VLOOKUP($A39,presupuesto!$B:$Q,16,FALSE)&gt;=VLOOKUP($A39,informe!$A:$J,9,FALSE),"cg","c"),"n")</f>
        <v>n</v>
      </c>
      <c r="U39" s="195" t="str">
        <f>IF(AND(U$3&gt;=$D39,U$3&lt;=$E39),IF((U$3-$D39+1)*VLOOKUP($A39,presupuesto!$B:$Q,16,FALSE)&gt;=VLOOKUP($A39,informe!$A:$J,9,FALSE),"cg","c"),"n")</f>
        <v>n</v>
      </c>
      <c r="V39" s="195" t="str">
        <f>IF(AND(V$3&gt;=$D39,V$3&lt;=$E39),IF((V$3-$D39+1)*VLOOKUP($A39,presupuesto!$B:$Q,16,FALSE)&gt;=VLOOKUP($A39,informe!$A:$J,9,FALSE),"cg","c"),"n")</f>
        <v>n</v>
      </c>
      <c r="W39" s="195" t="str">
        <f>IF(AND(W$3&gt;=$D39,W$3&lt;=$E39),IF((W$3-$D39+1)*VLOOKUP($A39,presupuesto!$B:$Q,16,FALSE)&gt;=VLOOKUP($A39,informe!$A:$J,9,FALSE),"cg","c"),"n")</f>
        <v>n</v>
      </c>
      <c r="X39" s="195" t="str">
        <f>IF(AND(X$3&gt;=$D39,X$3&lt;=$E39),IF((X$3-$D39+1)*VLOOKUP($A39,presupuesto!$B:$Q,16,FALSE)&gt;=VLOOKUP($A39,informe!$A:$J,9,FALSE),"cg","c"),"n")</f>
        <v>n</v>
      </c>
      <c r="Y39" s="195" t="str">
        <f>IF(AND(Y$3&gt;=$D39,Y$3&lt;=$E39),IF((Y$3-$D39+1)*VLOOKUP($A39,presupuesto!$B:$Q,16,FALSE)&gt;=VLOOKUP($A39,informe!$A:$J,9,FALSE),"cg","c"),"n")</f>
        <v>n</v>
      </c>
      <c r="Z39" s="195" t="str">
        <f>IF(AND(Z$3&gt;=$D39,Z$3&lt;=$E39),IF((Z$3-$D39+1)*VLOOKUP($A39,presupuesto!$B:$Q,16,FALSE)&gt;=VLOOKUP($A39,informe!$A:$J,9,FALSE),"cg","c"),"n")</f>
        <v>n</v>
      </c>
      <c r="AA39" s="195" t="str">
        <f>IF(AND(AA$3&gt;=$D39,AA$3&lt;=$E39),IF((AA$3-$D39+1)*VLOOKUP($A39,presupuesto!$B:$Q,16,FALSE)&gt;=VLOOKUP($A39,informe!$A:$J,9,FALSE),"cg","c"),"n")</f>
        <v>n</v>
      </c>
      <c r="AB39" s="195" t="str">
        <f>IF(AND(AB$3&gt;=$D39,AB$3&lt;=$E39),IF((AB$3-$D39+1)*VLOOKUP($A39,presupuesto!$B:$Q,16,FALSE)&gt;=VLOOKUP($A39,informe!$A:$J,9,FALSE),"cg","c"),"n")</f>
        <v>n</v>
      </c>
      <c r="AC39" s="195" t="str">
        <f>IF(AND(AC$3&gt;=$D39,AC$3&lt;=$E39),IF((AC$3-$D39+1)*VLOOKUP($A39,presupuesto!$B:$Q,16,FALSE)&gt;=VLOOKUP($A39,informe!$A:$J,9,FALSE),"cg","c"),"n")</f>
        <v>n</v>
      </c>
      <c r="AD39" s="195" t="str">
        <f>IF(AND(AD$3&gt;=$D39,AD$3&lt;=$E39),IF((AD$3-$D39+1)*VLOOKUP($A39,presupuesto!$B:$Q,16,FALSE)&gt;=VLOOKUP($A39,informe!$A:$J,9,FALSE),"cg","c"),"n")</f>
        <v>n</v>
      </c>
      <c r="AE39" s="195" t="str">
        <f>IF(AND(AE$3&gt;=$D39,AE$3&lt;=$E39),IF((AE$3-$D39+1)*VLOOKUP($A39,presupuesto!$B:$Q,16,FALSE)&gt;=VLOOKUP($A39,informe!$A:$J,9,FALSE),"cg","c"),"n")</f>
        <v>n</v>
      </c>
      <c r="AF39" s="195" t="str">
        <f>IF(AND(AF$3&gt;=$D39,AF$3&lt;=$E39),IF((AF$3-$D39+1)*VLOOKUP($A39,presupuesto!$B:$Q,16,FALSE)&gt;=VLOOKUP($A39,informe!$A:$J,9,FALSE),"cg","c"),"n")</f>
        <v>n</v>
      </c>
      <c r="AG39" s="195" t="str">
        <f>IF(AND(AG$3&gt;=$D39,AG$3&lt;=$E39),IF((AG$3-$D39+1)*VLOOKUP($A39,presupuesto!$B:$Q,16,FALSE)&gt;=VLOOKUP($A39,informe!$A:$J,9,FALSE),"cg","c"),"n")</f>
        <v>n</v>
      </c>
      <c r="AH39" s="195" t="str">
        <f>IF(AND(AH$3&gt;=$D39,AH$3&lt;=$E39),IF((AH$3-$D39+1)*VLOOKUP($A39,presupuesto!$B:$Q,16,FALSE)&gt;=VLOOKUP($A39,informe!$A:$J,9,FALSE),"cg","c"),"n")</f>
        <v>n</v>
      </c>
      <c r="AI39" s="195" t="str">
        <f>IF(AND(AI$3&gt;=$D39,AI$3&lt;=$E39),IF((AI$3-$D39+1)*VLOOKUP($A39,presupuesto!$B:$Q,16,FALSE)&gt;=VLOOKUP($A39,informe!$A:$J,9,FALSE),"cg","c"),"n")</f>
        <v>n</v>
      </c>
      <c r="AJ39" s="195" t="str">
        <f>IF(AND(AJ$3&gt;=$D39,AJ$3&lt;=$E39),IF((AJ$3-$D39+1)*VLOOKUP($A39,presupuesto!$B:$Q,16,FALSE)&gt;=VLOOKUP($A39,informe!$A:$J,9,FALSE),"cg","c"),"n")</f>
        <v>n</v>
      </c>
      <c r="AK39" s="196" t="str">
        <f>IF(AND(AK$3&gt;=$D39,AK$3&lt;=$E39),IF((AK$3-$D39+1)*VLOOKUP($A39,presupuesto!$B:$Q,16,FALSE)&gt;=VLOOKUP($A39,informe!$A:$J,9,FALSE),"cg","c"),"n")</f>
        <v>n</v>
      </c>
    </row>
    <row r="40" spans="1:37" s="1" customFormat="1" ht="15" customHeight="1" x14ac:dyDescent="0.25">
      <c r="A40" s="193">
        <f>presupuesto!B39</f>
        <v>22</v>
      </c>
      <c r="B40" s="182" t="str">
        <f>presupuesto!C39</f>
        <v xml:space="preserve">            Piezas especiales de Acero</v>
      </c>
      <c r="C40" s="173" t="str">
        <f>presupuesto!G39</f>
        <v>7 días</v>
      </c>
      <c r="D40" s="176">
        <f>presupuesto!N39</f>
        <v>45726</v>
      </c>
      <c r="E40" s="176">
        <f>presupuesto!O39</f>
        <v>45732</v>
      </c>
      <c r="F40" s="194" t="str">
        <f>IF(AK40="n",CONCATENATE(" - "),IF(AK40="cg",CONCATENATE(" - "),CONCATENATE(ROUND(IFERROR(VLOOKUP(A40,informe!A:J,9,FALSE)/VLOOKUP(A40,informe!A:J,5,FALSE),0)*100,2),"% ")))</f>
        <v xml:space="preserve"> - </v>
      </c>
      <c r="G40" s="195" t="str">
        <f>IF(AND(G$3&gt;=$D40,G$3&lt;=$E40),IF((G$3-$D40+1)*VLOOKUP($A40,presupuesto!$B:$Q,16,FALSE)&gt;=VLOOKUP($A40,informe!$A:$J,9,FALSE),"cg","c"),"n")</f>
        <v>n</v>
      </c>
      <c r="H40" s="195" t="str">
        <f>IF(AND(H$3&gt;=$D40,H$3&lt;=$E40),IF((H$3-$D40+1)*VLOOKUP($A40,presupuesto!$B:$Q,16,FALSE)&gt;=VLOOKUP($A40,informe!$A:$J,9,FALSE),"cg","c"),"n")</f>
        <v>n</v>
      </c>
      <c r="I40" s="195" t="str">
        <f>IF(AND(I$3&gt;=$D40,I$3&lt;=$E40),IF((I$3-$D40+1)*VLOOKUP($A40,presupuesto!$B:$Q,16,FALSE)&gt;=VLOOKUP($A40,informe!$A:$J,9,FALSE),"cg","c"),"n")</f>
        <v>n</v>
      </c>
      <c r="J40" s="195" t="str">
        <f>IF(AND(J$3&gt;=$D40,J$3&lt;=$E40),IF((J$3-$D40+1)*VLOOKUP($A40,presupuesto!$B:$Q,16,FALSE)&gt;=VLOOKUP($A40,informe!$A:$J,9,FALSE),"cg","c"),"n")</f>
        <v>n</v>
      </c>
      <c r="K40" s="195" t="str">
        <f>IF(AND(K$3&gt;=$D40,K$3&lt;=$E40),IF((K$3-$D40+1)*VLOOKUP($A40,presupuesto!$B:$Q,16,FALSE)&gt;=VLOOKUP($A40,informe!$A:$J,9,FALSE),"cg","c"),"n")</f>
        <v>n</v>
      </c>
      <c r="L40" s="195" t="str">
        <f>IF(AND(L$3&gt;=$D40,L$3&lt;=$E40),IF((L$3-$D40+1)*VLOOKUP($A40,presupuesto!$B:$Q,16,FALSE)&gt;=VLOOKUP($A40,informe!$A:$J,9,FALSE),"cg","c"),"n")</f>
        <v>n</v>
      </c>
      <c r="M40" s="195" t="str">
        <f>IF(AND(M$3&gt;=$D40,M$3&lt;=$E40),IF((M$3-$D40+1)*VLOOKUP($A40,presupuesto!$B:$Q,16,FALSE)&gt;=VLOOKUP($A40,informe!$A:$J,9,FALSE),"cg","c"),"n")</f>
        <v>n</v>
      </c>
      <c r="N40" s="195" t="str">
        <f>IF(AND(N$3&gt;=$D40,N$3&lt;=$E40),IF((N$3-$D40+1)*VLOOKUP($A40,presupuesto!$B:$Q,16,FALSE)&gt;=VLOOKUP($A40,informe!$A:$J,9,FALSE),"cg","c"),"n")</f>
        <v>n</v>
      </c>
      <c r="O40" s="195" t="str">
        <f>IF(AND(O$3&gt;=$D40,O$3&lt;=$E40),IF((O$3-$D40+1)*VLOOKUP($A40,presupuesto!$B:$Q,16,FALSE)&gt;=VLOOKUP($A40,informe!$A:$J,9,FALSE),"cg","c"),"n")</f>
        <v>n</v>
      </c>
      <c r="P40" s="195" t="str">
        <f>IF(AND(P$3&gt;=$D40,P$3&lt;=$E40),IF((P$3-$D40+1)*VLOOKUP($A40,presupuesto!$B:$Q,16,FALSE)&gt;=VLOOKUP($A40,informe!$A:$J,9,FALSE),"cg","c"),"n")</f>
        <v>n</v>
      </c>
      <c r="Q40" s="195" t="str">
        <f>IF(AND(Q$3&gt;=$D40,Q$3&lt;=$E40),IF((Q$3-$D40+1)*VLOOKUP($A40,presupuesto!$B:$Q,16,FALSE)&gt;=VLOOKUP($A40,informe!$A:$J,9,FALSE),"cg","c"),"n")</f>
        <v>n</v>
      </c>
      <c r="R40" s="195" t="str">
        <f>IF(AND(R$3&gt;=$D40,R$3&lt;=$E40),IF((R$3-$D40+1)*VLOOKUP($A40,presupuesto!$B:$Q,16,FALSE)&gt;=VLOOKUP($A40,informe!$A:$J,9,FALSE),"cg","c"),"n")</f>
        <v>n</v>
      </c>
      <c r="S40" s="195" t="str">
        <f>IF(AND(S$3&gt;=$D40,S$3&lt;=$E40),IF((S$3-$D40+1)*VLOOKUP($A40,presupuesto!$B:$Q,16,FALSE)&gt;=VLOOKUP($A40,informe!$A:$J,9,FALSE),"cg","c"),"n")</f>
        <v>n</v>
      </c>
      <c r="T40" s="195" t="str">
        <f>IF(AND(T$3&gt;=$D40,T$3&lt;=$E40),IF((T$3-$D40+1)*VLOOKUP($A40,presupuesto!$B:$Q,16,FALSE)&gt;=VLOOKUP($A40,informe!$A:$J,9,FALSE),"cg","c"),"n")</f>
        <v>n</v>
      </c>
      <c r="U40" s="195" t="str">
        <f>IF(AND(U$3&gt;=$D40,U$3&lt;=$E40),IF((U$3-$D40+1)*VLOOKUP($A40,presupuesto!$B:$Q,16,FALSE)&gt;=VLOOKUP($A40,informe!$A:$J,9,FALSE),"cg","c"),"n")</f>
        <v>n</v>
      </c>
      <c r="V40" s="195" t="str">
        <f>IF(AND(V$3&gt;=$D40,V$3&lt;=$E40),IF((V$3-$D40+1)*VLOOKUP($A40,presupuesto!$B:$Q,16,FALSE)&gt;=VLOOKUP($A40,informe!$A:$J,9,FALSE),"cg","c"),"n")</f>
        <v>n</v>
      </c>
      <c r="W40" s="195" t="str">
        <f>IF(AND(W$3&gt;=$D40,W$3&lt;=$E40),IF((W$3-$D40+1)*VLOOKUP($A40,presupuesto!$B:$Q,16,FALSE)&gt;=VLOOKUP($A40,informe!$A:$J,9,FALSE),"cg","c"),"n")</f>
        <v>n</v>
      </c>
      <c r="X40" s="195" t="str">
        <f>IF(AND(X$3&gt;=$D40,X$3&lt;=$E40),IF((X$3-$D40+1)*VLOOKUP($A40,presupuesto!$B:$Q,16,FALSE)&gt;=VLOOKUP($A40,informe!$A:$J,9,FALSE),"cg","c"),"n")</f>
        <v>n</v>
      </c>
      <c r="Y40" s="195" t="str">
        <f>IF(AND(Y$3&gt;=$D40,Y$3&lt;=$E40),IF((Y$3-$D40+1)*VLOOKUP($A40,presupuesto!$B:$Q,16,FALSE)&gt;=VLOOKUP($A40,informe!$A:$J,9,FALSE),"cg","c"),"n")</f>
        <v>n</v>
      </c>
      <c r="Z40" s="195" t="str">
        <f>IF(AND(Z$3&gt;=$D40,Z$3&lt;=$E40),IF((Z$3-$D40+1)*VLOOKUP($A40,presupuesto!$B:$Q,16,FALSE)&gt;=VLOOKUP($A40,informe!$A:$J,9,FALSE),"cg","c"),"n")</f>
        <v>n</v>
      </c>
      <c r="AA40" s="195" t="str">
        <f>IF(AND(AA$3&gt;=$D40,AA$3&lt;=$E40),IF((AA$3-$D40+1)*VLOOKUP($A40,presupuesto!$B:$Q,16,FALSE)&gt;=VLOOKUP($A40,informe!$A:$J,9,FALSE),"cg","c"),"n")</f>
        <v>n</v>
      </c>
      <c r="AB40" s="195" t="str">
        <f>IF(AND(AB$3&gt;=$D40,AB$3&lt;=$E40),IF((AB$3-$D40+1)*VLOOKUP($A40,presupuesto!$B:$Q,16,FALSE)&gt;=VLOOKUP($A40,informe!$A:$J,9,FALSE),"cg","c"),"n")</f>
        <v>n</v>
      </c>
      <c r="AC40" s="195" t="str">
        <f>IF(AND(AC$3&gt;=$D40,AC$3&lt;=$E40),IF((AC$3-$D40+1)*VLOOKUP($A40,presupuesto!$B:$Q,16,FALSE)&gt;=VLOOKUP($A40,informe!$A:$J,9,FALSE),"cg","c"),"n")</f>
        <v>n</v>
      </c>
      <c r="AD40" s="195" t="str">
        <f>IF(AND(AD$3&gt;=$D40,AD$3&lt;=$E40),IF((AD$3-$D40+1)*VLOOKUP($A40,presupuesto!$B:$Q,16,FALSE)&gt;=VLOOKUP($A40,informe!$A:$J,9,FALSE),"cg","c"),"n")</f>
        <v>n</v>
      </c>
      <c r="AE40" s="195" t="str">
        <f>IF(AND(AE$3&gt;=$D40,AE$3&lt;=$E40),IF((AE$3-$D40+1)*VLOOKUP($A40,presupuesto!$B:$Q,16,FALSE)&gt;=VLOOKUP($A40,informe!$A:$J,9,FALSE),"cg","c"),"n")</f>
        <v>n</v>
      </c>
      <c r="AF40" s="195" t="str">
        <f>IF(AND(AF$3&gt;=$D40,AF$3&lt;=$E40),IF((AF$3-$D40+1)*VLOOKUP($A40,presupuesto!$B:$Q,16,FALSE)&gt;=VLOOKUP($A40,informe!$A:$J,9,FALSE),"cg","c"),"n")</f>
        <v>n</v>
      </c>
      <c r="AG40" s="195" t="str">
        <f>IF(AND(AG$3&gt;=$D40,AG$3&lt;=$E40),IF((AG$3-$D40+1)*VLOOKUP($A40,presupuesto!$B:$Q,16,FALSE)&gt;=VLOOKUP($A40,informe!$A:$J,9,FALSE),"cg","c"),"n")</f>
        <v>n</v>
      </c>
      <c r="AH40" s="195" t="str">
        <f>IF(AND(AH$3&gt;=$D40,AH$3&lt;=$E40),IF((AH$3-$D40+1)*VLOOKUP($A40,presupuesto!$B:$Q,16,FALSE)&gt;=VLOOKUP($A40,informe!$A:$J,9,FALSE),"cg","c"),"n")</f>
        <v>n</v>
      </c>
      <c r="AI40" s="195" t="str">
        <f>IF(AND(AI$3&gt;=$D40,AI$3&lt;=$E40),IF((AI$3-$D40+1)*VLOOKUP($A40,presupuesto!$B:$Q,16,FALSE)&gt;=VLOOKUP($A40,informe!$A:$J,9,FALSE),"cg","c"),"n")</f>
        <v>n</v>
      </c>
      <c r="AJ40" s="195" t="str">
        <f>IF(AND(AJ$3&gt;=$D40,AJ$3&lt;=$E40),IF((AJ$3-$D40+1)*VLOOKUP($A40,presupuesto!$B:$Q,16,FALSE)&gt;=VLOOKUP($A40,informe!$A:$J,9,FALSE),"cg","c"),"n")</f>
        <v>n</v>
      </c>
      <c r="AK40" s="196" t="str">
        <f>IF(AND(AK$3&gt;=$D40,AK$3&lt;=$E40),IF((AK$3-$D40+1)*VLOOKUP($A40,presupuesto!$B:$Q,16,FALSE)&gt;=VLOOKUP($A40,informe!$A:$J,9,FALSE),"cg","c"),"n")</f>
        <v>n</v>
      </c>
    </row>
    <row r="41" spans="1:37" s="1" customFormat="1" ht="15" customHeight="1" x14ac:dyDescent="0.25">
      <c r="A41" s="197">
        <f>presupuesto!B40</f>
        <v>23</v>
      </c>
      <c r="B41" s="182" t="str">
        <f>presupuesto!C40</f>
        <v xml:space="preserve">            Piezas especiales con mecanismo</v>
      </c>
      <c r="C41" s="174" t="str">
        <f>presupuesto!G40</f>
        <v>5 días</v>
      </c>
      <c r="D41" s="177">
        <f>presupuesto!N40</f>
        <v>45751</v>
      </c>
      <c r="E41" s="177">
        <f>presupuesto!O40</f>
        <v>45755</v>
      </c>
      <c r="F41" s="194" t="str">
        <f>IF(AK41="n",CONCATENATE(" - "),IF(AK41="cg",CONCATENATE(" - "),CONCATENATE(ROUND(IFERROR(VLOOKUP(A41,informe!A:J,9,FALSE)/VLOOKUP(A41,informe!A:J,5,FALSE),0)*100,2),"% ")))</f>
        <v xml:space="preserve"> - </v>
      </c>
      <c r="G41" s="195" t="str">
        <f>IF(AND(G$3&gt;=$D41,G$3&lt;=$E41),IF((G$3-$D41+1)*VLOOKUP($A41,presupuesto!$B:$Q,16,FALSE)&gt;=VLOOKUP($A41,informe!$A:$J,9,FALSE),"cg","c"),"n")</f>
        <v>n</v>
      </c>
      <c r="H41" s="195" t="str">
        <f>IF(AND(H$3&gt;=$D41,H$3&lt;=$E41),IF((H$3-$D41+1)*VLOOKUP($A41,presupuesto!$B:$Q,16,FALSE)&gt;=VLOOKUP($A41,informe!$A:$J,9,FALSE),"cg","c"),"n")</f>
        <v>n</v>
      </c>
      <c r="I41" s="195" t="str">
        <f>IF(AND(I$3&gt;=$D41,I$3&lt;=$E41),IF((I$3-$D41+1)*VLOOKUP($A41,presupuesto!$B:$Q,16,FALSE)&gt;=VLOOKUP($A41,informe!$A:$J,9,FALSE),"cg","c"),"n")</f>
        <v>n</v>
      </c>
      <c r="J41" s="195" t="str">
        <f>IF(AND(J$3&gt;=$D41,J$3&lt;=$E41),IF((J$3-$D41+1)*VLOOKUP($A41,presupuesto!$B:$Q,16,FALSE)&gt;=VLOOKUP($A41,informe!$A:$J,9,FALSE),"cg","c"),"n")</f>
        <v>n</v>
      </c>
      <c r="K41" s="195" t="str">
        <f>IF(AND(K$3&gt;=$D41,K$3&lt;=$E41),IF((K$3-$D41+1)*VLOOKUP($A41,presupuesto!$B:$Q,16,FALSE)&gt;=VLOOKUP($A41,informe!$A:$J,9,FALSE),"cg","c"),"n")</f>
        <v>n</v>
      </c>
      <c r="L41" s="195" t="str">
        <f>IF(AND(L$3&gt;=$D41,L$3&lt;=$E41),IF((L$3-$D41+1)*VLOOKUP($A41,presupuesto!$B:$Q,16,FALSE)&gt;=VLOOKUP($A41,informe!$A:$J,9,FALSE),"cg","c"),"n")</f>
        <v>n</v>
      </c>
      <c r="M41" s="195" t="str">
        <f>IF(AND(M$3&gt;=$D41,M$3&lt;=$E41),IF((M$3-$D41+1)*VLOOKUP($A41,presupuesto!$B:$Q,16,FALSE)&gt;=VLOOKUP($A41,informe!$A:$J,9,FALSE),"cg","c"),"n")</f>
        <v>n</v>
      </c>
      <c r="N41" s="195" t="str">
        <f>IF(AND(N$3&gt;=$D41,N$3&lt;=$E41),IF((N$3-$D41+1)*VLOOKUP($A41,presupuesto!$B:$Q,16,FALSE)&gt;=VLOOKUP($A41,informe!$A:$J,9,FALSE),"cg","c"),"n")</f>
        <v>n</v>
      </c>
      <c r="O41" s="195" t="str">
        <f>IF(AND(O$3&gt;=$D41,O$3&lt;=$E41),IF((O$3-$D41+1)*VLOOKUP($A41,presupuesto!$B:$Q,16,FALSE)&gt;=VLOOKUP($A41,informe!$A:$J,9,FALSE),"cg","c"),"n")</f>
        <v>n</v>
      </c>
      <c r="P41" s="195" t="str">
        <f>IF(AND(P$3&gt;=$D41,P$3&lt;=$E41),IF((P$3-$D41+1)*VLOOKUP($A41,presupuesto!$B:$Q,16,FALSE)&gt;=VLOOKUP($A41,informe!$A:$J,9,FALSE),"cg","c"),"n")</f>
        <v>n</v>
      </c>
      <c r="Q41" s="195" t="str">
        <f>IF(AND(Q$3&gt;=$D41,Q$3&lt;=$E41),IF((Q$3-$D41+1)*VLOOKUP($A41,presupuesto!$B:$Q,16,FALSE)&gt;=VLOOKUP($A41,informe!$A:$J,9,FALSE),"cg","c"),"n")</f>
        <v>n</v>
      </c>
      <c r="R41" s="195" t="str">
        <f>IF(AND(R$3&gt;=$D41,R$3&lt;=$E41),IF((R$3-$D41+1)*VLOOKUP($A41,presupuesto!$B:$Q,16,FALSE)&gt;=VLOOKUP($A41,informe!$A:$J,9,FALSE),"cg","c"),"n")</f>
        <v>n</v>
      </c>
      <c r="S41" s="195" t="str">
        <f>IF(AND(S$3&gt;=$D41,S$3&lt;=$E41),IF((S$3-$D41+1)*VLOOKUP($A41,presupuesto!$B:$Q,16,FALSE)&gt;=VLOOKUP($A41,informe!$A:$J,9,FALSE),"cg","c"),"n")</f>
        <v>n</v>
      </c>
      <c r="T41" s="195" t="str">
        <f>IF(AND(T$3&gt;=$D41,T$3&lt;=$E41),IF((T$3-$D41+1)*VLOOKUP($A41,presupuesto!$B:$Q,16,FALSE)&gt;=VLOOKUP($A41,informe!$A:$J,9,FALSE),"cg","c"),"n")</f>
        <v>n</v>
      </c>
      <c r="U41" s="195" t="str">
        <f>IF(AND(U$3&gt;=$D41,U$3&lt;=$E41),IF((U$3-$D41+1)*VLOOKUP($A41,presupuesto!$B:$Q,16,FALSE)&gt;=VLOOKUP($A41,informe!$A:$J,9,FALSE),"cg","c"),"n")</f>
        <v>n</v>
      </c>
      <c r="V41" s="195" t="str">
        <f>IF(AND(V$3&gt;=$D41,V$3&lt;=$E41),IF((V$3-$D41+1)*VLOOKUP($A41,presupuesto!$B:$Q,16,FALSE)&gt;=VLOOKUP($A41,informe!$A:$J,9,FALSE),"cg","c"),"n")</f>
        <v>n</v>
      </c>
      <c r="W41" s="195" t="str">
        <f>IF(AND(W$3&gt;=$D41,W$3&lt;=$E41),IF((W$3-$D41+1)*VLOOKUP($A41,presupuesto!$B:$Q,16,FALSE)&gt;=VLOOKUP($A41,informe!$A:$J,9,FALSE),"cg","c"),"n")</f>
        <v>n</v>
      </c>
      <c r="X41" s="195" t="str">
        <f>IF(AND(X$3&gt;=$D41,X$3&lt;=$E41),IF((X$3-$D41+1)*VLOOKUP($A41,presupuesto!$B:$Q,16,FALSE)&gt;=VLOOKUP($A41,informe!$A:$J,9,FALSE),"cg","c"),"n")</f>
        <v>n</v>
      </c>
      <c r="Y41" s="195" t="str">
        <f>IF(AND(Y$3&gt;=$D41,Y$3&lt;=$E41),IF((Y$3-$D41+1)*VLOOKUP($A41,presupuesto!$B:$Q,16,FALSE)&gt;=VLOOKUP($A41,informe!$A:$J,9,FALSE),"cg","c"),"n")</f>
        <v>n</v>
      </c>
      <c r="Z41" s="195" t="str">
        <f>IF(AND(Z$3&gt;=$D41,Z$3&lt;=$E41),IF((Z$3-$D41+1)*VLOOKUP($A41,presupuesto!$B:$Q,16,FALSE)&gt;=VLOOKUP($A41,informe!$A:$J,9,FALSE),"cg","c"),"n")</f>
        <v>n</v>
      </c>
      <c r="AA41" s="195" t="str">
        <f>IF(AND(AA$3&gt;=$D41,AA$3&lt;=$E41),IF((AA$3-$D41+1)*VLOOKUP($A41,presupuesto!$B:$Q,16,FALSE)&gt;=VLOOKUP($A41,informe!$A:$J,9,FALSE),"cg","c"),"n")</f>
        <v>n</v>
      </c>
      <c r="AB41" s="195" t="str">
        <f>IF(AND(AB$3&gt;=$D41,AB$3&lt;=$E41),IF((AB$3-$D41+1)*VLOOKUP($A41,presupuesto!$B:$Q,16,FALSE)&gt;=VLOOKUP($A41,informe!$A:$J,9,FALSE),"cg","c"),"n")</f>
        <v>n</v>
      </c>
      <c r="AC41" s="195" t="str">
        <f>IF(AND(AC$3&gt;=$D41,AC$3&lt;=$E41),IF((AC$3-$D41+1)*VLOOKUP($A41,presupuesto!$B:$Q,16,FALSE)&gt;=VLOOKUP($A41,informe!$A:$J,9,FALSE),"cg","c"),"n")</f>
        <v>n</v>
      </c>
      <c r="AD41" s="195" t="str">
        <f>IF(AND(AD$3&gt;=$D41,AD$3&lt;=$E41),IF((AD$3-$D41+1)*VLOOKUP($A41,presupuesto!$B:$Q,16,FALSE)&gt;=VLOOKUP($A41,informe!$A:$J,9,FALSE),"cg","c"),"n")</f>
        <v>n</v>
      </c>
      <c r="AE41" s="195" t="str">
        <f>IF(AND(AE$3&gt;=$D41,AE$3&lt;=$E41),IF((AE$3-$D41+1)*VLOOKUP($A41,presupuesto!$B:$Q,16,FALSE)&gt;=VLOOKUP($A41,informe!$A:$J,9,FALSE),"cg","c"),"n")</f>
        <v>n</v>
      </c>
      <c r="AF41" s="195" t="str">
        <f>IF(AND(AF$3&gt;=$D41,AF$3&lt;=$E41),IF((AF$3-$D41+1)*VLOOKUP($A41,presupuesto!$B:$Q,16,FALSE)&gt;=VLOOKUP($A41,informe!$A:$J,9,FALSE),"cg","c"),"n")</f>
        <v>n</v>
      </c>
      <c r="AG41" s="195" t="str">
        <f>IF(AND(AG$3&gt;=$D41,AG$3&lt;=$E41),IF((AG$3-$D41+1)*VLOOKUP($A41,presupuesto!$B:$Q,16,FALSE)&gt;=VLOOKUP($A41,informe!$A:$J,9,FALSE),"cg","c"),"n")</f>
        <v>n</v>
      </c>
      <c r="AH41" s="195" t="str">
        <f>IF(AND(AH$3&gt;=$D41,AH$3&lt;=$E41),IF((AH$3-$D41+1)*VLOOKUP($A41,presupuesto!$B:$Q,16,FALSE)&gt;=VLOOKUP($A41,informe!$A:$J,9,FALSE),"cg","c"),"n")</f>
        <v>n</v>
      </c>
      <c r="AI41" s="195" t="str">
        <f>IF(AND(AI$3&gt;=$D41,AI$3&lt;=$E41),IF((AI$3-$D41+1)*VLOOKUP($A41,presupuesto!$B:$Q,16,FALSE)&gt;=VLOOKUP($A41,informe!$A:$J,9,FALSE),"cg","c"),"n")</f>
        <v>n</v>
      </c>
      <c r="AJ41" s="195" t="str">
        <f>IF(AND(AJ$3&gt;=$D41,AJ$3&lt;=$E41),IF((AJ$3-$D41+1)*VLOOKUP($A41,presupuesto!$B:$Q,16,FALSE)&gt;=VLOOKUP($A41,informe!$A:$J,9,FALSE),"cg","c"),"n")</f>
        <v>n</v>
      </c>
      <c r="AK41" s="196" t="str">
        <f>IF(AND(AK$3&gt;=$D41,AK$3&lt;=$E41),IF((AK$3-$D41+1)*VLOOKUP($A41,presupuesto!$B:$Q,16,FALSE)&gt;=VLOOKUP($A41,informe!$A:$J,9,FALSE),"cg","c"),"n")</f>
        <v>n</v>
      </c>
    </row>
    <row r="42" spans="1:37" s="1" customFormat="1" ht="15" customHeight="1" x14ac:dyDescent="0.3">
      <c r="A42" s="197" t="str">
        <f>presupuesto!B41</f>
        <v>B.4.-</v>
      </c>
      <c r="B42" s="181" t="str">
        <f>presupuesto!C41</f>
        <v xml:space="preserve">         Junturas</v>
      </c>
      <c r="C42" s="174" t="str">
        <f>presupuesto!G41</f>
        <v>17 días</v>
      </c>
      <c r="D42" s="177">
        <f>presupuesto!N41</f>
        <v>45739</v>
      </c>
      <c r="E42" s="177">
        <f>presupuesto!O41</f>
        <v>45755</v>
      </c>
      <c r="F42" s="194" t="str">
        <f>IF(AK42="n",CONCATENATE(" - "),IF(AK42="cg",CONCATENATE(" - "),CONCATENATE(ROUND(IFERROR(VLOOKUP(A42,informe!A:J,9,FALSE)/VLOOKUP(A42,informe!A:J,5,FALSE),0)*100,2),"% ")))</f>
        <v xml:space="preserve"> - </v>
      </c>
      <c r="G42" s="195" t="str">
        <f>IF(AND(G$3&gt;=$D42,G$3&lt;=$E42),IF((G$3-$D42+1)*VLOOKUP($A42,presupuesto!$B:$Q,16,FALSE)&gt;=VLOOKUP($A42,informe!$A:$J,9,FALSE),"cg","c"),"n")</f>
        <v>n</v>
      </c>
      <c r="H42" s="195" t="str">
        <f>IF(AND(H$3&gt;=$D42,H$3&lt;=$E42),IF((H$3-$D42+1)*VLOOKUP($A42,presupuesto!$B:$Q,16,FALSE)&gt;=VLOOKUP($A42,informe!$A:$J,9,FALSE),"cg","c"),"n")</f>
        <v>n</v>
      </c>
      <c r="I42" s="195" t="str">
        <f>IF(AND(I$3&gt;=$D42,I$3&lt;=$E42),IF((I$3-$D42+1)*VLOOKUP($A42,presupuesto!$B:$Q,16,FALSE)&gt;=VLOOKUP($A42,informe!$A:$J,9,FALSE),"cg","c"),"n")</f>
        <v>n</v>
      </c>
      <c r="J42" s="195" t="str">
        <f>IF(AND(J$3&gt;=$D42,J$3&lt;=$E42),IF((J$3-$D42+1)*VLOOKUP($A42,presupuesto!$B:$Q,16,FALSE)&gt;=VLOOKUP($A42,informe!$A:$J,9,FALSE),"cg","c"),"n")</f>
        <v>n</v>
      </c>
      <c r="K42" s="195" t="str">
        <f>IF(AND(K$3&gt;=$D42,K$3&lt;=$E42),IF((K$3-$D42+1)*VLOOKUP($A42,presupuesto!$B:$Q,16,FALSE)&gt;=VLOOKUP($A42,informe!$A:$J,9,FALSE),"cg","c"),"n")</f>
        <v>n</v>
      </c>
      <c r="L42" s="195" t="str">
        <f>IF(AND(L$3&gt;=$D42,L$3&lt;=$E42),IF((L$3-$D42+1)*VLOOKUP($A42,presupuesto!$B:$Q,16,FALSE)&gt;=VLOOKUP($A42,informe!$A:$J,9,FALSE),"cg","c"),"n")</f>
        <v>n</v>
      </c>
      <c r="M42" s="195" t="str">
        <f>IF(AND(M$3&gt;=$D42,M$3&lt;=$E42),IF((M$3-$D42+1)*VLOOKUP($A42,presupuesto!$B:$Q,16,FALSE)&gt;=VLOOKUP($A42,informe!$A:$J,9,FALSE),"cg","c"),"n")</f>
        <v>n</v>
      </c>
      <c r="N42" s="195" t="str">
        <f>IF(AND(N$3&gt;=$D42,N$3&lt;=$E42),IF((N$3-$D42+1)*VLOOKUP($A42,presupuesto!$B:$Q,16,FALSE)&gt;=VLOOKUP($A42,informe!$A:$J,9,FALSE),"cg","c"),"n")</f>
        <v>n</v>
      </c>
      <c r="O42" s="195" t="str">
        <f>IF(AND(O$3&gt;=$D42,O$3&lt;=$E42),IF((O$3-$D42+1)*VLOOKUP($A42,presupuesto!$B:$Q,16,FALSE)&gt;=VLOOKUP($A42,informe!$A:$J,9,FALSE),"cg","c"),"n")</f>
        <v>n</v>
      </c>
      <c r="P42" s="195" t="str">
        <f>IF(AND(P$3&gt;=$D42,P$3&lt;=$E42),IF((P$3-$D42+1)*VLOOKUP($A42,presupuesto!$B:$Q,16,FALSE)&gt;=VLOOKUP($A42,informe!$A:$J,9,FALSE),"cg","c"),"n")</f>
        <v>n</v>
      </c>
      <c r="Q42" s="195" t="str">
        <f>IF(AND(Q$3&gt;=$D42,Q$3&lt;=$E42),IF((Q$3-$D42+1)*VLOOKUP($A42,presupuesto!$B:$Q,16,FALSE)&gt;=VLOOKUP($A42,informe!$A:$J,9,FALSE),"cg","c"),"n")</f>
        <v>n</v>
      </c>
      <c r="R42" s="195" t="str">
        <f>IF(AND(R$3&gt;=$D42,R$3&lt;=$E42),IF((R$3-$D42+1)*VLOOKUP($A42,presupuesto!$B:$Q,16,FALSE)&gt;=VLOOKUP($A42,informe!$A:$J,9,FALSE),"cg","c"),"n")</f>
        <v>n</v>
      </c>
      <c r="S42" s="195" t="str">
        <f>IF(AND(S$3&gt;=$D42,S$3&lt;=$E42),IF((S$3-$D42+1)*VLOOKUP($A42,presupuesto!$B:$Q,16,FALSE)&gt;=VLOOKUP($A42,informe!$A:$J,9,FALSE),"cg","c"),"n")</f>
        <v>n</v>
      </c>
      <c r="T42" s="195" t="str">
        <f>IF(AND(T$3&gt;=$D42,T$3&lt;=$E42),IF((T$3-$D42+1)*VLOOKUP($A42,presupuesto!$B:$Q,16,FALSE)&gt;=VLOOKUP($A42,informe!$A:$J,9,FALSE),"cg","c"),"n")</f>
        <v>n</v>
      </c>
      <c r="U42" s="195" t="str">
        <f>IF(AND(U$3&gt;=$D42,U$3&lt;=$E42),IF((U$3-$D42+1)*VLOOKUP($A42,presupuesto!$B:$Q,16,FALSE)&gt;=VLOOKUP($A42,informe!$A:$J,9,FALSE),"cg","c"),"n")</f>
        <v>n</v>
      </c>
      <c r="V42" s="195" t="str">
        <f>IF(AND(V$3&gt;=$D42,V$3&lt;=$E42),IF((V$3-$D42+1)*VLOOKUP($A42,presupuesto!$B:$Q,16,FALSE)&gt;=VLOOKUP($A42,informe!$A:$J,9,FALSE),"cg","c"),"n")</f>
        <v>n</v>
      </c>
      <c r="W42" s="195" t="str">
        <f>IF(AND(W$3&gt;=$D42,W$3&lt;=$E42),IF((W$3-$D42+1)*VLOOKUP($A42,presupuesto!$B:$Q,16,FALSE)&gt;=VLOOKUP($A42,informe!$A:$J,9,FALSE),"cg","c"),"n")</f>
        <v>n</v>
      </c>
      <c r="X42" s="195" t="str">
        <f>IF(AND(X$3&gt;=$D42,X$3&lt;=$E42),IF((X$3-$D42+1)*VLOOKUP($A42,presupuesto!$B:$Q,16,FALSE)&gt;=VLOOKUP($A42,informe!$A:$J,9,FALSE),"cg","c"),"n")</f>
        <v>n</v>
      </c>
      <c r="Y42" s="195" t="str">
        <f>IF(AND(Y$3&gt;=$D42,Y$3&lt;=$E42),IF((Y$3-$D42+1)*VLOOKUP($A42,presupuesto!$B:$Q,16,FALSE)&gt;=VLOOKUP($A42,informe!$A:$J,9,FALSE),"cg","c"),"n")</f>
        <v>n</v>
      </c>
      <c r="Z42" s="195" t="str">
        <f>IF(AND(Z$3&gt;=$D42,Z$3&lt;=$E42),IF((Z$3-$D42+1)*VLOOKUP($A42,presupuesto!$B:$Q,16,FALSE)&gt;=VLOOKUP($A42,informe!$A:$J,9,FALSE),"cg","c"),"n")</f>
        <v>n</v>
      </c>
      <c r="AA42" s="195" t="str">
        <f>IF(AND(AA$3&gt;=$D42,AA$3&lt;=$E42),IF((AA$3-$D42+1)*VLOOKUP($A42,presupuesto!$B:$Q,16,FALSE)&gt;=VLOOKUP($A42,informe!$A:$J,9,FALSE),"cg","c"),"n")</f>
        <v>n</v>
      </c>
      <c r="AB42" s="195" t="str">
        <f>IF(AND(AB$3&gt;=$D42,AB$3&lt;=$E42),IF((AB$3-$D42+1)*VLOOKUP($A42,presupuesto!$B:$Q,16,FALSE)&gt;=VLOOKUP($A42,informe!$A:$J,9,FALSE),"cg","c"),"n")</f>
        <v>n</v>
      </c>
      <c r="AC42" s="195" t="str">
        <f>IF(AND(AC$3&gt;=$D42,AC$3&lt;=$E42),IF((AC$3-$D42+1)*VLOOKUP($A42,presupuesto!$B:$Q,16,FALSE)&gt;=VLOOKUP($A42,informe!$A:$J,9,FALSE),"cg","c"),"n")</f>
        <v>n</v>
      </c>
      <c r="AD42" s="195" t="str">
        <f>IF(AND(AD$3&gt;=$D42,AD$3&lt;=$E42),IF((AD$3-$D42+1)*VLOOKUP($A42,presupuesto!$B:$Q,16,FALSE)&gt;=VLOOKUP($A42,informe!$A:$J,9,FALSE),"cg","c"),"n")</f>
        <v>n</v>
      </c>
      <c r="AE42" s="195" t="str">
        <f>IF(AND(AE$3&gt;=$D42,AE$3&lt;=$E42),IF((AE$3-$D42+1)*VLOOKUP($A42,presupuesto!$B:$Q,16,FALSE)&gt;=VLOOKUP($A42,informe!$A:$J,9,FALSE),"cg","c"),"n")</f>
        <v>n</v>
      </c>
      <c r="AF42" s="195" t="str">
        <f>IF(AND(AF$3&gt;=$D42,AF$3&lt;=$E42),IF((AF$3-$D42+1)*VLOOKUP($A42,presupuesto!$B:$Q,16,FALSE)&gt;=VLOOKUP($A42,informe!$A:$J,9,FALSE),"cg","c"),"n")</f>
        <v>n</v>
      </c>
      <c r="AG42" s="195" t="str">
        <f>IF(AND(AG$3&gt;=$D42,AG$3&lt;=$E42),IF((AG$3-$D42+1)*VLOOKUP($A42,presupuesto!$B:$Q,16,FALSE)&gt;=VLOOKUP($A42,informe!$A:$J,9,FALSE),"cg","c"),"n")</f>
        <v>n</v>
      </c>
      <c r="AH42" s="195" t="str">
        <f>IF(AND(AH$3&gt;=$D42,AH$3&lt;=$E42),IF((AH$3-$D42+1)*VLOOKUP($A42,presupuesto!$B:$Q,16,FALSE)&gt;=VLOOKUP($A42,informe!$A:$J,9,FALSE),"cg","c"),"n")</f>
        <v>n</v>
      </c>
      <c r="AI42" s="195" t="str">
        <f>IF(AND(AI$3&gt;=$D42,AI$3&lt;=$E42),IF((AI$3-$D42+1)*VLOOKUP($A42,presupuesto!$B:$Q,16,FALSE)&gt;=VLOOKUP($A42,informe!$A:$J,9,FALSE),"cg","c"),"n")</f>
        <v>n</v>
      </c>
      <c r="AJ42" s="195" t="str">
        <f>IF(AND(AJ$3&gt;=$D42,AJ$3&lt;=$E42),IF((AJ$3-$D42+1)*VLOOKUP($A42,presupuesto!$B:$Q,16,FALSE)&gt;=VLOOKUP($A42,informe!$A:$J,9,FALSE),"cg","c"),"n")</f>
        <v>n</v>
      </c>
      <c r="AK42" s="196" t="str">
        <f>IF(AND(AK$3&gt;=$D42,AK$3&lt;=$E42),IF((AK$3-$D42+1)*VLOOKUP($A42,presupuesto!$B:$Q,16,FALSE)&gt;=VLOOKUP($A42,informe!$A:$J,9,FALSE),"cg","c"),"n")</f>
        <v>n</v>
      </c>
    </row>
    <row r="43" spans="1:37" s="1" customFormat="1" ht="15" customHeight="1" x14ac:dyDescent="0.25">
      <c r="A43" s="197">
        <f>presupuesto!B42</f>
        <v>24</v>
      </c>
      <c r="B43" s="182" t="str">
        <f>presupuesto!C42</f>
        <v xml:space="preserve">            Termofusión 75 mm</v>
      </c>
      <c r="C43" s="174" t="str">
        <f>presupuesto!G42</f>
        <v>10 días</v>
      </c>
      <c r="D43" s="177">
        <f>presupuesto!N42</f>
        <v>45739</v>
      </c>
      <c r="E43" s="177">
        <f>presupuesto!O42</f>
        <v>45748</v>
      </c>
      <c r="F43" s="194" t="str">
        <f>IF(AK43="n",CONCATENATE(" - "),IF(AK43="cg",CONCATENATE(" - "),CONCATENATE(ROUND(IFERROR(VLOOKUP(A43,informe!A:J,9,FALSE)/VLOOKUP(A43,informe!A:J,5,FALSE),0)*100,2),"% ")))</f>
        <v xml:space="preserve"> - </v>
      </c>
      <c r="G43" s="195" t="str">
        <f>IF(AND(G$3&gt;=$D43,G$3&lt;=$E43),IF((G$3-$D43+1)*VLOOKUP($A43,presupuesto!$B:$Q,16,FALSE)&gt;=VLOOKUP($A43,informe!$A:$J,9,FALSE),"cg","c"),"n")</f>
        <v>n</v>
      </c>
      <c r="H43" s="195" t="str">
        <f>IF(AND(H$3&gt;=$D43,H$3&lt;=$E43),IF((H$3-$D43+1)*VLOOKUP($A43,presupuesto!$B:$Q,16,FALSE)&gt;=VLOOKUP($A43,informe!$A:$J,9,FALSE),"cg","c"),"n")</f>
        <v>n</v>
      </c>
      <c r="I43" s="195" t="str">
        <f>IF(AND(I$3&gt;=$D43,I$3&lt;=$E43),IF((I$3-$D43+1)*VLOOKUP($A43,presupuesto!$B:$Q,16,FALSE)&gt;=VLOOKUP($A43,informe!$A:$J,9,FALSE),"cg","c"),"n")</f>
        <v>n</v>
      </c>
      <c r="J43" s="195" t="str">
        <f>IF(AND(J$3&gt;=$D43,J$3&lt;=$E43),IF((J$3-$D43+1)*VLOOKUP($A43,presupuesto!$B:$Q,16,FALSE)&gt;=VLOOKUP($A43,informe!$A:$J,9,FALSE),"cg","c"),"n")</f>
        <v>n</v>
      </c>
      <c r="K43" s="195" t="str">
        <f>IF(AND(K$3&gt;=$D43,K$3&lt;=$E43),IF((K$3-$D43+1)*VLOOKUP($A43,presupuesto!$B:$Q,16,FALSE)&gt;=VLOOKUP($A43,informe!$A:$J,9,FALSE),"cg","c"),"n")</f>
        <v>n</v>
      </c>
      <c r="L43" s="195" t="str">
        <f>IF(AND(L$3&gt;=$D43,L$3&lt;=$E43),IF((L$3-$D43+1)*VLOOKUP($A43,presupuesto!$B:$Q,16,FALSE)&gt;=VLOOKUP($A43,informe!$A:$J,9,FALSE),"cg","c"),"n")</f>
        <v>n</v>
      </c>
      <c r="M43" s="195" t="str">
        <f>IF(AND(M$3&gt;=$D43,M$3&lt;=$E43),IF((M$3-$D43+1)*VLOOKUP($A43,presupuesto!$B:$Q,16,FALSE)&gt;=VLOOKUP($A43,informe!$A:$J,9,FALSE),"cg","c"),"n")</f>
        <v>n</v>
      </c>
      <c r="N43" s="195" t="str">
        <f>IF(AND(N$3&gt;=$D43,N$3&lt;=$E43),IF((N$3-$D43+1)*VLOOKUP($A43,presupuesto!$B:$Q,16,FALSE)&gt;=VLOOKUP($A43,informe!$A:$J,9,FALSE),"cg","c"),"n")</f>
        <v>n</v>
      </c>
      <c r="O43" s="195" t="str">
        <f>IF(AND(O$3&gt;=$D43,O$3&lt;=$E43),IF((O$3-$D43+1)*VLOOKUP($A43,presupuesto!$B:$Q,16,FALSE)&gt;=VLOOKUP($A43,informe!$A:$J,9,FALSE),"cg","c"),"n")</f>
        <v>n</v>
      </c>
      <c r="P43" s="195" t="str">
        <f>IF(AND(P$3&gt;=$D43,P$3&lt;=$E43),IF((P$3-$D43+1)*VLOOKUP($A43,presupuesto!$B:$Q,16,FALSE)&gt;=VLOOKUP($A43,informe!$A:$J,9,FALSE),"cg","c"),"n")</f>
        <v>n</v>
      </c>
      <c r="Q43" s="195" t="str">
        <f>IF(AND(Q$3&gt;=$D43,Q$3&lt;=$E43),IF((Q$3-$D43+1)*VLOOKUP($A43,presupuesto!$B:$Q,16,FALSE)&gt;=VLOOKUP($A43,informe!$A:$J,9,FALSE),"cg","c"),"n")</f>
        <v>n</v>
      </c>
      <c r="R43" s="195" t="str">
        <f>IF(AND(R$3&gt;=$D43,R$3&lt;=$E43),IF((R$3-$D43+1)*VLOOKUP($A43,presupuesto!$B:$Q,16,FALSE)&gt;=VLOOKUP($A43,informe!$A:$J,9,FALSE),"cg","c"),"n")</f>
        <v>n</v>
      </c>
      <c r="S43" s="195" t="str">
        <f>IF(AND(S$3&gt;=$D43,S$3&lt;=$E43),IF((S$3-$D43+1)*VLOOKUP($A43,presupuesto!$B:$Q,16,FALSE)&gt;=VLOOKUP($A43,informe!$A:$J,9,FALSE),"cg","c"),"n")</f>
        <v>n</v>
      </c>
      <c r="T43" s="195" t="str">
        <f>IF(AND(T$3&gt;=$D43,T$3&lt;=$E43),IF((T$3-$D43+1)*VLOOKUP($A43,presupuesto!$B:$Q,16,FALSE)&gt;=VLOOKUP($A43,informe!$A:$J,9,FALSE),"cg","c"),"n")</f>
        <v>n</v>
      </c>
      <c r="U43" s="195" t="str">
        <f>IF(AND(U$3&gt;=$D43,U$3&lt;=$E43),IF((U$3-$D43+1)*VLOOKUP($A43,presupuesto!$B:$Q,16,FALSE)&gt;=VLOOKUP($A43,informe!$A:$J,9,FALSE),"cg","c"),"n")</f>
        <v>n</v>
      </c>
      <c r="V43" s="195" t="str">
        <f>IF(AND(V$3&gt;=$D43,V$3&lt;=$E43),IF((V$3-$D43+1)*VLOOKUP($A43,presupuesto!$B:$Q,16,FALSE)&gt;=VLOOKUP($A43,informe!$A:$J,9,FALSE),"cg","c"),"n")</f>
        <v>n</v>
      </c>
      <c r="W43" s="195" t="str">
        <f>IF(AND(W$3&gt;=$D43,W$3&lt;=$E43),IF((W$3-$D43+1)*VLOOKUP($A43,presupuesto!$B:$Q,16,FALSE)&gt;=VLOOKUP($A43,informe!$A:$J,9,FALSE),"cg","c"),"n")</f>
        <v>n</v>
      </c>
      <c r="X43" s="195" t="str">
        <f>IF(AND(X$3&gt;=$D43,X$3&lt;=$E43),IF((X$3-$D43+1)*VLOOKUP($A43,presupuesto!$B:$Q,16,FALSE)&gt;=VLOOKUP($A43,informe!$A:$J,9,FALSE),"cg","c"),"n")</f>
        <v>n</v>
      </c>
      <c r="Y43" s="195" t="str">
        <f>IF(AND(Y$3&gt;=$D43,Y$3&lt;=$E43),IF((Y$3-$D43+1)*VLOOKUP($A43,presupuesto!$B:$Q,16,FALSE)&gt;=VLOOKUP($A43,informe!$A:$J,9,FALSE),"cg","c"),"n")</f>
        <v>n</v>
      </c>
      <c r="Z43" s="195" t="str">
        <f>IF(AND(Z$3&gt;=$D43,Z$3&lt;=$E43),IF((Z$3-$D43+1)*VLOOKUP($A43,presupuesto!$B:$Q,16,FALSE)&gt;=VLOOKUP($A43,informe!$A:$J,9,FALSE),"cg","c"),"n")</f>
        <v>n</v>
      </c>
      <c r="AA43" s="195" t="str">
        <f>IF(AND(AA$3&gt;=$D43,AA$3&lt;=$E43),IF((AA$3-$D43+1)*VLOOKUP($A43,presupuesto!$B:$Q,16,FALSE)&gt;=VLOOKUP($A43,informe!$A:$J,9,FALSE),"cg","c"),"n")</f>
        <v>n</v>
      </c>
      <c r="AB43" s="195" t="str">
        <f>IF(AND(AB$3&gt;=$D43,AB$3&lt;=$E43),IF((AB$3-$D43+1)*VLOOKUP($A43,presupuesto!$B:$Q,16,FALSE)&gt;=VLOOKUP($A43,informe!$A:$J,9,FALSE),"cg","c"),"n")</f>
        <v>n</v>
      </c>
      <c r="AC43" s="195" t="str">
        <f>IF(AND(AC$3&gt;=$D43,AC$3&lt;=$E43),IF((AC$3-$D43+1)*VLOOKUP($A43,presupuesto!$B:$Q,16,FALSE)&gt;=VLOOKUP($A43,informe!$A:$J,9,FALSE),"cg","c"),"n")</f>
        <v>n</v>
      </c>
      <c r="AD43" s="195" t="str">
        <f>IF(AND(AD$3&gt;=$D43,AD$3&lt;=$E43),IF((AD$3-$D43+1)*VLOOKUP($A43,presupuesto!$B:$Q,16,FALSE)&gt;=VLOOKUP($A43,informe!$A:$J,9,FALSE),"cg","c"),"n")</f>
        <v>n</v>
      </c>
      <c r="AE43" s="195" t="str">
        <f>IF(AND(AE$3&gt;=$D43,AE$3&lt;=$E43),IF((AE$3-$D43+1)*VLOOKUP($A43,presupuesto!$B:$Q,16,FALSE)&gt;=VLOOKUP($A43,informe!$A:$J,9,FALSE),"cg","c"),"n")</f>
        <v>n</v>
      </c>
      <c r="AF43" s="195" t="str">
        <f>IF(AND(AF$3&gt;=$D43,AF$3&lt;=$E43),IF((AF$3-$D43+1)*VLOOKUP($A43,presupuesto!$B:$Q,16,FALSE)&gt;=VLOOKUP($A43,informe!$A:$J,9,FALSE),"cg","c"),"n")</f>
        <v>n</v>
      </c>
      <c r="AG43" s="195" t="str">
        <f>IF(AND(AG$3&gt;=$D43,AG$3&lt;=$E43),IF((AG$3-$D43+1)*VLOOKUP($A43,presupuesto!$B:$Q,16,FALSE)&gt;=VLOOKUP($A43,informe!$A:$J,9,FALSE),"cg","c"),"n")</f>
        <v>n</v>
      </c>
      <c r="AH43" s="195" t="str">
        <f>IF(AND(AH$3&gt;=$D43,AH$3&lt;=$E43),IF((AH$3-$D43+1)*VLOOKUP($A43,presupuesto!$B:$Q,16,FALSE)&gt;=VLOOKUP($A43,informe!$A:$J,9,FALSE),"cg","c"),"n")</f>
        <v>n</v>
      </c>
      <c r="AI43" s="195" t="str">
        <f>IF(AND(AI$3&gt;=$D43,AI$3&lt;=$E43),IF((AI$3-$D43+1)*VLOOKUP($A43,presupuesto!$B:$Q,16,FALSE)&gt;=VLOOKUP($A43,informe!$A:$J,9,FALSE),"cg","c"),"n")</f>
        <v>n</v>
      </c>
      <c r="AJ43" s="195" t="str">
        <f>IF(AND(AJ$3&gt;=$D43,AJ$3&lt;=$E43),IF((AJ$3-$D43+1)*VLOOKUP($A43,presupuesto!$B:$Q,16,FALSE)&gt;=VLOOKUP($A43,informe!$A:$J,9,FALSE),"cg","c"),"n")</f>
        <v>n</v>
      </c>
      <c r="AK43" s="196" t="str">
        <f>IF(AND(AK$3&gt;=$D43,AK$3&lt;=$E43),IF((AK$3-$D43+1)*VLOOKUP($A43,presupuesto!$B:$Q,16,FALSE)&gt;=VLOOKUP($A43,informe!$A:$J,9,FALSE),"cg","c"),"n")</f>
        <v>n</v>
      </c>
    </row>
    <row r="44" spans="1:37" s="1" customFormat="1" ht="15" customHeight="1" x14ac:dyDescent="0.25">
      <c r="A44" s="197">
        <f>presupuesto!B43</f>
        <v>25</v>
      </c>
      <c r="B44" s="182" t="str">
        <f>presupuesto!C43</f>
        <v xml:space="preserve">            Brida, D=3"</v>
      </c>
      <c r="C44" s="174" t="str">
        <f>presupuesto!G43</f>
        <v>6 días</v>
      </c>
      <c r="D44" s="177">
        <f>presupuesto!N43</f>
        <v>45750</v>
      </c>
      <c r="E44" s="177">
        <f>presupuesto!O43</f>
        <v>45755</v>
      </c>
      <c r="F44" s="194" t="str">
        <f>IF(AK44="n",CONCATENATE(" - "),IF(AK44="cg",CONCATENATE(" - "),CONCATENATE(ROUND(IFERROR(VLOOKUP(A44,informe!A:J,9,FALSE)/VLOOKUP(A44,informe!A:J,5,FALSE),0)*100,2),"% ")))</f>
        <v xml:space="preserve"> - </v>
      </c>
      <c r="G44" s="195" t="str">
        <f>IF(AND(G$3&gt;=$D44,G$3&lt;=$E44),IF((G$3-$D44+1)*VLOOKUP($A44,presupuesto!$B:$Q,16,FALSE)&gt;=VLOOKUP($A44,informe!$A:$J,9,FALSE),"cg","c"),"n")</f>
        <v>n</v>
      </c>
      <c r="H44" s="195" t="str">
        <f>IF(AND(H$3&gt;=$D44,H$3&lt;=$E44),IF((H$3-$D44+1)*VLOOKUP($A44,presupuesto!$B:$Q,16,FALSE)&gt;=VLOOKUP($A44,informe!$A:$J,9,FALSE),"cg","c"),"n")</f>
        <v>n</v>
      </c>
      <c r="I44" s="195" t="str">
        <f>IF(AND(I$3&gt;=$D44,I$3&lt;=$E44),IF((I$3-$D44+1)*VLOOKUP($A44,presupuesto!$B:$Q,16,FALSE)&gt;=VLOOKUP($A44,informe!$A:$J,9,FALSE),"cg","c"),"n")</f>
        <v>n</v>
      </c>
      <c r="J44" s="195" t="str">
        <f>IF(AND(J$3&gt;=$D44,J$3&lt;=$E44),IF((J$3-$D44+1)*VLOOKUP($A44,presupuesto!$B:$Q,16,FALSE)&gt;=VLOOKUP($A44,informe!$A:$J,9,FALSE),"cg","c"),"n")</f>
        <v>n</v>
      </c>
      <c r="K44" s="195" t="str">
        <f>IF(AND(K$3&gt;=$D44,K$3&lt;=$E44),IF((K$3-$D44+1)*VLOOKUP($A44,presupuesto!$B:$Q,16,FALSE)&gt;=VLOOKUP($A44,informe!$A:$J,9,FALSE),"cg","c"),"n")</f>
        <v>n</v>
      </c>
      <c r="L44" s="195" t="str">
        <f>IF(AND(L$3&gt;=$D44,L$3&lt;=$E44),IF((L$3-$D44+1)*VLOOKUP($A44,presupuesto!$B:$Q,16,FALSE)&gt;=VLOOKUP($A44,informe!$A:$J,9,FALSE),"cg","c"),"n")</f>
        <v>n</v>
      </c>
      <c r="M44" s="195" t="str">
        <f>IF(AND(M$3&gt;=$D44,M$3&lt;=$E44),IF((M$3-$D44+1)*VLOOKUP($A44,presupuesto!$B:$Q,16,FALSE)&gt;=VLOOKUP($A44,informe!$A:$J,9,FALSE),"cg","c"),"n")</f>
        <v>n</v>
      </c>
      <c r="N44" s="195" t="str">
        <f>IF(AND(N$3&gt;=$D44,N$3&lt;=$E44),IF((N$3-$D44+1)*VLOOKUP($A44,presupuesto!$B:$Q,16,FALSE)&gt;=VLOOKUP($A44,informe!$A:$J,9,FALSE),"cg","c"),"n")</f>
        <v>n</v>
      </c>
      <c r="O44" s="195" t="str">
        <f>IF(AND(O$3&gt;=$D44,O$3&lt;=$E44),IF((O$3-$D44+1)*VLOOKUP($A44,presupuesto!$B:$Q,16,FALSE)&gt;=VLOOKUP($A44,informe!$A:$J,9,FALSE),"cg","c"),"n")</f>
        <v>n</v>
      </c>
      <c r="P44" s="195" t="str">
        <f>IF(AND(P$3&gt;=$D44,P$3&lt;=$E44),IF((P$3-$D44+1)*VLOOKUP($A44,presupuesto!$B:$Q,16,FALSE)&gt;=VLOOKUP($A44,informe!$A:$J,9,FALSE),"cg","c"),"n")</f>
        <v>n</v>
      </c>
      <c r="Q44" s="195" t="str">
        <f>IF(AND(Q$3&gt;=$D44,Q$3&lt;=$E44),IF((Q$3-$D44+1)*VLOOKUP($A44,presupuesto!$B:$Q,16,FALSE)&gt;=VLOOKUP($A44,informe!$A:$J,9,FALSE),"cg","c"),"n")</f>
        <v>n</v>
      </c>
      <c r="R44" s="195" t="str">
        <f>IF(AND(R$3&gt;=$D44,R$3&lt;=$E44),IF((R$3-$D44+1)*VLOOKUP($A44,presupuesto!$B:$Q,16,FALSE)&gt;=VLOOKUP($A44,informe!$A:$J,9,FALSE),"cg","c"),"n")</f>
        <v>n</v>
      </c>
      <c r="S44" s="195" t="str">
        <f>IF(AND(S$3&gt;=$D44,S$3&lt;=$E44),IF((S$3-$D44+1)*VLOOKUP($A44,presupuesto!$B:$Q,16,FALSE)&gt;=VLOOKUP($A44,informe!$A:$J,9,FALSE),"cg","c"),"n")</f>
        <v>n</v>
      </c>
      <c r="T44" s="195" t="str">
        <f>IF(AND(T$3&gt;=$D44,T$3&lt;=$E44),IF((T$3-$D44+1)*VLOOKUP($A44,presupuesto!$B:$Q,16,FALSE)&gt;=VLOOKUP($A44,informe!$A:$J,9,FALSE),"cg","c"),"n")</f>
        <v>n</v>
      </c>
      <c r="U44" s="195" t="str">
        <f>IF(AND(U$3&gt;=$D44,U$3&lt;=$E44),IF((U$3-$D44+1)*VLOOKUP($A44,presupuesto!$B:$Q,16,FALSE)&gt;=VLOOKUP($A44,informe!$A:$J,9,FALSE),"cg","c"),"n")</f>
        <v>n</v>
      </c>
      <c r="V44" s="195" t="str">
        <f>IF(AND(V$3&gt;=$D44,V$3&lt;=$E44),IF((V$3-$D44+1)*VLOOKUP($A44,presupuesto!$B:$Q,16,FALSE)&gt;=VLOOKUP($A44,informe!$A:$J,9,FALSE),"cg","c"),"n")</f>
        <v>n</v>
      </c>
      <c r="W44" s="195" t="str">
        <f>IF(AND(W$3&gt;=$D44,W$3&lt;=$E44),IF((W$3-$D44+1)*VLOOKUP($A44,presupuesto!$B:$Q,16,FALSE)&gt;=VLOOKUP($A44,informe!$A:$J,9,FALSE),"cg","c"),"n")</f>
        <v>n</v>
      </c>
      <c r="X44" s="195" t="str">
        <f>IF(AND(X$3&gt;=$D44,X$3&lt;=$E44),IF((X$3-$D44+1)*VLOOKUP($A44,presupuesto!$B:$Q,16,FALSE)&gt;=VLOOKUP($A44,informe!$A:$J,9,FALSE),"cg","c"),"n")</f>
        <v>n</v>
      </c>
      <c r="Y44" s="195" t="str">
        <f>IF(AND(Y$3&gt;=$D44,Y$3&lt;=$E44),IF((Y$3-$D44+1)*VLOOKUP($A44,presupuesto!$B:$Q,16,FALSE)&gt;=VLOOKUP($A44,informe!$A:$J,9,FALSE),"cg","c"),"n")</f>
        <v>n</v>
      </c>
      <c r="Z44" s="195" t="str">
        <f>IF(AND(Z$3&gt;=$D44,Z$3&lt;=$E44),IF((Z$3-$D44+1)*VLOOKUP($A44,presupuesto!$B:$Q,16,FALSE)&gt;=VLOOKUP($A44,informe!$A:$J,9,FALSE),"cg","c"),"n")</f>
        <v>n</v>
      </c>
      <c r="AA44" s="195" t="str">
        <f>IF(AND(AA$3&gt;=$D44,AA$3&lt;=$E44),IF((AA$3-$D44+1)*VLOOKUP($A44,presupuesto!$B:$Q,16,FALSE)&gt;=VLOOKUP($A44,informe!$A:$J,9,FALSE),"cg","c"),"n")</f>
        <v>n</v>
      </c>
      <c r="AB44" s="195" t="str">
        <f>IF(AND(AB$3&gt;=$D44,AB$3&lt;=$E44),IF((AB$3-$D44+1)*VLOOKUP($A44,presupuesto!$B:$Q,16,FALSE)&gt;=VLOOKUP($A44,informe!$A:$J,9,FALSE),"cg","c"),"n")</f>
        <v>n</v>
      </c>
      <c r="AC44" s="195" t="str">
        <f>IF(AND(AC$3&gt;=$D44,AC$3&lt;=$E44),IF((AC$3-$D44+1)*VLOOKUP($A44,presupuesto!$B:$Q,16,FALSE)&gt;=VLOOKUP($A44,informe!$A:$J,9,FALSE),"cg","c"),"n")</f>
        <v>n</v>
      </c>
      <c r="AD44" s="195" t="str">
        <f>IF(AND(AD$3&gt;=$D44,AD$3&lt;=$E44),IF((AD$3-$D44+1)*VLOOKUP($A44,presupuesto!$B:$Q,16,FALSE)&gt;=VLOOKUP($A44,informe!$A:$J,9,FALSE),"cg","c"),"n")</f>
        <v>n</v>
      </c>
      <c r="AE44" s="195" t="str">
        <f>IF(AND(AE$3&gt;=$D44,AE$3&lt;=$E44),IF((AE$3-$D44+1)*VLOOKUP($A44,presupuesto!$B:$Q,16,FALSE)&gt;=VLOOKUP($A44,informe!$A:$J,9,FALSE),"cg","c"),"n")</f>
        <v>n</v>
      </c>
      <c r="AF44" s="195" t="str">
        <f>IF(AND(AF$3&gt;=$D44,AF$3&lt;=$E44),IF((AF$3-$D44+1)*VLOOKUP($A44,presupuesto!$B:$Q,16,FALSE)&gt;=VLOOKUP($A44,informe!$A:$J,9,FALSE),"cg","c"),"n")</f>
        <v>n</v>
      </c>
      <c r="AG44" s="195" t="str">
        <f>IF(AND(AG$3&gt;=$D44,AG$3&lt;=$E44),IF((AG$3-$D44+1)*VLOOKUP($A44,presupuesto!$B:$Q,16,FALSE)&gt;=VLOOKUP($A44,informe!$A:$J,9,FALSE),"cg","c"),"n")</f>
        <v>n</v>
      </c>
      <c r="AH44" s="195" t="str">
        <f>IF(AND(AH$3&gt;=$D44,AH$3&lt;=$E44),IF((AH$3-$D44+1)*VLOOKUP($A44,presupuesto!$B:$Q,16,FALSE)&gt;=VLOOKUP($A44,informe!$A:$J,9,FALSE),"cg","c"),"n")</f>
        <v>n</v>
      </c>
      <c r="AI44" s="195" t="str">
        <f>IF(AND(AI$3&gt;=$D44,AI$3&lt;=$E44),IF((AI$3-$D44+1)*VLOOKUP($A44,presupuesto!$B:$Q,16,FALSE)&gt;=VLOOKUP($A44,informe!$A:$J,9,FALSE),"cg","c"),"n")</f>
        <v>n</v>
      </c>
      <c r="AJ44" s="195" t="str">
        <f>IF(AND(AJ$3&gt;=$D44,AJ$3&lt;=$E44),IF((AJ$3-$D44+1)*VLOOKUP($A44,presupuesto!$B:$Q,16,FALSE)&gt;=VLOOKUP($A44,informe!$A:$J,9,FALSE),"cg","c"),"n")</f>
        <v>n</v>
      </c>
      <c r="AK44" s="196" t="str">
        <f>IF(AND(AK$3&gt;=$D44,AK$3&lt;=$E44),IF((AK$3-$D44+1)*VLOOKUP($A44,presupuesto!$B:$Q,16,FALSE)&gt;=VLOOKUP($A44,informe!$A:$J,9,FALSE),"cg","c"),"n")</f>
        <v>n</v>
      </c>
    </row>
    <row r="45" spans="1:37" s="1" customFormat="1" ht="15" customHeight="1" x14ac:dyDescent="0.25">
      <c r="A45" s="193">
        <f>presupuesto!B44</f>
        <v>26</v>
      </c>
      <c r="B45" s="182" t="str">
        <f>presupuesto!C44</f>
        <v xml:space="preserve">            Autobloqueante D=3"</v>
      </c>
      <c r="C45" s="173" t="str">
        <f>presupuesto!G44</f>
        <v>5 días</v>
      </c>
      <c r="D45" s="176">
        <f>presupuesto!N44</f>
        <v>45751</v>
      </c>
      <c r="E45" s="176">
        <f>presupuesto!O44</f>
        <v>45755</v>
      </c>
      <c r="F45" s="194" t="str">
        <f>IF(AK45="n",CONCATENATE(" - "),IF(AK45="cg",CONCATENATE(" - "),CONCATENATE(ROUND(IFERROR(VLOOKUP(A45,informe!A:J,9,FALSE)/VLOOKUP(A45,informe!A:J,5,FALSE),0)*100,2),"% ")))</f>
        <v xml:space="preserve"> - </v>
      </c>
      <c r="G45" s="195" t="str">
        <f>IF(AND(G$3&gt;=$D45,G$3&lt;=$E45),IF((G$3-$D45+1)*VLOOKUP($A45,presupuesto!$B:$Q,16,FALSE)&gt;=VLOOKUP($A45,informe!$A:$J,9,FALSE),"cg","c"),"n")</f>
        <v>n</v>
      </c>
      <c r="H45" s="195" t="str">
        <f>IF(AND(H$3&gt;=$D45,H$3&lt;=$E45),IF((H$3-$D45+1)*VLOOKUP($A45,presupuesto!$B:$Q,16,FALSE)&gt;=VLOOKUP($A45,informe!$A:$J,9,FALSE),"cg","c"),"n")</f>
        <v>n</v>
      </c>
      <c r="I45" s="195" t="str">
        <f>IF(AND(I$3&gt;=$D45,I$3&lt;=$E45),IF((I$3-$D45+1)*VLOOKUP($A45,presupuesto!$B:$Q,16,FALSE)&gt;=VLOOKUP($A45,informe!$A:$J,9,FALSE),"cg","c"),"n")</f>
        <v>n</v>
      </c>
      <c r="J45" s="195" t="str">
        <f>IF(AND(J$3&gt;=$D45,J$3&lt;=$E45),IF((J$3-$D45+1)*VLOOKUP($A45,presupuesto!$B:$Q,16,FALSE)&gt;=VLOOKUP($A45,informe!$A:$J,9,FALSE),"cg","c"),"n")</f>
        <v>n</v>
      </c>
      <c r="K45" s="195" t="str">
        <f>IF(AND(K$3&gt;=$D45,K$3&lt;=$E45),IF((K$3-$D45+1)*VLOOKUP($A45,presupuesto!$B:$Q,16,FALSE)&gt;=VLOOKUP($A45,informe!$A:$J,9,FALSE),"cg","c"),"n")</f>
        <v>n</v>
      </c>
      <c r="L45" s="195" t="str">
        <f>IF(AND(L$3&gt;=$D45,L$3&lt;=$E45),IF((L$3-$D45+1)*VLOOKUP($A45,presupuesto!$B:$Q,16,FALSE)&gt;=VLOOKUP($A45,informe!$A:$J,9,FALSE),"cg","c"),"n")</f>
        <v>n</v>
      </c>
      <c r="M45" s="195" t="str">
        <f>IF(AND(M$3&gt;=$D45,M$3&lt;=$E45),IF((M$3-$D45+1)*VLOOKUP($A45,presupuesto!$B:$Q,16,FALSE)&gt;=VLOOKUP($A45,informe!$A:$J,9,FALSE),"cg","c"),"n")</f>
        <v>n</v>
      </c>
      <c r="N45" s="195" t="str">
        <f>IF(AND(N$3&gt;=$D45,N$3&lt;=$E45),IF((N$3-$D45+1)*VLOOKUP($A45,presupuesto!$B:$Q,16,FALSE)&gt;=VLOOKUP($A45,informe!$A:$J,9,FALSE),"cg","c"),"n")</f>
        <v>n</v>
      </c>
      <c r="O45" s="195" t="str">
        <f>IF(AND(O$3&gt;=$D45,O$3&lt;=$E45),IF((O$3-$D45+1)*VLOOKUP($A45,presupuesto!$B:$Q,16,FALSE)&gt;=VLOOKUP($A45,informe!$A:$J,9,FALSE),"cg","c"),"n")</f>
        <v>n</v>
      </c>
      <c r="P45" s="195" t="str">
        <f>IF(AND(P$3&gt;=$D45,P$3&lt;=$E45),IF((P$3-$D45+1)*VLOOKUP($A45,presupuesto!$B:$Q,16,FALSE)&gt;=VLOOKUP($A45,informe!$A:$J,9,FALSE),"cg","c"),"n")</f>
        <v>n</v>
      </c>
      <c r="Q45" s="195" t="str">
        <f>IF(AND(Q$3&gt;=$D45,Q$3&lt;=$E45),IF((Q$3-$D45+1)*VLOOKUP($A45,presupuesto!$B:$Q,16,FALSE)&gt;=VLOOKUP($A45,informe!$A:$J,9,FALSE),"cg","c"),"n")</f>
        <v>n</v>
      </c>
      <c r="R45" s="195" t="str">
        <f>IF(AND(R$3&gt;=$D45,R$3&lt;=$E45),IF((R$3-$D45+1)*VLOOKUP($A45,presupuesto!$B:$Q,16,FALSE)&gt;=VLOOKUP($A45,informe!$A:$J,9,FALSE),"cg","c"),"n")</f>
        <v>n</v>
      </c>
      <c r="S45" s="195" t="str">
        <f>IF(AND(S$3&gt;=$D45,S$3&lt;=$E45),IF((S$3-$D45+1)*VLOOKUP($A45,presupuesto!$B:$Q,16,FALSE)&gt;=VLOOKUP($A45,informe!$A:$J,9,FALSE),"cg","c"),"n")</f>
        <v>n</v>
      </c>
      <c r="T45" s="195" t="str">
        <f>IF(AND(T$3&gt;=$D45,T$3&lt;=$E45),IF((T$3-$D45+1)*VLOOKUP($A45,presupuesto!$B:$Q,16,FALSE)&gt;=VLOOKUP($A45,informe!$A:$J,9,FALSE),"cg","c"),"n")</f>
        <v>n</v>
      </c>
      <c r="U45" s="195" t="str">
        <f>IF(AND(U$3&gt;=$D45,U$3&lt;=$E45),IF((U$3-$D45+1)*VLOOKUP($A45,presupuesto!$B:$Q,16,FALSE)&gt;=VLOOKUP($A45,informe!$A:$J,9,FALSE),"cg","c"),"n")</f>
        <v>n</v>
      </c>
      <c r="V45" s="195" t="str">
        <f>IF(AND(V$3&gt;=$D45,V$3&lt;=$E45),IF((V$3-$D45+1)*VLOOKUP($A45,presupuesto!$B:$Q,16,FALSE)&gt;=VLOOKUP($A45,informe!$A:$J,9,FALSE),"cg","c"),"n")</f>
        <v>n</v>
      </c>
      <c r="W45" s="195" t="str">
        <f>IF(AND(W$3&gt;=$D45,W$3&lt;=$E45),IF((W$3-$D45+1)*VLOOKUP($A45,presupuesto!$B:$Q,16,FALSE)&gt;=VLOOKUP($A45,informe!$A:$J,9,FALSE),"cg","c"),"n")</f>
        <v>n</v>
      </c>
      <c r="X45" s="195" t="str">
        <f>IF(AND(X$3&gt;=$D45,X$3&lt;=$E45),IF((X$3-$D45+1)*VLOOKUP($A45,presupuesto!$B:$Q,16,FALSE)&gt;=VLOOKUP($A45,informe!$A:$J,9,FALSE),"cg","c"),"n")</f>
        <v>n</v>
      </c>
      <c r="Y45" s="195" t="str">
        <f>IF(AND(Y$3&gt;=$D45,Y$3&lt;=$E45),IF((Y$3-$D45+1)*VLOOKUP($A45,presupuesto!$B:$Q,16,FALSE)&gt;=VLOOKUP($A45,informe!$A:$J,9,FALSE),"cg","c"),"n")</f>
        <v>n</v>
      </c>
      <c r="Z45" s="195" t="str">
        <f>IF(AND(Z$3&gt;=$D45,Z$3&lt;=$E45),IF((Z$3-$D45+1)*VLOOKUP($A45,presupuesto!$B:$Q,16,FALSE)&gt;=VLOOKUP($A45,informe!$A:$J,9,FALSE),"cg","c"),"n")</f>
        <v>n</v>
      </c>
      <c r="AA45" s="195" t="str">
        <f>IF(AND(AA$3&gt;=$D45,AA$3&lt;=$E45),IF((AA$3-$D45+1)*VLOOKUP($A45,presupuesto!$B:$Q,16,FALSE)&gt;=VLOOKUP($A45,informe!$A:$J,9,FALSE),"cg","c"),"n")</f>
        <v>n</v>
      </c>
      <c r="AB45" s="195" t="str">
        <f>IF(AND(AB$3&gt;=$D45,AB$3&lt;=$E45),IF((AB$3-$D45+1)*VLOOKUP($A45,presupuesto!$B:$Q,16,FALSE)&gt;=VLOOKUP($A45,informe!$A:$J,9,FALSE),"cg","c"),"n")</f>
        <v>n</v>
      </c>
      <c r="AC45" s="195" t="str">
        <f>IF(AND(AC$3&gt;=$D45,AC$3&lt;=$E45),IF((AC$3-$D45+1)*VLOOKUP($A45,presupuesto!$B:$Q,16,FALSE)&gt;=VLOOKUP($A45,informe!$A:$J,9,FALSE),"cg","c"),"n")</f>
        <v>n</v>
      </c>
      <c r="AD45" s="195" t="str">
        <f>IF(AND(AD$3&gt;=$D45,AD$3&lt;=$E45),IF((AD$3-$D45+1)*VLOOKUP($A45,presupuesto!$B:$Q,16,FALSE)&gt;=VLOOKUP($A45,informe!$A:$J,9,FALSE),"cg","c"),"n")</f>
        <v>n</v>
      </c>
      <c r="AE45" s="195" t="str">
        <f>IF(AND(AE$3&gt;=$D45,AE$3&lt;=$E45),IF((AE$3-$D45+1)*VLOOKUP($A45,presupuesto!$B:$Q,16,FALSE)&gt;=VLOOKUP($A45,informe!$A:$J,9,FALSE),"cg","c"),"n")</f>
        <v>n</v>
      </c>
      <c r="AF45" s="195" t="str">
        <f>IF(AND(AF$3&gt;=$D45,AF$3&lt;=$E45),IF((AF$3-$D45+1)*VLOOKUP($A45,presupuesto!$B:$Q,16,FALSE)&gt;=VLOOKUP($A45,informe!$A:$J,9,FALSE),"cg","c"),"n")</f>
        <v>n</v>
      </c>
      <c r="AG45" s="195" t="str">
        <f>IF(AND(AG$3&gt;=$D45,AG$3&lt;=$E45),IF((AG$3-$D45+1)*VLOOKUP($A45,presupuesto!$B:$Q,16,FALSE)&gt;=VLOOKUP($A45,informe!$A:$J,9,FALSE),"cg","c"),"n")</f>
        <v>n</v>
      </c>
      <c r="AH45" s="195" t="str">
        <f>IF(AND(AH$3&gt;=$D45,AH$3&lt;=$E45),IF((AH$3-$D45+1)*VLOOKUP($A45,presupuesto!$B:$Q,16,FALSE)&gt;=VLOOKUP($A45,informe!$A:$J,9,FALSE),"cg","c"),"n")</f>
        <v>n</v>
      </c>
      <c r="AI45" s="195" t="str">
        <f>IF(AND(AI$3&gt;=$D45,AI$3&lt;=$E45),IF((AI$3-$D45+1)*VLOOKUP($A45,presupuesto!$B:$Q,16,FALSE)&gt;=VLOOKUP($A45,informe!$A:$J,9,FALSE),"cg","c"),"n")</f>
        <v>n</v>
      </c>
      <c r="AJ45" s="195" t="str">
        <f>IF(AND(AJ$3&gt;=$D45,AJ$3&lt;=$E45),IF((AJ$3-$D45+1)*VLOOKUP($A45,presupuesto!$B:$Q,16,FALSE)&gt;=VLOOKUP($A45,informe!$A:$J,9,FALSE),"cg","c"),"n")</f>
        <v>n</v>
      </c>
      <c r="AK45" s="196" t="str">
        <f>IF(AND(AK$3&gt;=$D45,AK$3&lt;=$E45),IF((AK$3-$D45+1)*VLOOKUP($A45,presupuesto!$B:$Q,16,FALSE)&gt;=VLOOKUP($A45,informe!$A:$J,9,FALSE),"cg","c"),"n")</f>
        <v>n</v>
      </c>
    </row>
    <row r="46" spans="1:37" s="1" customFormat="1" ht="15" customHeight="1" x14ac:dyDescent="0.3">
      <c r="A46" s="197" t="str">
        <f>presupuesto!B45</f>
        <v>C.-</v>
      </c>
      <c r="B46" s="181" t="str">
        <f>presupuesto!C45</f>
        <v xml:space="preserve">      OBRAS VARIAS</v>
      </c>
      <c r="C46" s="174" t="str">
        <f>presupuesto!G45</f>
        <v>36 días</v>
      </c>
      <c r="D46" s="177">
        <f>presupuesto!N45</f>
        <v>45726</v>
      </c>
      <c r="E46" s="177">
        <f>presupuesto!O45</f>
        <v>45761</v>
      </c>
      <c r="F46" s="194" t="str">
        <f>IF(AK46="n",CONCATENATE(" - "),IF(AK46="cg",CONCATENATE(" - "),CONCATENATE(ROUND(IFERROR(VLOOKUP(A46,informe!A:J,9,FALSE)/VLOOKUP(A46,informe!A:J,5,FALSE),0)*100,2),"% ")))</f>
        <v xml:space="preserve"> - </v>
      </c>
      <c r="G46" s="195" t="str">
        <f>IF(AND(G$3&gt;=$D46,G$3&lt;=$E46),IF((G$3-$D46+1)*VLOOKUP($A46,presupuesto!$B:$Q,16,FALSE)&gt;=VLOOKUP($A46,informe!$A:$J,9,FALSE),"cg","c"),"n")</f>
        <v>n</v>
      </c>
      <c r="H46" s="195" t="str">
        <f>IF(AND(H$3&gt;=$D46,H$3&lt;=$E46),IF((H$3-$D46+1)*VLOOKUP($A46,presupuesto!$B:$Q,16,FALSE)&gt;=VLOOKUP($A46,informe!$A:$J,9,FALSE),"cg","c"),"n")</f>
        <v>n</v>
      </c>
      <c r="I46" s="195" t="str">
        <f>IF(AND(I$3&gt;=$D46,I$3&lt;=$E46),IF((I$3-$D46+1)*VLOOKUP($A46,presupuesto!$B:$Q,16,FALSE)&gt;=VLOOKUP($A46,informe!$A:$J,9,FALSE),"cg","c"),"n")</f>
        <v>n</v>
      </c>
      <c r="J46" s="195" t="str">
        <f>IF(AND(J$3&gt;=$D46,J$3&lt;=$E46),IF((J$3-$D46+1)*VLOOKUP($A46,presupuesto!$B:$Q,16,FALSE)&gt;=VLOOKUP($A46,informe!$A:$J,9,FALSE),"cg","c"),"n")</f>
        <v>n</v>
      </c>
      <c r="K46" s="195" t="str">
        <f>IF(AND(K$3&gt;=$D46,K$3&lt;=$E46),IF((K$3-$D46+1)*VLOOKUP($A46,presupuesto!$B:$Q,16,FALSE)&gt;=VLOOKUP($A46,informe!$A:$J,9,FALSE),"cg","c"),"n")</f>
        <v>n</v>
      </c>
      <c r="L46" s="195" t="str">
        <f>IF(AND(L$3&gt;=$D46,L$3&lt;=$E46),IF((L$3-$D46+1)*VLOOKUP($A46,presupuesto!$B:$Q,16,FALSE)&gt;=VLOOKUP($A46,informe!$A:$J,9,FALSE),"cg","c"),"n")</f>
        <v>n</v>
      </c>
      <c r="M46" s="195" t="str">
        <f>IF(AND(M$3&gt;=$D46,M$3&lt;=$E46),IF((M$3-$D46+1)*VLOOKUP($A46,presupuesto!$B:$Q,16,FALSE)&gt;=VLOOKUP($A46,informe!$A:$J,9,FALSE),"cg","c"),"n")</f>
        <v>n</v>
      </c>
      <c r="N46" s="195" t="str">
        <f>IF(AND(N$3&gt;=$D46,N$3&lt;=$E46),IF((N$3-$D46+1)*VLOOKUP($A46,presupuesto!$B:$Q,16,FALSE)&gt;=VLOOKUP($A46,informe!$A:$J,9,FALSE),"cg","c"),"n")</f>
        <v>n</v>
      </c>
      <c r="O46" s="195" t="str">
        <f>IF(AND(O$3&gt;=$D46,O$3&lt;=$E46),IF((O$3-$D46+1)*VLOOKUP($A46,presupuesto!$B:$Q,16,FALSE)&gt;=VLOOKUP($A46,informe!$A:$J,9,FALSE),"cg","c"),"n")</f>
        <v>n</v>
      </c>
      <c r="P46" s="195" t="str">
        <f>IF(AND(P$3&gt;=$D46,P$3&lt;=$E46),IF((P$3-$D46+1)*VLOOKUP($A46,presupuesto!$B:$Q,16,FALSE)&gt;=VLOOKUP($A46,informe!$A:$J,9,FALSE),"cg","c"),"n")</f>
        <v>n</v>
      </c>
      <c r="Q46" s="195" t="str">
        <f>IF(AND(Q$3&gt;=$D46,Q$3&lt;=$E46),IF((Q$3-$D46+1)*VLOOKUP($A46,presupuesto!$B:$Q,16,FALSE)&gt;=VLOOKUP($A46,informe!$A:$J,9,FALSE),"cg","c"),"n")</f>
        <v>n</v>
      </c>
      <c r="R46" s="195" t="str">
        <f>IF(AND(R$3&gt;=$D46,R$3&lt;=$E46),IF((R$3-$D46+1)*VLOOKUP($A46,presupuesto!$B:$Q,16,FALSE)&gt;=VLOOKUP($A46,informe!$A:$J,9,FALSE),"cg","c"),"n")</f>
        <v>n</v>
      </c>
      <c r="S46" s="195" t="str">
        <f>IF(AND(S$3&gt;=$D46,S$3&lt;=$E46),IF((S$3-$D46+1)*VLOOKUP($A46,presupuesto!$B:$Q,16,FALSE)&gt;=VLOOKUP($A46,informe!$A:$J,9,FALSE),"cg","c"),"n")</f>
        <v>n</v>
      </c>
      <c r="T46" s="195" t="str">
        <f>IF(AND(T$3&gt;=$D46,T$3&lt;=$E46),IF((T$3-$D46+1)*VLOOKUP($A46,presupuesto!$B:$Q,16,FALSE)&gt;=VLOOKUP($A46,informe!$A:$J,9,FALSE),"cg","c"),"n")</f>
        <v>n</v>
      </c>
      <c r="U46" s="195" t="str">
        <f>IF(AND(U$3&gt;=$D46,U$3&lt;=$E46),IF((U$3-$D46+1)*VLOOKUP($A46,presupuesto!$B:$Q,16,FALSE)&gt;=VLOOKUP($A46,informe!$A:$J,9,FALSE),"cg","c"),"n")</f>
        <v>n</v>
      </c>
      <c r="V46" s="195" t="str">
        <f>IF(AND(V$3&gt;=$D46,V$3&lt;=$E46),IF((V$3-$D46+1)*VLOOKUP($A46,presupuesto!$B:$Q,16,FALSE)&gt;=VLOOKUP($A46,informe!$A:$J,9,FALSE),"cg","c"),"n")</f>
        <v>n</v>
      </c>
      <c r="W46" s="195" t="str">
        <f>IF(AND(W$3&gt;=$D46,W$3&lt;=$E46),IF((W$3-$D46+1)*VLOOKUP($A46,presupuesto!$B:$Q,16,FALSE)&gt;=VLOOKUP($A46,informe!$A:$J,9,FALSE),"cg","c"),"n")</f>
        <v>n</v>
      </c>
      <c r="X46" s="195" t="str">
        <f>IF(AND(X$3&gt;=$D46,X$3&lt;=$E46),IF((X$3-$D46+1)*VLOOKUP($A46,presupuesto!$B:$Q,16,FALSE)&gt;=VLOOKUP($A46,informe!$A:$J,9,FALSE),"cg","c"),"n")</f>
        <v>n</v>
      </c>
      <c r="Y46" s="195" t="str">
        <f>IF(AND(Y$3&gt;=$D46,Y$3&lt;=$E46),IF((Y$3-$D46+1)*VLOOKUP($A46,presupuesto!$B:$Q,16,FALSE)&gt;=VLOOKUP($A46,informe!$A:$J,9,FALSE),"cg","c"),"n")</f>
        <v>n</v>
      </c>
      <c r="Z46" s="195" t="str">
        <f>IF(AND(Z$3&gt;=$D46,Z$3&lt;=$E46),IF((Z$3-$D46+1)*VLOOKUP($A46,presupuesto!$B:$Q,16,FALSE)&gt;=VLOOKUP($A46,informe!$A:$J,9,FALSE),"cg","c"),"n")</f>
        <v>n</v>
      </c>
      <c r="AA46" s="195" t="str">
        <f>IF(AND(AA$3&gt;=$D46,AA$3&lt;=$E46),IF((AA$3-$D46+1)*VLOOKUP($A46,presupuesto!$B:$Q,16,FALSE)&gt;=VLOOKUP($A46,informe!$A:$J,9,FALSE),"cg","c"),"n")</f>
        <v>n</v>
      </c>
      <c r="AB46" s="195" t="str">
        <f>IF(AND(AB$3&gt;=$D46,AB$3&lt;=$E46),IF((AB$3-$D46+1)*VLOOKUP($A46,presupuesto!$B:$Q,16,FALSE)&gt;=VLOOKUP($A46,informe!$A:$J,9,FALSE),"cg","c"),"n")</f>
        <v>n</v>
      </c>
      <c r="AC46" s="195" t="str">
        <f>IF(AND(AC$3&gt;=$D46,AC$3&lt;=$E46),IF((AC$3-$D46+1)*VLOOKUP($A46,presupuesto!$B:$Q,16,FALSE)&gt;=VLOOKUP($A46,informe!$A:$J,9,FALSE),"cg","c"),"n")</f>
        <v>n</v>
      </c>
      <c r="AD46" s="195" t="str">
        <f>IF(AND(AD$3&gt;=$D46,AD$3&lt;=$E46),IF((AD$3-$D46+1)*VLOOKUP($A46,presupuesto!$B:$Q,16,FALSE)&gt;=VLOOKUP($A46,informe!$A:$J,9,FALSE),"cg","c"),"n")</f>
        <v>n</v>
      </c>
      <c r="AE46" s="195" t="str">
        <f>IF(AND(AE$3&gt;=$D46,AE$3&lt;=$E46),IF((AE$3-$D46+1)*VLOOKUP($A46,presupuesto!$B:$Q,16,FALSE)&gt;=VLOOKUP($A46,informe!$A:$J,9,FALSE),"cg","c"),"n")</f>
        <v>n</v>
      </c>
      <c r="AF46" s="195" t="str">
        <f>IF(AND(AF$3&gt;=$D46,AF$3&lt;=$E46),IF((AF$3-$D46+1)*VLOOKUP($A46,presupuesto!$B:$Q,16,FALSE)&gt;=VLOOKUP($A46,informe!$A:$J,9,FALSE),"cg","c"),"n")</f>
        <v>n</v>
      </c>
      <c r="AG46" s="195" t="str">
        <f>IF(AND(AG$3&gt;=$D46,AG$3&lt;=$E46),IF((AG$3-$D46+1)*VLOOKUP($A46,presupuesto!$B:$Q,16,FALSE)&gt;=VLOOKUP($A46,informe!$A:$J,9,FALSE),"cg","c"),"n")</f>
        <v>n</v>
      </c>
      <c r="AH46" s="195" t="str">
        <f>IF(AND(AH$3&gt;=$D46,AH$3&lt;=$E46),IF((AH$3-$D46+1)*VLOOKUP($A46,presupuesto!$B:$Q,16,FALSE)&gt;=VLOOKUP($A46,informe!$A:$J,9,FALSE),"cg","c"),"n")</f>
        <v>n</v>
      </c>
      <c r="AI46" s="195" t="str">
        <f>IF(AND(AI$3&gt;=$D46,AI$3&lt;=$E46),IF((AI$3-$D46+1)*VLOOKUP($A46,presupuesto!$B:$Q,16,FALSE)&gt;=VLOOKUP($A46,informe!$A:$J,9,FALSE),"cg","c"),"n")</f>
        <v>n</v>
      </c>
      <c r="AJ46" s="195" t="str">
        <f>IF(AND(AJ$3&gt;=$D46,AJ$3&lt;=$E46),IF((AJ$3-$D46+1)*VLOOKUP($A46,presupuesto!$B:$Q,16,FALSE)&gt;=VLOOKUP($A46,informe!$A:$J,9,FALSE),"cg","c"),"n")</f>
        <v>n</v>
      </c>
      <c r="AK46" s="196" t="str">
        <f>IF(AND(AK$3&gt;=$D46,AK$3&lt;=$E46),IF((AK$3-$D46+1)*VLOOKUP($A46,presupuesto!$B:$Q,16,FALSE)&gt;=VLOOKUP($A46,informe!$A:$J,9,FALSE),"cg","c"),"n")</f>
        <v>n</v>
      </c>
    </row>
    <row r="47" spans="1:37" s="1" customFormat="1" ht="15" customHeight="1" x14ac:dyDescent="0.25">
      <c r="A47" s="197">
        <f>presupuesto!B46</f>
        <v>27</v>
      </c>
      <c r="B47" s="182" t="str">
        <f>presupuesto!C46</f>
        <v xml:space="preserve">         Machones de apoyo</v>
      </c>
      <c r="C47" s="174" t="str">
        <f>presupuesto!G46</f>
        <v>6 días</v>
      </c>
      <c r="D47" s="177">
        <f>presupuesto!N46</f>
        <v>45756</v>
      </c>
      <c r="E47" s="177">
        <f>presupuesto!O46</f>
        <v>45761</v>
      </c>
      <c r="F47" s="194" t="str">
        <f>IF(AK47="n",CONCATENATE(" - "),IF(AK47="cg",CONCATENATE(" - "),CONCATENATE(ROUND(IFERROR(VLOOKUP(A47,informe!A:J,9,FALSE)/VLOOKUP(A47,informe!A:J,5,FALSE),0)*100,2),"% ")))</f>
        <v xml:space="preserve"> - </v>
      </c>
      <c r="G47" s="195" t="str">
        <f>IF(AND(G$3&gt;=$D47,G$3&lt;=$E47),IF((G$3-$D47+1)*VLOOKUP($A47,presupuesto!$B:$Q,16,FALSE)&gt;=VLOOKUP($A47,informe!$A:$J,9,FALSE),"cg","c"),"n")</f>
        <v>n</v>
      </c>
      <c r="H47" s="195" t="str">
        <f>IF(AND(H$3&gt;=$D47,H$3&lt;=$E47),IF((H$3-$D47+1)*VLOOKUP($A47,presupuesto!$B:$Q,16,FALSE)&gt;=VLOOKUP($A47,informe!$A:$J,9,FALSE),"cg","c"),"n")</f>
        <v>n</v>
      </c>
      <c r="I47" s="195" t="str">
        <f>IF(AND(I$3&gt;=$D47,I$3&lt;=$E47),IF((I$3-$D47+1)*VLOOKUP($A47,presupuesto!$B:$Q,16,FALSE)&gt;=VLOOKUP($A47,informe!$A:$J,9,FALSE),"cg","c"),"n")</f>
        <v>n</v>
      </c>
      <c r="J47" s="195" t="str">
        <f>IF(AND(J$3&gt;=$D47,J$3&lt;=$E47),IF((J$3-$D47+1)*VLOOKUP($A47,presupuesto!$B:$Q,16,FALSE)&gt;=VLOOKUP($A47,informe!$A:$J,9,FALSE),"cg","c"),"n")</f>
        <v>n</v>
      </c>
      <c r="K47" s="195" t="str">
        <f>IF(AND(K$3&gt;=$D47,K$3&lt;=$E47),IF((K$3-$D47+1)*VLOOKUP($A47,presupuesto!$B:$Q,16,FALSE)&gt;=VLOOKUP($A47,informe!$A:$J,9,FALSE),"cg","c"),"n")</f>
        <v>n</v>
      </c>
      <c r="L47" s="195" t="str">
        <f>IF(AND(L$3&gt;=$D47,L$3&lt;=$E47),IF((L$3-$D47+1)*VLOOKUP($A47,presupuesto!$B:$Q,16,FALSE)&gt;=VLOOKUP($A47,informe!$A:$J,9,FALSE),"cg","c"),"n")</f>
        <v>n</v>
      </c>
      <c r="M47" s="195" t="str">
        <f>IF(AND(M$3&gt;=$D47,M$3&lt;=$E47),IF((M$3-$D47+1)*VLOOKUP($A47,presupuesto!$B:$Q,16,FALSE)&gt;=VLOOKUP($A47,informe!$A:$J,9,FALSE),"cg","c"),"n")</f>
        <v>n</v>
      </c>
      <c r="N47" s="195" t="str">
        <f>IF(AND(N$3&gt;=$D47,N$3&lt;=$E47),IF((N$3-$D47+1)*VLOOKUP($A47,presupuesto!$B:$Q,16,FALSE)&gt;=VLOOKUP($A47,informe!$A:$J,9,FALSE),"cg","c"),"n")</f>
        <v>n</v>
      </c>
      <c r="O47" s="195" t="str">
        <f>IF(AND(O$3&gt;=$D47,O$3&lt;=$E47),IF((O$3-$D47+1)*VLOOKUP($A47,presupuesto!$B:$Q,16,FALSE)&gt;=VLOOKUP($A47,informe!$A:$J,9,FALSE),"cg","c"),"n")</f>
        <v>n</v>
      </c>
      <c r="P47" s="195" t="str">
        <f>IF(AND(P$3&gt;=$D47,P$3&lt;=$E47),IF((P$3-$D47+1)*VLOOKUP($A47,presupuesto!$B:$Q,16,FALSE)&gt;=VLOOKUP($A47,informe!$A:$J,9,FALSE),"cg","c"),"n")</f>
        <v>n</v>
      </c>
      <c r="Q47" s="195" t="str">
        <f>IF(AND(Q$3&gt;=$D47,Q$3&lt;=$E47),IF((Q$3-$D47+1)*VLOOKUP($A47,presupuesto!$B:$Q,16,FALSE)&gt;=VLOOKUP($A47,informe!$A:$J,9,FALSE),"cg","c"),"n")</f>
        <v>n</v>
      </c>
      <c r="R47" s="195" t="str">
        <f>IF(AND(R$3&gt;=$D47,R$3&lt;=$E47),IF((R$3-$D47+1)*VLOOKUP($A47,presupuesto!$B:$Q,16,FALSE)&gt;=VLOOKUP($A47,informe!$A:$J,9,FALSE),"cg","c"),"n")</f>
        <v>n</v>
      </c>
      <c r="S47" s="195" t="str">
        <f>IF(AND(S$3&gt;=$D47,S$3&lt;=$E47),IF((S$3-$D47+1)*VLOOKUP($A47,presupuesto!$B:$Q,16,FALSE)&gt;=VLOOKUP($A47,informe!$A:$J,9,FALSE),"cg","c"),"n")</f>
        <v>n</v>
      </c>
      <c r="T47" s="195" t="str">
        <f>IF(AND(T$3&gt;=$D47,T$3&lt;=$E47),IF((T$3-$D47+1)*VLOOKUP($A47,presupuesto!$B:$Q,16,FALSE)&gt;=VLOOKUP($A47,informe!$A:$J,9,FALSE),"cg","c"),"n")</f>
        <v>n</v>
      </c>
      <c r="U47" s="195" t="str">
        <f>IF(AND(U$3&gt;=$D47,U$3&lt;=$E47),IF((U$3-$D47+1)*VLOOKUP($A47,presupuesto!$B:$Q,16,FALSE)&gt;=VLOOKUP($A47,informe!$A:$J,9,FALSE),"cg","c"),"n")</f>
        <v>n</v>
      </c>
      <c r="V47" s="195" t="str">
        <f>IF(AND(V$3&gt;=$D47,V$3&lt;=$E47),IF((V$3-$D47+1)*VLOOKUP($A47,presupuesto!$B:$Q,16,FALSE)&gt;=VLOOKUP($A47,informe!$A:$J,9,FALSE),"cg","c"),"n")</f>
        <v>n</v>
      </c>
      <c r="W47" s="195" t="str">
        <f>IF(AND(W$3&gt;=$D47,W$3&lt;=$E47),IF((W$3-$D47+1)*VLOOKUP($A47,presupuesto!$B:$Q,16,FALSE)&gt;=VLOOKUP($A47,informe!$A:$J,9,FALSE),"cg","c"),"n")</f>
        <v>n</v>
      </c>
      <c r="X47" s="195" t="str">
        <f>IF(AND(X$3&gt;=$D47,X$3&lt;=$E47),IF((X$3-$D47+1)*VLOOKUP($A47,presupuesto!$B:$Q,16,FALSE)&gt;=VLOOKUP($A47,informe!$A:$J,9,FALSE),"cg","c"),"n")</f>
        <v>n</v>
      </c>
      <c r="Y47" s="195" t="str">
        <f>IF(AND(Y$3&gt;=$D47,Y$3&lt;=$E47),IF((Y$3-$D47+1)*VLOOKUP($A47,presupuesto!$B:$Q,16,FALSE)&gt;=VLOOKUP($A47,informe!$A:$J,9,FALSE),"cg","c"),"n")</f>
        <v>n</v>
      </c>
      <c r="Z47" s="195" t="str">
        <f>IF(AND(Z$3&gt;=$D47,Z$3&lt;=$E47),IF((Z$3-$D47+1)*VLOOKUP($A47,presupuesto!$B:$Q,16,FALSE)&gt;=VLOOKUP($A47,informe!$A:$J,9,FALSE),"cg","c"),"n")</f>
        <v>n</v>
      </c>
      <c r="AA47" s="195" t="str">
        <f>IF(AND(AA$3&gt;=$D47,AA$3&lt;=$E47),IF((AA$3-$D47+1)*VLOOKUP($A47,presupuesto!$B:$Q,16,FALSE)&gt;=VLOOKUP($A47,informe!$A:$J,9,FALSE),"cg","c"),"n")</f>
        <v>n</v>
      </c>
      <c r="AB47" s="195" t="str">
        <f>IF(AND(AB$3&gt;=$D47,AB$3&lt;=$E47),IF((AB$3-$D47+1)*VLOOKUP($A47,presupuesto!$B:$Q,16,FALSE)&gt;=VLOOKUP($A47,informe!$A:$J,9,FALSE),"cg","c"),"n")</f>
        <v>n</v>
      </c>
      <c r="AC47" s="195" t="str">
        <f>IF(AND(AC$3&gt;=$D47,AC$3&lt;=$E47),IF((AC$3-$D47+1)*VLOOKUP($A47,presupuesto!$B:$Q,16,FALSE)&gt;=VLOOKUP($A47,informe!$A:$J,9,FALSE),"cg","c"),"n")</f>
        <v>n</v>
      </c>
      <c r="AD47" s="195" t="str">
        <f>IF(AND(AD$3&gt;=$D47,AD$3&lt;=$E47),IF((AD$3-$D47+1)*VLOOKUP($A47,presupuesto!$B:$Q,16,FALSE)&gt;=VLOOKUP($A47,informe!$A:$J,9,FALSE),"cg","c"),"n")</f>
        <v>n</v>
      </c>
      <c r="AE47" s="195" t="str">
        <f>IF(AND(AE$3&gt;=$D47,AE$3&lt;=$E47),IF((AE$3-$D47+1)*VLOOKUP($A47,presupuesto!$B:$Q,16,FALSE)&gt;=VLOOKUP($A47,informe!$A:$J,9,FALSE),"cg","c"),"n")</f>
        <v>n</v>
      </c>
      <c r="AF47" s="195" t="str">
        <f>IF(AND(AF$3&gt;=$D47,AF$3&lt;=$E47),IF((AF$3-$D47+1)*VLOOKUP($A47,presupuesto!$B:$Q,16,FALSE)&gt;=VLOOKUP($A47,informe!$A:$J,9,FALSE),"cg","c"),"n")</f>
        <v>n</v>
      </c>
      <c r="AG47" s="195" t="str">
        <f>IF(AND(AG$3&gt;=$D47,AG$3&lt;=$E47),IF((AG$3-$D47+1)*VLOOKUP($A47,presupuesto!$B:$Q,16,FALSE)&gt;=VLOOKUP($A47,informe!$A:$J,9,FALSE),"cg","c"),"n")</f>
        <v>n</v>
      </c>
      <c r="AH47" s="195" t="str">
        <f>IF(AND(AH$3&gt;=$D47,AH$3&lt;=$E47),IF((AH$3-$D47+1)*VLOOKUP($A47,presupuesto!$B:$Q,16,FALSE)&gt;=VLOOKUP($A47,informe!$A:$J,9,FALSE),"cg","c"),"n")</f>
        <v>n</v>
      </c>
      <c r="AI47" s="195" t="str">
        <f>IF(AND(AI$3&gt;=$D47,AI$3&lt;=$E47),IF((AI$3-$D47+1)*VLOOKUP($A47,presupuesto!$B:$Q,16,FALSE)&gt;=VLOOKUP($A47,informe!$A:$J,9,FALSE),"cg","c"),"n")</f>
        <v>n</v>
      </c>
      <c r="AJ47" s="195" t="str">
        <f>IF(AND(AJ$3&gt;=$D47,AJ$3&lt;=$E47),IF((AJ$3-$D47+1)*VLOOKUP($A47,presupuesto!$B:$Q,16,FALSE)&gt;=VLOOKUP($A47,informe!$A:$J,9,FALSE),"cg","c"),"n")</f>
        <v>n</v>
      </c>
      <c r="AK47" s="196" t="str">
        <f>IF(AND(AK$3&gt;=$D47,AK$3&lt;=$E47),IF((AK$3-$D47+1)*VLOOKUP($A47,presupuesto!$B:$Q,16,FALSE)&gt;=VLOOKUP($A47,informe!$A:$J,9,FALSE),"cg","c"),"n")</f>
        <v>n</v>
      </c>
    </row>
    <row r="48" spans="1:37" s="1" customFormat="1" ht="15" customHeight="1" x14ac:dyDescent="0.25">
      <c r="A48" s="197">
        <f>presupuesto!B47</f>
        <v>28</v>
      </c>
      <c r="B48" s="182" t="str">
        <f>presupuesto!C47</f>
        <v xml:space="preserve">         Camaras de Valvulas</v>
      </c>
      <c r="C48" s="174" t="str">
        <f>presupuesto!G47</f>
        <v>30 días</v>
      </c>
      <c r="D48" s="177">
        <f>presupuesto!N47</f>
        <v>45726</v>
      </c>
      <c r="E48" s="177">
        <f>presupuesto!O47</f>
        <v>45755</v>
      </c>
      <c r="F48" s="194" t="str">
        <f>IF(AK48="n",CONCATENATE(" - "),IF(AK48="cg",CONCATENATE(" - "),CONCATENATE(ROUND(IFERROR(VLOOKUP(A48,informe!A:J,9,FALSE)/VLOOKUP(A48,informe!A:J,5,FALSE),0)*100,2),"% ")))</f>
        <v xml:space="preserve"> - </v>
      </c>
      <c r="G48" s="195" t="str">
        <f>IF(AND(G$3&gt;=$D48,G$3&lt;=$E48),IF((G$3-$D48+1)*VLOOKUP($A48,presupuesto!$B:$Q,16,FALSE)&gt;=VLOOKUP($A48,informe!$A:$J,9,FALSE),"cg","c"),"n")</f>
        <v>n</v>
      </c>
      <c r="H48" s="195" t="str">
        <f>IF(AND(H$3&gt;=$D48,H$3&lt;=$E48),IF((H$3-$D48+1)*VLOOKUP($A48,presupuesto!$B:$Q,16,FALSE)&gt;=VLOOKUP($A48,informe!$A:$J,9,FALSE),"cg","c"),"n")</f>
        <v>n</v>
      </c>
      <c r="I48" s="195" t="str">
        <f>IF(AND(I$3&gt;=$D48,I$3&lt;=$E48),IF((I$3-$D48+1)*VLOOKUP($A48,presupuesto!$B:$Q,16,FALSE)&gt;=VLOOKUP($A48,informe!$A:$J,9,FALSE),"cg","c"),"n")</f>
        <v>n</v>
      </c>
      <c r="J48" s="195" t="str">
        <f>IF(AND(J$3&gt;=$D48,J$3&lt;=$E48),IF((J$3-$D48+1)*VLOOKUP($A48,presupuesto!$B:$Q,16,FALSE)&gt;=VLOOKUP($A48,informe!$A:$J,9,FALSE),"cg","c"),"n")</f>
        <v>n</v>
      </c>
      <c r="K48" s="195" t="str">
        <f>IF(AND(K$3&gt;=$D48,K$3&lt;=$E48),IF((K$3-$D48+1)*VLOOKUP($A48,presupuesto!$B:$Q,16,FALSE)&gt;=VLOOKUP($A48,informe!$A:$J,9,FALSE),"cg","c"),"n")</f>
        <v>n</v>
      </c>
      <c r="L48" s="195" t="str">
        <f>IF(AND(L$3&gt;=$D48,L$3&lt;=$E48),IF((L$3-$D48+1)*VLOOKUP($A48,presupuesto!$B:$Q,16,FALSE)&gt;=VLOOKUP($A48,informe!$A:$J,9,FALSE),"cg","c"),"n")</f>
        <v>n</v>
      </c>
      <c r="M48" s="195" t="str">
        <f>IF(AND(M$3&gt;=$D48,M$3&lt;=$E48),IF((M$3-$D48+1)*VLOOKUP($A48,presupuesto!$B:$Q,16,FALSE)&gt;=VLOOKUP($A48,informe!$A:$J,9,FALSE),"cg","c"),"n")</f>
        <v>n</v>
      </c>
      <c r="N48" s="195" t="str">
        <f>IF(AND(N$3&gt;=$D48,N$3&lt;=$E48),IF((N$3-$D48+1)*VLOOKUP($A48,presupuesto!$B:$Q,16,FALSE)&gt;=VLOOKUP($A48,informe!$A:$J,9,FALSE),"cg","c"),"n")</f>
        <v>n</v>
      </c>
      <c r="O48" s="195" t="str">
        <f>IF(AND(O$3&gt;=$D48,O$3&lt;=$E48),IF((O$3-$D48+1)*VLOOKUP($A48,presupuesto!$B:$Q,16,FALSE)&gt;=VLOOKUP($A48,informe!$A:$J,9,FALSE),"cg","c"),"n")</f>
        <v>n</v>
      </c>
      <c r="P48" s="195" t="str">
        <f>IF(AND(P$3&gt;=$D48,P$3&lt;=$E48),IF((P$3-$D48+1)*VLOOKUP($A48,presupuesto!$B:$Q,16,FALSE)&gt;=VLOOKUP($A48,informe!$A:$J,9,FALSE),"cg","c"),"n")</f>
        <v>n</v>
      </c>
      <c r="Q48" s="195" t="str">
        <f>IF(AND(Q$3&gt;=$D48,Q$3&lt;=$E48),IF((Q$3-$D48+1)*VLOOKUP($A48,presupuesto!$B:$Q,16,FALSE)&gt;=VLOOKUP($A48,informe!$A:$J,9,FALSE),"cg","c"),"n")</f>
        <v>n</v>
      </c>
      <c r="R48" s="195" t="str">
        <f>IF(AND(R$3&gt;=$D48,R$3&lt;=$E48),IF((R$3-$D48+1)*VLOOKUP($A48,presupuesto!$B:$Q,16,FALSE)&gt;=VLOOKUP($A48,informe!$A:$J,9,FALSE),"cg","c"),"n")</f>
        <v>n</v>
      </c>
      <c r="S48" s="195" t="str">
        <f>IF(AND(S$3&gt;=$D48,S$3&lt;=$E48),IF((S$3-$D48+1)*VLOOKUP($A48,presupuesto!$B:$Q,16,FALSE)&gt;=VLOOKUP($A48,informe!$A:$J,9,FALSE),"cg","c"),"n")</f>
        <v>n</v>
      </c>
      <c r="T48" s="195" t="str">
        <f>IF(AND(T$3&gt;=$D48,T$3&lt;=$E48),IF((T$3-$D48+1)*VLOOKUP($A48,presupuesto!$B:$Q,16,FALSE)&gt;=VLOOKUP($A48,informe!$A:$J,9,FALSE),"cg","c"),"n")</f>
        <v>n</v>
      </c>
      <c r="U48" s="195" t="str">
        <f>IF(AND(U$3&gt;=$D48,U$3&lt;=$E48),IF((U$3-$D48+1)*VLOOKUP($A48,presupuesto!$B:$Q,16,FALSE)&gt;=VLOOKUP($A48,informe!$A:$J,9,FALSE),"cg","c"),"n")</f>
        <v>n</v>
      </c>
      <c r="V48" s="195" t="str">
        <f>IF(AND(V$3&gt;=$D48,V$3&lt;=$E48),IF((V$3-$D48+1)*VLOOKUP($A48,presupuesto!$B:$Q,16,FALSE)&gt;=VLOOKUP($A48,informe!$A:$J,9,FALSE),"cg","c"),"n")</f>
        <v>n</v>
      </c>
      <c r="W48" s="195" t="str">
        <f>IF(AND(W$3&gt;=$D48,W$3&lt;=$E48),IF((W$3-$D48+1)*VLOOKUP($A48,presupuesto!$B:$Q,16,FALSE)&gt;=VLOOKUP($A48,informe!$A:$J,9,FALSE),"cg","c"),"n")</f>
        <v>n</v>
      </c>
      <c r="X48" s="195" t="str">
        <f>IF(AND(X$3&gt;=$D48,X$3&lt;=$E48),IF((X$3-$D48+1)*VLOOKUP($A48,presupuesto!$B:$Q,16,FALSE)&gt;=VLOOKUP($A48,informe!$A:$J,9,FALSE),"cg","c"),"n")</f>
        <v>n</v>
      </c>
      <c r="Y48" s="195" t="str">
        <f>IF(AND(Y$3&gt;=$D48,Y$3&lt;=$E48),IF((Y$3-$D48+1)*VLOOKUP($A48,presupuesto!$B:$Q,16,FALSE)&gt;=VLOOKUP($A48,informe!$A:$J,9,FALSE),"cg","c"),"n")</f>
        <v>n</v>
      </c>
      <c r="Z48" s="195" t="str">
        <f>IF(AND(Z$3&gt;=$D48,Z$3&lt;=$E48),IF((Z$3-$D48+1)*VLOOKUP($A48,presupuesto!$B:$Q,16,FALSE)&gt;=VLOOKUP($A48,informe!$A:$J,9,FALSE),"cg","c"),"n")</f>
        <v>n</v>
      </c>
      <c r="AA48" s="195" t="str">
        <f>IF(AND(AA$3&gt;=$D48,AA$3&lt;=$E48),IF((AA$3-$D48+1)*VLOOKUP($A48,presupuesto!$B:$Q,16,FALSE)&gt;=VLOOKUP($A48,informe!$A:$J,9,FALSE),"cg","c"),"n")</f>
        <v>n</v>
      </c>
      <c r="AB48" s="195" t="str">
        <f>IF(AND(AB$3&gt;=$D48,AB$3&lt;=$E48),IF((AB$3-$D48+1)*VLOOKUP($A48,presupuesto!$B:$Q,16,FALSE)&gt;=VLOOKUP($A48,informe!$A:$J,9,FALSE),"cg","c"),"n")</f>
        <v>n</v>
      </c>
      <c r="AC48" s="195" t="str">
        <f>IF(AND(AC$3&gt;=$D48,AC$3&lt;=$E48),IF((AC$3-$D48+1)*VLOOKUP($A48,presupuesto!$B:$Q,16,FALSE)&gt;=VLOOKUP($A48,informe!$A:$J,9,FALSE),"cg","c"),"n")</f>
        <v>n</v>
      </c>
      <c r="AD48" s="195" t="str">
        <f>IF(AND(AD$3&gt;=$D48,AD$3&lt;=$E48),IF((AD$3-$D48+1)*VLOOKUP($A48,presupuesto!$B:$Q,16,FALSE)&gt;=VLOOKUP($A48,informe!$A:$J,9,FALSE),"cg","c"),"n")</f>
        <v>n</v>
      </c>
      <c r="AE48" s="195" t="str">
        <f>IF(AND(AE$3&gt;=$D48,AE$3&lt;=$E48),IF((AE$3-$D48+1)*VLOOKUP($A48,presupuesto!$B:$Q,16,FALSE)&gt;=VLOOKUP($A48,informe!$A:$J,9,FALSE),"cg","c"),"n")</f>
        <v>n</v>
      </c>
      <c r="AF48" s="195" t="str">
        <f>IF(AND(AF$3&gt;=$D48,AF$3&lt;=$E48),IF((AF$3-$D48+1)*VLOOKUP($A48,presupuesto!$B:$Q,16,FALSE)&gt;=VLOOKUP($A48,informe!$A:$J,9,FALSE),"cg","c"),"n")</f>
        <v>n</v>
      </c>
      <c r="AG48" s="195" t="str">
        <f>IF(AND(AG$3&gt;=$D48,AG$3&lt;=$E48),IF((AG$3-$D48+1)*VLOOKUP($A48,presupuesto!$B:$Q,16,FALSE)&gt;=VLOOKUP($A48,informe!$A:$J,9,FALSE),"cg","c"),"n")</f>
        <v>n</v>
      </c>
      <c r="AH48" s="195" t="str">
        <f>IF(AND(AH$3&gt;=$D48,AH$3&lt;=$E48),IF((AH$3-$D48+1)*VLOOKUP($A48,presupuesto!$B:$Q,16,FALSE)&gt;=VLOOKUP($A48,informe!$A:$J,9,FALSE),"cg","c"),"n")</f>
        <v>n</v>
      </c>
      <c r="AI48" s="195" t="str">
        <f>IF(AND(AI$3&gt;=$D48,AI$3&lt;=$E48),IF((AI$3-$D48+1)*VLOOKUP($A48,presupuesto!$B:$Q,16,FALSE)&gt;=VLOOKUP($A48,informe!$A:$J,9,FALSE),"cg","c"),"n")</f>
        <v>n</v>
      </c>
      <c r="AJ48" s="195" t="str">
        <f>IF(AND(AJ$3&gt;=$D48,AJ$3&lt;=$E48),IF((AJ$3-$D48+1)*VLOOKUP($A48,presupuesto!$B:$Q,16,FALSE)&gt;=VLOOKUP($A48,informe!$A:$J,9,FALSE),"cg","c"),"n")</f>
        <v>n</v>
      </c>
      <c r="AK48" s="196" t="str">
        <f>IF(AND(AK$3&gt;=$D48,AK$3&lt;=$E48),IF((AK$3-$D48+1)*VLOOKUP($A48,presupuesto!$B:$Q,16,FALSE)&gt;=VLOOKUP($A48,informe!$A:$J,9,FALSE),"cg","c"),"n")</f>
        <v>n</v>
      </c>
    </row>
    <row r="49" spans="1:37" s="1" customFormat="1" ht="15" customHeight="1" x14ac:dyDescent="0.3">
      <c r="A49" s="197">
        <f>presupuesto!B48</f>
        <v>0</v>
      </c>
      <c r="B49" s="181" t="str">
        <f>presupuesto!C48</f>
        <v xml:space="preserve">   CAPÍTULO III: SISTEMA DE TRATAMIENTO</v>
      </c>
      <c r="C49" s="174" t="str">
        <f>presupuesto!G48</f>
        <v>166 días</v>
      </c>
      <c r="D49" s="177">
        <f>presupuesto!N48</f>
        <v>45629</v>
      </c>
      <c r="E49" s="177">
        <f>presupuesto!O48</f>
        <v>45794</v>
      </c>
      <c r="F49" s="194" t="str">
        <f>IF(AK49="n",CONCATENATE(" - "),IF(AK49="cg",CONCATENATE(" - "),CONCATENATE(ROUND(IFERROR(VLOOKUP(A49,informe!A:J,9,FALSE)/VLOOKUP(A49,informe!A:J,5,FALSE),0)*100,2),"% ")))</f>
        <v xml:space="preserve"> - </v>
      </c>
      <c r="G49" s="195" t="str">
        <f>IF(AND(G$3&gt;=$D49,G$3&lt;=$E49),IF((G$3-$D49+1)*VLOOKUP($A49,presupuesto!$B:$Q,16,FALSE)&gt;=VLOOKUP($A49,informe!$A:$J,9,FALSE),"cg","c"),"n")</f>
        <v>n</v>
      </c>
      <c r="H49" s="195" t="str">
        <f>IF(AND(H$3&gt;=$D49,H$3&lt;=$E49),IF((H$3-$D49+1)*VLOOKUP($A49,presupuesto!$B:$Q,16,FALSE)&gt;=VLOOKUP($A49,informe!$A:$J,9,FALSE),"cg","c"),"n")</f>
        <v>n</v>
      </c>
      <c r="I49" s="195" t="str">
        <f>IF(AND(I$3&gt;=$D49,I$3&lt;=$E49),IF((I$3-$D49+1)*VLOOKUP($A49,presupuesto!$B:$Q,16,FALSE)&gt;=VLOOKUP($A49,informe!$A:$J,9,FALSE),"cg","c"),"n")</f>
        <v>cg</v>
      </c>
      <c r="J49" s="195" t="str">
        <f>IF(AND(J$3&gt;=$D49,J$3&lt;=$E49),IF((J$3-$D49+1)*VLOOKUP($A49,presupuesto!$B:$Q,16,FALSE)&gt;=VLOOKUP($A49,informe!$A:$J,9,FALSE),"cg","c"),"n")</f>
        <v>cg</v>
      </c>
      <c r="K49" s="195" t="str">
        <f>IF(AND(K$3&gt;=$D49,K$3&lt;=$E49),IF((K$3-$D49+1)*VLOOKUP($A49,presupuesto!$B:$Q,16,FALSE)&gt;=VLOOKUP($A49,informe!$A:$J,9,FALSE),"cg","c"),"n")</f>
        <v>cg</v>
      </c>
      <c r="L49" s="195" t="str">
        <f>IF(AND(L$3&gt;=$D49,L$3&lt;=$E49),IF((L$3-$D49+1)*VLOOKUP($A49,presupuesto!$B:$Q,16,FALSE)&gt;=VLOOKUP($A49,informe!$A:$J,9,FALSE),"cg","c"),"n")</f>
        <v>cg</v>
      </c>
      <c r="M49" s="195" t="str">
        <f>IF(AND(M$3&gt;=$D49,M$3&lt;=$E49),IF((M$3-$D49+1)*VLOOKUP($A49,presupuesto!$B:$Q,16,FALSE)&gt;=VLOOKUP($A49,informe!$A:$J,9,FALSE),"cg","c"),"n")</f>
        <v>cg</v>
      </c>
      <c r="N49" s="195" t="str">
        <f>IF(AND(N$3&gt;=$D49,N$3&lt;=$E49),IF((N$3-$D49+1)*VLOOKUP($A49,presupuesto!$B:$Q,16,FALSE)&gt;=VLOOKUP($A49,informe!$A:$J,9,FALSE),"cg","c"),"n")</f>
        <v>cg</v>
      </c>
      <c r="O49" s="195" t="str">
        <f>IF(AND(O$3&gt;=$D49,O$3&lt;=$E49),IF((O$3-$D49+1)*VLOOKUP($A49,presupuesto!$B:$Q,16,FALSE)&gt;=VLOOKUP($A49,informe!$A:$J,9,FALSE),"cg","c"),"n")</f>
        <v>cg</v>
      </c>
      <c r="P49" s="195" t="str">
        <f>IF(AND(P$3&gt;=$D49,P$3&lt;=$E49),IF((P$3-$D49+1)*VLOOKUP($A49,presupuesto!$B:$Q,16,FALSE)&gt;=VLOOKUP($A49,informe!$A:$J,9,FALSE),"cg","c"),"n")</f>
        <v>cg</v>
      </c>
      <c r="Q49" s="195" t="str">
        <f>IF(AND(Q$3&gt;=$D49,Q$3&lt;=$E49),IF((Q$3-$D49+1)*VLOOKUP($A49,presupuesto!$B:$Q,16,FALSE)&gt;=VLOOKUP($A49,informe!$A:$J,9,FALSE),"cg","c"),"n")</f>
        <v>cg</v>
      </c>
      <c r="R49" s="195" t="str">
        <f>IF(AND(R$3&gt;=$D49,R$3&lt;=$E49),IF((R$3-$D49+1)*VLOOKUP($A49,presupuesto!$B:$Q,16,FALSE)&gt;=VLOOKUP($A49,informe!$A:$J,9,FALSE),"cg","c"),"n")</f>
        <v>cg</v>
      </c>
      <c r="S49" s="195" t="str">
        <f>IF(AND(S$3&gt;=$D49,S$3&lt;=$E49),IF((S$3-$D49+1)*VLOOKUP($A49,presupuesto!$B:$Q,16,FALSE)&gt;=VLOOKUP($A49,informe!$A:$J,9,FALSE),"cg","c"),"n")</f>
        <v>cg</v>
      </c>
      <c r="T49" s="195" t="str">
        <f>IF(AND(T$3&gt;=$D49,T$3&lt;=$E49),IF((T$3-$D49+1)*VLOOKUP($A49,presupuesto!$B:$Q,16,FALSE)&gt;=VLOOKUP($A49,informe!$A:$J,9,FALSE),"cg","c"),"n")</f>
        <v>cg</v>
      </c>
      <c r="U49" s="195" t="str">
        <f>IF(AND(U$3&gt;=$D49,U$3&lt;=$E49),IF((U$3-$D49+1)*VLOOKUP($A49,presupuesto!$B:$Q,16,FALSE)&gt;=VLOOKUP($A49,informe!$A:$J,9,FALSE),"cg","c"),"n")</f>
        <v>cg</v>
      </c>
      <c r="V49" s="195" t="str">
        <f>IF(AND(V$3&gt;=$D49,V$3&lt;=$E49),IF((V$3-$D49+1)*VLOOKUP($A49,presupuesto!$B:$Q,16,FALSE)&gt;=VLOOKUP($A49,informe!$A:$J,9,FALSE),"cg","c"),"n")</f>
        <v>cg</v>
      </c>
      <c r="W49" s="195" t="str">
        <f>IF(AND(W$3&gt;=$D49,W$3&lt;=$E49),IF((W$3-$D49+1)*VLOOKUP($A49,presupuesto!$B:$Q,16,FALSE)&gt;=VLOOKUP($A49,informe!$A:$J,9,FALSE),"cg","c"),"n")</f>
        <v>cg</v>
      </c>
      <c r="X49" s="195" t="str">
        <f>IF(AND(X$3&gt;=$D49,X$3&lt;=$E49),IF((X$3-$D49+1)*VLOOKUP($A49,presupuesto!$B:$Q,16,FALSE)&gt;=VLOOKUP($A49,informe!$A:$J,9,FALSE),"cg","c"),"n")</f>
        <v>cg</v>
      </c>
      <c r="Y49" s="195" t="str">
        <f>IF(AND(Y$3&gt;=$D49,Y$3&lt;=$E49),IF((Y$3-$D49+1)*VLOOKUP($A49,presupuesto!$B:$Q,16,FALSE)&gt;=VLOOKUP($A49,informe!$A:$J,9,FALSE),"cg","c"),"n")</f>
        <v>cg</v>
      </c>
      <c r="Z49" s="195" t="str">
        <f>IF(AND(Z$3&gt;=$D49,Z$3&lt;=$E49),IF((Z$3-$D49+1)*VLOOKUP($A49,presupuesto!$B:$Q,16,FALSE)&gt;=VLOOKUP($A49,informe!$A:$J,9,FALSE),"cg","c"),"n")</f>
        <v>cg</v>
      </c>
      <c r="AA49" s="195" t="str">
        <f>IF(AND(AA$3&gt;=$D49,AA$3&lt;=$E49),IF((AA$3-$D49+1)*VLOOKUP($A49,presupuesto!$B:$Q,16,FALSE)&gt;=VLOOKUP($A49,informe!$A:$J,9,FALSE),"cg","c"),"n")</f>
        <v>cg</v>
      </c>
      <c r="AB49" s="195" t="str">
        <f>IF(AND(AB$3&gt;=$D49,AB$3&lt;=$E49),IF((AB$3-$D49+1)*VLOOKUP($A49,presupuesto!$B:$Q,16,FALSE)&gt;=VLOOKUP($A49,informe!$A:$J,9,FALSE),"cg","c"),"n")</f>
        <v>cg</v>
      </c>
      <c r="AC49" s="195" t="str">
        <f>IF(AND(AC$3&gt;=$D49,AC$3&lt;=$E49),IF((AC$3-$D49+1)*VLOOKUP($A49,presupuesto!$B:$Q,16,FALSE)&gt;=VLOOKUP($A49,informe!$A:$J,9,FALSE),"cg","c"),"n")</f>
        <v>cg</v>
      </c>
      <c r="AD49" s="195" t="str">
        <f>IF(AND(AD$3&gt;=$D49,AD$3&lt;=$E49),IF((AD$3-$D49+1)*VLOOKUP($A49,presupuesto!$B:$Q,16,FALSE)&gt;=VLOOKUP($A49,informe!$A:$J,9,FALSE),"cg","c"),"n")</f>
        <v>cg</v>
      </c>
      <c r="AE49" s="195" t="str">
        <f>IF(AND(AE$3&gt;=$D49,AE$3&lt;=$E49),IF((AE$3-$D49+1)*VLOOKUP($A49,presupuesto!$B:$Q,16,FALSE)&gt;=VLOOKUP($A49,informe!$A:$J,9,FALSE),"cg","c"),"n")</f>
        <v>cg</v>
      </c>
      <c r="AF49" s="195" t="str">
        <f>IF(AND(AF$3&gt;=$D49,AF$3&lt;=$E49),IF((AF$3-$D49+1)*VLOOKUP($A49,presupuesto!$B:$Q,16,FALSE)&gt;=VLOOKUP($A49,informe!$A:$J,9,FALSE),"cg","c"),"n")</f>
        <v>cg</v>
      </c>
      <c r="AG49" s="195" t="str">
        <f>IF(AND(AG$3&gt;=$D49,AG$3&lt;=$E49),IF((AG$3-$D49+1)*VLOOKUP($A49,presupuesto!$B:$Q,16,FALSE)&gt;=VLOOKUP($A49,informe!$A:$J,9,FALSE),"cg","c"),"n")</f>
        <v>cg</v>
      </c>
      <c r="AH49" s="195" t="str">
        <f>IF(AND(AH$3&gt;=$D49,AH$3&lt;=$E49),IF((AH$3-$D49+1)*VLOOKUP($A49,presupuesto!$B:$Q,16,FALSE)&gt;=VLOOKUP($A49,informe!$A:$J,9,FALSE),"cg","c"),"n")</f>
        <v>cg</v>
      </c>
      <c r="AI49" s="195" t="str">
        <f>IF(AND(AI$3&gt;=$D49,AI$3&lt;=$E49),IF((AI$3-$D49+1)*VLOOKUP($A49,presupuesto!$B:$Q,16,FALSE)&gt;=VLOOKUP($A49,informe!$A:$J,9,FALSE),"cg","c"),"n")</f>
        <v>cg</v>
      </c>
      <c r="AJ49" s="195" t="str">
        <f>IF(AND(AJ$3&gt;=$D49,AJ$3&lt;=$E49),IF((AJ$3-$D49+1)*VLOOKUP($A49,presupuesto!$B:$Q,16,FALSE)&gt;=VLOOKUP($A49,informe!$A:$J,9,FALSE),"cg","c"),"n")</f>
        <v>cg</v>
      </c>
      <c r="AK49" s="196" t="str">
        <f>IF(AND(AK$3&gt;=$D49,AK$3&lt;=$E49),IF((AK$3-$D49+1)*VLOOKUP($A49,presupuesto!$B:$Q,16,FALSE)&gt;=VLOOKUP($A49,informe!$A:$J,9,FALSE),"cg","c"),"n")</f>
        <v>cg</v>
      </c>
    </row>
    <row r="50" spans="1:37" s="1" customFormat="1" ht="15" customHeight="1" x14ac:dyDescent="0.3">
      <c r="A50" s="197" t="str">
        <f>presupuesto!B49</f>
        <v>A.-</v>
      </c>
      <c r="B50" s="181" t="str">
        <f>presupuesto!C49</f>
        <v xml:space="preserve">      SUMINISTRO E INSTALACIÓN DE MATERIALES Y EQUIPOS DE FILTRACIÓN</v>
      </c>
      <c r="C50" s="174" t="str">
        <f>presupuesto!G49</f>
        <v>136 días</v>
      </c>
      <c r="D50" s="177">
        <f>presupuesto!N49</f>
        <v>45629</v>
      </c>
      <c r="E50" s="177">
        <f>presupuesto!O49</f>
        <v>45764</v>
      </c>
      <c r="F50" s="194" t="str">
        <f>IF(AK50="n",CONCATENATE(" - "),IF(AK50="cg",CONCATENATE(" - "),CONCATENATE(ROUND(IFERROR(VLOOKUP(A50,informe!A:J,9,FALSE)/VLOOKUP(A50,informe!A:J,5,FALSE),0)*100,2),"% ")))</f>
        <v xml:space="preserve"> - </v>
      </c>
      <c r="G50" s="195" t="str">
        <f>IF(AND(G$3&gt;=$D50,G$3&lt;=$E50),IF((G$3-$D50+1)*VLOOKUP($A50,presupuesto!$B:$Q,16,FALSE)&gt;=VLOOKUP($A50,informe!$A:$J,9,FALSE),"cg","c"),"n")</f>
        <v>n</v>
      </c>
      <c r="H50" s="195" t="str">
        <f>IF(AND(H$3&gt;=$D50,H$3&lt;=$E50),IF((H$3-$D50+1)*VLOOKUP($A50,presupuesto!$B:$Q,16,FALSE)&gt;=VLOOKUP($A50,informe!$A:$J,9,FALSE),"cg","c"),"n")</f>
        <v>n</v>
      </c>
      <c r="I50" s="195" t="str">
        <f>IF(AND(I$3&gt;=$D50,I$3&lt;=$E50),IF((I$3-$D50+1)*VLOOKUP($A50,presupuesto!$B:$Q,16,FALSE)&gt;=VLOOKUP($A50,informe!$A:$J,9,FALSE),"cg","c"),"n")</f>
        <v>cg</v>
      </c>
      <c r="J50" s="195" t="str">
        <f>IF(AND(J$3&gt;=$D50,J$3&lt;=$E50),IF((J$3-$D50+1)*VLOOKUP($A50,presupuesto!$B:$Q,16,FALSE)&gt;=VLOOKUP($A50,informe!$A:$J,9,FALSE),"cg","c"),"n")</f>
        <v>cg</v>
      </c>
      <c r="K50" s="195" t="str">
        <f>IF(AND(K$3&gt;=$D50,K$3&lt;=$E50),IF((K$3-$D50+1)*VLOOKUP($A50,presupuesto!$B:$Q,16,FALSE)&gt;=VLOOKUP($A50,informe!$A:$J,9,FALSE),"cg","c"),"n")</f>
        <v>cg</v>
      </c>
      <c r="L50" s="195" t="str">
        <f>IF(AND(L$3&gt;=$D50,L$3&lt;=$E50),IF((L$3-$D50+1)*VLOOKUP($A50,presupuesto!$B:$Q,16,FALSE)&gt;=VLOOKUP($A50,informe!$A:$J,9,FALSE),"cg","c"),"n")</f>
        <v>cg</v>
      </c>
      <c r="M50" s="195" t="str">
        <f>IF(AND(M$3&gt;=$D50,M$3&lt;=$E50),IF((M$3-$D50+1)*VLOOKUP($A50,presupuesto!$B:$Q,16,FALSE)&gt;=VLOOKUP($A50,informe!$A:$J,9,FALSE),"cg","c"),"n")</f>
        <v>cg</v>
      </c>
      <c r="N50" s="195" t="str">
        <f>IF(AND(N$3&gt;=$D50,N$3&lt;=$E50),IF((N$3-$D50+1)*VLOOKUP($A50,presupuesto!$B:$Q,16,FALSE)&gt;=VLOOKUP($A50,informe!$A:$J,9,FALSE),"cg","c"),"n")</f>
        <v>cg</v>
      </c>
      <c r="O50" s="195" t="str">
        <f>IF(AND(O$3&gt;=$D50,O$3&lt;=$E50),IF((O$3-$D50+1)*VLOOKUP($A50,presupuesto!$B:$Q,16,FALSE)&gt;=VLOOKUP($A50,informe!$A:$J,9,FALSE),"cg","c"),"n")</f>
        <v>cg</v>
      </c>
      <c r="P50" s="195" t="str">
        <f>IF(AND(P$3&gt;=$D50,P$3&lt;=$E50),IF((P$3-$D50+1)*VLOOKUP($A50,presupuesto!$B:$Q,16,FALSE)&gt;=VLOOKUP($A50,informe!$A:$J,9,FALSE),"cg","c"),"n")</f>
        <v>cg</v>
      </c>
      <c r="Q50" s="195" t="str">
        <f>IF(AND(Q$3&gt;=$D50,Q$3&lt;=$E50),IF((Q$3-$D50+1)*VLOOKUP($A50,presupuesto!$B:$Q,16,FALSE)&gt;=VLOOKUP($A50,informe!$A:$J,9,FALSE),"cg","c"),"n")</f>
        <v>cg</v>
      </c>
      <c r="R50" s="195" t="str">
        <f>IF(AND(R$3&gt;=$D50,R$3&lt;=$E50),IF((R$3-$D50+1)*VLOOKUP($A50,presupuesto!$B:$Q,16,FALSE)&gt;=VLOOKUP($A50,informe!$A:$J,9,FALSE),"cg","c"),"n")</f>
        <v>cg</v>
      </c>
      <c r="S50" s="195" t="str">
        <f>IF(AND(S$3&gt;=$D50,S$3&lt;=$E50),IF((S$3-$D50+1)*VLOOKUP($A50,presupuesto!$B:$Q,16,FALSE)&gt;=VLOOKUP($A50,informe!$A:$J,9,FALSE),"cg","c"),"n")</f>
        <v>cg</v>
      </c>
      <c r="T50" s="195" t="str">
        <f>IF(AND(T$3&gt;=$D50,T$3&lt;=$E50),IF((T$3-$D50+1)*VLOOKUP($A50,presupuesto!$B:$Q,16,FALSE)&gt;=VLOOKUP($A50,informe!$A:$J,9,FALSE),"cg","c"),"n")</f>
        <v>cg</v>
      </c>
      <c r="U50" s="195" t="str">
        <f>IF(AND(U$3&gt;=$D50,U$3&lt;=$E50),IF((U$3-$D50+1)*VLOOKUP($A50,presupuesto!$B:$Q,16,FALSE)&gt;=VLOOKUP($A50,informe!$A:$J,9,FALSE),"cg","c"),"n")</f>
        <v>cg</v>
      </c>
      <c r="V50" s="195" t="str">
        <f>IF(AND(V$3&gt;=$D50,V$3&lt;=$E50),IF((V$3-$D50+1)*VLOOKUP($A50,presupuesto!$B:$Q,16,FALSE)&gt;=VLOOKUP($A50,informe!$A:$J,9,FALSE),"cg","c"),"n")</f>
        <v>cg</v>
      </c>
      <c r="W50" s="195" t="str">
        <f>IF(AND(W$3&gt;=$D50,W$3&lt;=$E50),IF((W$3-$D50+1)*VLOOKUP($A50,presupuesto!$B:$Q,16,FALSE)&gt;=VLOOKUP($A50,informe!$A:$J,9,FALSE),"cg","c"),"n")</f>
        <v>cg</v>
      </c>
      <c r="X50" s="195" t="str">
        <f>IF(AND(X$3&gt;=$D50,X$3&lt;=$E50),IF((X$3-$D50+1)*VLOOKUP($A50,presupuesto!$B:$Q,16,FALSE)&gt;=VLOOKUP($A50,informe!$A:$J,9,FALSE),"cg","c"),"n")</f>
        <v>cg</v>
      </c>
      <c r="Y50" s="195" t="str">
        <f>IF(AND(Y$3&gt;=$D50,Y$3&lt;=$E50),IF((Y$3-$D50+1)*VLOOKUP($A50,presupuesto!$B:$Q,16,FALSE)&gt;=VLOOKUP($A50,informe!$A:$J,9,FALSE),"cg","c"),"n")</f>
        <v>cg</v>
      </c>
      <c r="Z50" s="195" t="str">
        <f>IF(AND(Z$3&gt;=$D50,Z$3&lt;=$E50),IF((Z$3-$D50+1)*VLOOKUP($A50,presupuesto!$B:$Q,16,FALSE)&gt;=VLOOKUP($A50,informe!$A:$J,9,FALSE),"cg","c"),"n")</f>
        <v>cg</v>
      </c>
      <c r="AA50" s="195" t="str">
        <f>IF(AND(AA$3&gt;=$D50,AA$3&lt;=$E50),IF((AA$3-$D50+1)*VLOOKUP($A50,presupuesto!$B:$Q,16,FALSE)&gt;=VLOOKUP($A50,informe!$A:$J,9,FALSE),"cg","c"),"n")</f>
        <v>cg</v>
      </c>
      <c r="AB50" s="195" t="str">
        <f>IF(AND(AB$3&gt;=$D50,AB$3&lt;=$E50),IF((AB$3-$D50+1)*VLOOKUP($A50,presupuesto!$B:$Q,16,FALSE)&gt;=VLOOKUP($A50,informe!$A:$J,9,FALSE),"cg","c"),"n")</f>
        <v>cg</v>
      </c>
      <c r="AC50" s="195" t="str">
        <f>IF(AND(AC$3&gt;=$D50,AC$3&lt;=$E50),IF((AC$3-$D50+1)*VLOOKUP($A50,presupuesto!$B:$Q,16,FALSE)&gt;=VLOOKUP($A50,informe!$A:$J,9,FALSE),"cg","c"),"n")</f>
        <v>cg</v>
      </c>
      <c r="AD50" s="195" t="str">
        <f>IF(AND(AD$3&gt;=$D50,AD$3&lt;=$E50),IF((AD$3-$D50+1)*VLOOKUP($A50,presupuesto!$B:$Q,16,FALSE)&gt;=VLOOKUP($A50,informe!$A:$J,9,FALSE),"cg","c"),"n")</f>
        <v>cg</v>
      </c>
      <c r="AE50" s="195" t="str">
        <f>IF(AND(AE$3&gt;=$D50,AE$3&lt;=$E50),IF((AE$3-$D50+1)*VLOOKUP($A50,presupuesto!$B:$Q,16,FALSE)&gt;=VLOOKUP($A50,informe!$A:$J,9,FALSE),"cg","c"),"n")</f>
        <v>cg</v>
      </c>
      <c r="AF50" s="195" t="str">
        <f>IF(AND(AF$3&gt;=$D50,AF$3&lt;=$E50),IF((AF$3-$D50+1)*VLOOKUP($A50,presupuesto!$B:$Q,16,FALSE)&gt;=VLOOKUP($A50,informe!$A:$J,9,FALSE),"cg","c"),"n")</f>
        <v>cg</v>
      </c>
      <c r="AG50" s="195" t="str">
        <f>IF(AND(AG$3&gt;=$D50,AG$3&lt;=$E50),IF((AG$3-$D50+1)*VLOOKUP($A50,presupuesto!$B:$Q,16,FALSE)&gt;=VLOOKUP($A50,informe!$A:$J,9,FALSE),"cg","c"),"n")</f>
        <v>cg</v>
      </c>
      <c r="AH50" s="195" t="str">
        <f>IF(AND(AH$3&gt;=$D50,AH$3&lt;=$E50),IF((AH$3-$D50+1)*VLOOKUP($A50,presupuesto!$B:$Q,16,FALSE)&gt;=VLOOKUP($A50,informe!$A:$J,9,FALSE),"cg","c"),"n")</f>
        <v>cg</v>
      </c>
      <c r="AI50" s="195" t="str">
        <f>IF(AND(AI$3&gt;=$D50,AI$3&lt;=$E50),IF((AI$3-$D50+1)*VLOOKUP($A50,presupuesto!$B:$Q,16,FALSE)&gt;=VLOOKUP($A50,informe!$A:$J,9,FALSE),"cg","c"),"n")</f>
        <v>cg</v>
      </c>
      <c r="AJ50" s="195" t="str">
        <f>IF(AND(AJ$3&gt;=$D50,AJ$3&lt;=$E50),IF((AJ$3-$D50+1)*VLOOKUP($A50,presupuesto!$B:$Q,16,FALSE)&gt;=VLOOKUP($A50,informe!$A:$J,9,FALSE),"cg","c"),"n")</f>
        <v>cg</v>
      </c>
      <c r="AK50" s="196" t="str">
        <f>IF(AND(AK$3&gt;=$D50,AK$3&lt;=$E50),IF((AK$3-$D50+1)*VLOOKUP($A50,presupuesto!$B:$Q,16,FALSE)&gt;=VLOOKUP($A50,informe!$A:$J,9,FALSE),"cg","c"),"n")</f>
        <v>cg</v>
      </c>
    </row>
    <row r="51" spans="1:37" s="1" customFormat="1" ht="15" customHeight="1" x14ac:dyDescent="0.25">
      <c r="A51" s="197">
        <f>presupuesto!B50</f>
        <v>29</v>
      </c>
      <c r="B51" s="182" t="str">
        <f>presupuesto!C50</f>
        <v xml:space="preserve">         Filtro Floculador Multicapa en Profundidad AQP 1350AB</v>
      </c>
      <c r="C51" s="174" t="str">
        <f>presupuesto!G50</f>
        <v>120 días</v>
      </c>
      <c r="D51" s="177">
        <f>presupuesto!N50</f>
        <v>45629</v>
      </c>
      <c r="E51" s="177">
        <f>presupuesto!O50</f>
        <v>45748</v>
      </c>
      <c r="F51" s="194" t="str">
        <f>IF(AK51="n",CONCATENATE(" - "),IF(AK51="cg",CONCATENATE(" - "),CONCATENATE(ROUND(IFERROR(VLOOKUP(A51,informe!A:J,9,FALSE)/VLOOKUP(A51,informe!A:J,5,FALSE),0)*100,2),"% ")))</f>
        <v xml:space="preserve"> - </v>
      </c>
      <c r="G51" s="195" t="str">
        <f>IF(AND(G$3&gt;=$D51,G$3&lt;=$E51),IF((G$3-$D51+1)*VLOOKUP($A51,presupuesto!$B:$Q,16,FALSE)&gt;=VLOOKUP($A51,informe!$A:$J,9,FALSE),"cg","c"),"n")</f>
        <v>n</v>
      </c>
      <c r="H51" s="195" t="str">
        <f>IF(AND(H$3&gt;=$D51,H$3&lt;=$E51),IF((H$3-$D51+1)*VLOOKUP($A51,presupuesto!$B:$Q,16,FALSE)&gt;=VLOOKUP($A51,informe!$A:$J,9,FALSE),"cg","c"),"n")</f>
        <v>n</v>
      </c>
      <c r="I51" s="195" t="str">
        <f>IF(AND(I$3&gt;=$D51,I$3&lt;=$E51),IF((I$3-$D51+1)*VLOOKUP($A51,presupuesto!$B:$Q,16,FALSE)&gt;=VLOOKUP($A51,informe!$A:$J,9,FALSE),"cg","c"),"n")</f>
        <v>cg</v>
      </c>
      <c r="J51" s="195" t="str">
        <f>IF(AND(J$3&gt;=$D51,J$3&lt;=$E51),IF((J$3-$D51+1)*VLOOKUP($A51,presupuesto!$B:$Q,16,FALSE)&gt;=VLOOKUP($A51,informe!$A:$J,9,FALSE),"cg","c"),"n")</f>
        <v>cg</v>
      </c>
      <c r="K51" s="195" t="str">
        <f>IF(AND(K$3&gt;=$D51,K$3&lt;=$E51),IF((K$3-$D51+1)*VLOOKUP($A51,presupuesto!$B:$Q,16,FALSE)&gt;=VLOOKUP($A51,informe!$A:$J,9,FALSE),"cg","c"),"n")</f>
        <v>cg</v>
      </c>
      <c r="L51" s="195" t="str">
        <f>IF(AND(L$3&gt;=$D51,L$3&lt;=$E51),IF((L$3-$D51+1)*VLOOKUP($A51,presupuesto!$B:$Q,16,FALSE)&gt;=VLOOKUP($A51,informe!$A:$J,9,FALSE),"cg","c"),"n")</f>
        <v>cg</v>
      </c>
      <c r="M51" s="195" t="str">
        <f>IF(AND(M$3&gt;=$D51,M$3&lt;=$E51),IF((M$3-$D51+1)*VLOOKUP($A51,presupuesto!$B:$Q,16,FALSE)&gt;=VLOOKUP($A51,informe!$A:$J,9,FALSE),"cg","c"),"n")</f>
        <v>cg</v>
      </c>
      <c r="N51" s="195" t="str">
        <f>IF(AND(N$3&gt;=$D51,N$3&lt;=$E51),IF((N$3-$D51+1)*VLOOKUP($A51,presupuesto!$B:$Q,16,FALSE)&gt;=VLOOKUP($A51,informe!$A:$J,9,FALSE),"cg","c"),"n")</f>
        <v>cg</v>
      </c>
      <c r="O51" s="195" t="str">
        <f>IF(AND(O$3&gt;=$D51,O$3&lt;=$E51),IF((O$3-$D51+1)*VLOOKUP($A51,presupuesto!$B:$Q,16,FALSE)&gt;=VLOOKUP($A51,informe!$A:$J,9,FALSE),"cg","c"),"n")</f>
        <v>cg</v>
      </c>
      <c r="P51" s="195" t="str">
        <f>IF(AND(P$3&gt;=$D51,P$3&lt;=$E51),IF((P$3-$D51+1)*VLOOKUP($A51,presupuesto!$B:$Q,16,FALSE)&gt;=VLOOKUP($A51,informe!$A:$J,9,FALSE),"cg","c"),"n")</f>
        <v>cg</v>
      </c>
      <c r="Q51" s="195" t="str">
        <f>IF(AND(Q$3&gt;=$D51,Q$3&lt;=$E51),IF((Q$3-$D51+1)*VLOOKUP($A51,presupuesto!$B:$Q,16,FALSE)&gt;=VLOOKUP($A51,informe!$A:$J,9,FALSE),"cg","c"),"n")</f>
        <v>cg</v>
      </c>
      <c r="R51" s="195" t="str">
        <f>IF(AND(R$3&gt;=$D51,R$3&lt;=$E51),IF((R$3-$D51+1)*VLOOKUP($A51,presupuesto!$B:$Q,16,FALSE)&gt;=VLOOKUP($A51,informe!$A:$J,9,FALSE),"cg","c"),"n")</f>
        <v>cg</v>
      </c>
      <c r="S51" s="195" t="str">
        <f>IF(AND(S$3&gt;=$D51,S$3&lt;=$E51),IF((S$3-$D51+1)*VLOOKUP($A51,presupuesto!$B:$Q,16,FALSE)&gt;=VLOOKUP($A51,informe!$A:$J,9,FALSE),"cg","c"),"n")</f>
        <v>cg</v>
      </c>
      <c r="T51" s="195" t="str">
        <f>IF(AND(T$3&gt;=$D51,T$3&lt;=$E51),IF((T$3-$D51+1)*VLOOKUP($A51,presupuesto!$B:$Q,16,FALSE)&gt;=VLOOKUP($A51,informe!$A:$J,9,FALSE),"cg","c"),"n")</f>
        <v>cg</v>
      </c>
      <c r="U51" s="195" t="str">
        <f>IF(AND(U$3&gt;=$D51,U$3&lt;=$E51),IF((U$3-$D51+1)*VLOOKUP($A51,presupuesto!$B:$Q,16,FALSE)&gt;=VLOOKUP($A51,informe!$A:$J,9,FALSE),"cg","c"),"n")</f>
        <v>cg</v>
      </c>
      <c r="V51" s="195" t="str">
        <f>IF(AND(V$3&gt;=$D51,V$3&lt;=$E51),IF((V$3-$D51+1)*VLOOKUP($A51,presupuesto!$B:$Q,16,FALSE)&gt;=VLOOKUP($A51,informe!$A:$J,9,FALSE),"cg","c"),"n")</f>
        <v>cg</v>
      </c>
      <c r="W51" s="195" t="str">
        <f>IF(AND(W$3&gt;=$D51,W$3&lt;=$E51),IF((W$3-$D51+1)*VLOOKUP($A51,presupuesto!$B:$Q,16,FALSE)&gt;=VLOOKUP($A51,informe!$A:$J,9,FALSE),"cg","c"),"n")</f>
        <v>cg</v>
      </c>
      <c r="X51" s="195" t="str">
        <f>IF(AND(X$3&gt;=$D51,X$3&lt;=$E51),IF((X$3-$D51+1)*VLOOKUP($A51,presupuesto!$B:$Q,16,FALSE)&gt;=VLOOKUP($A51,informe!$A:$J,9,FALSE),"cg","c"),"n")</f>
        <v>cg</v>
      </c>
      <c r="Y51" s="195" t="str">
        <f>IF(AND(Y$3&gt;=$D51,Y$3&lt;=$E51),IF((Y$3-$D51+1)*VLOOKUP($A51,presupuesto!$B:$Q,16,FALSE)&gt;=VLOOKUP($A51,informe!$A:$J,9,FALSE),"cg","c"),"n")</f>
        <v>cg</v>
      </c>
      <c r="Z51" s="195" t="str">
        <f>IF(AND(Z$3&gt;=$D51,Z$3&lt;=$E51),IF((Z$3-$D51+1)*VLOOKUP($A51,presupuesto!$B:$Q,16,FALSE)&gt;=VLOOKUP($A51,informe!$A:$J,9,FALSE),"cg","c"),"n")</f>
        <v>cg</v>
      </c>
      <c r="AA51" s="195" t="str">
        <f>IF(AND(AA$3&gt;=$D51,AA$3&lt;=$E51),IF((AA$3-$D51+1)*VLOOKUP($A51,presupuesto!$B:$Q,16,FALSE)&gt;=VLOOKUP($A51,informe!$A:$J,9,FALSE),"cg","c"),"n")</f>
        <v>cg</v>
      </c>
      <c r="AB51" s="195" t="str">
        <f>IF(AND(AB$3&gt;=$D51,AB$3&lt;=$E51),IF((AB$3-$D51+1)*VLOOKUP($A51,presupuesto!$B:$Q,16,FALSE)&gt;=VLOOKUP($A51,informe!$A:$J,9,FALSE),"cg","c"),"n")</f>
        <v>cg</v>
      </c>
      <c r="AC51" s="195" t="str">
        <f>IF(AND(AC$3&gt;=$D51,AC$3&lt;=$E51),IF((AC$3-$D51+1)*VLOOKUP($A51,presupuesto!$B:$Q,16,FALSE)&gt;=VLOOKUP($A51,informe!$A:$J,9,FALSE),"cg","c"),"n")</f>
        <v>cg</v>
      </c>
      <c r="AD51" s="195" t="str">
        <f>IF(AND(AD$3&gt;=$D51,AD$3&lt;=$E51),IF((AD$3-$D51+1)*VLOOKUP($A51,presupuesto!$B:$Q,16,FALSE)&gt;=VLOOKUP($A51,informe!$A:$J,9,FALSE),"cg","c"),"n")</f>
        <v>cg</v>
      </c>
      <c r="AE51" s="195" t="str">
        <f>IF(AND(AE$3&gt;=$D51,AE$3&lt;=$E51),IF((AE$3-$D51+1)*VLOOKUP($A51,presupuesto!$B:$Q,16,FALSE)&gt;=VLOOKUP($A51,informe!$A:$J,9,FALSE),"cg","c"),"n")</f>
        <v>cg</v>
      </c>
      <c r="AF51" s="195" t="str">
        <f>IF(AND(AF$3&gt;=$D51,AF$3&lt;=$E51),IF((AF$3-$D51+1)*VLOOKUP($A51,presupuesto!$B:$Q,16,FALSE)&gt;=VLOOKUP($A51,informe!$A:$J,9,FALSE),"cg","c"),"n")</f>
        <v>cg</v>
      </c>
      <c r="AG51" s="195" t="str">
        <f>IF(AND(AG$3&gt;=$D51,AG$3&lt;=$E51),IF((AG$3-$D51+1)*VLOOKUP($A51,presupuesto!$B:$Q,16,FALSE)&gt;=VLOOKUP($A51,informe!$A:$J,9,FALSE),"cg","c"),"n")</f>
        <v>cg</v>
      </c>
      <c r="AH51" s="195" t="str">
        <f>IF(AND(AH$3&gt;=$D51,AH$3&lt;=$E51),IF((AH$3-$D51+1)*VLOOKUP($A51,presupuesto!$B:$Q,16,FALSE)&gt;=VLOOKUP($A51,informe!$A:$J,9,FALSE),"cg","c"),"n")</f>
        <v>cg</v>
      </c>
      <c r="AI51" s="195" t="str">
        <f>IF(AND(AI$3&gt;=$D51,AI$3&lt;=$E51),IF((AI$3-$D51+1)*VLOOKUP($A51,presupuesto!$B:$Q,16,FALSE)&gt;=VLOOKUP($A51,informe!$A:$J,9,FALSE),"cg","c"),"n")</f>
        <v>cg</v>
      </c>
      <c r="AJ51" s="195" t="str">
        <f>IF(AND(AJ$3&gt;=$D51,AJ$3&lt;=$E51),IF((AJ$3-$D51+1)*VLOOKUP($A51,presupuesto!$B:$Q,16,FALSE)&gt;=VLOOKUP($A51,informe!$A:$J,9,FALSE),"cg","c"),"n")</f>
        <v>cg</v>
      </c>
      <c r="AK51" s="196" t="str">
        <f>IF(AND(AK$3&gt;=$D51,AK$3&lt;=$E51),IF((AK$3-$D51+1)*VLOOKUP($A51,presupuesto!$B:$Q,16,FALSE)&gt;=VLOOKUP($A51,informe!$A:$J,9,FALSE),"cg","c"),"n")</f>
        <v>cg</v>
      </c>
    </row>
    <row r="52" spans="1:37" s="1" customFormat="1" ht="15" customHeight="1" x14ac:dyDescent="0.25">
      <c r="A52" s="197">
        <f>presupuesto!B51</f>
        <v>30</v>
      </c>
      <c r="B52" s="182" t="str">
        <f>presupuesto!C51</f>
        <v xml:space="preserve">         Filtro Carbón Activado AQP 1350CA</v>
      </c>
      <c r="C52" s="174" t="str">
        <f>presupuesto!G51</f>
        <v>120 días</v>
      </c>
      <c r="D52" s="177">
        <f>presupuesto!N51</f>
        <v>45645</v>
      </c>
      <c r="E52" s="177">
        <f>presupuesto!O51</f>
        <v>45764</v>
      </c>
      <c r="F52" s="194" t="str">
        <f>IF(AK52="n",CONCATENATE(" - "),IF(AK52="cg",CONCATENATE(" - "),CONCATENATE(ROUND(IFERROR(VLOOKUP(A52,informe!A:J,9,FALSE)/VLOOKUP(A52,informe!A:J,5,FALSE),0)*100,2),"% ")))</f>
        <v xml:space="preserve"> - </v>
      </c>
      <c r="G52" s="195" t="str">
        <f>IF(AND(G$3&gt;=$D52,G$3&lt;=$E52),IF((G$3-$D52+1)*VLOOKUP($A52,presupuesto!$B:$Q,16,FALSE)&gt;=VLOOKUP($A52,informe!$A:$J,9,FALSE),"cg","c"),"n")</f>
        <v>n</v>
      </c>
      <c r="H52" s="195" t="str">
        <f>IF(AND(H$3&gt;=$D52,H$3&lt;=$E52),IF((H$3-$D52+1)*VLOOKUP($A52,presupuesto!$B:$Q,16,FALSE)&gt;=VLOOKUP($A52,informe!$A:$J,9,FALSE),"cg","c"),"n")</f>
        <v>n</v>
      </c>
      <c r="I52" s="195" t="str">
        <f>IF(AND(I$3&gt;=$D52,I$3&lt;=$E52),IF((I$3-$D52+1)*VLOOKUP($A52,presupuesto!$B:$Q,16,FALSE)&gt;=VLOOKUP($A52,informe!$A:$J,9,FALSE),"cg","c"),"n")</f>
        <v>n</v>
      </c>
      <c r="J52" s="195" t="str">
        <f>IF(AND(J$3&gt;=$D52,J$3&lt;=$E52),IF((J$3-$D52+1)*VLOOKUP($A52,presupuesto!$B:$Q,16,FALSE)&gt;=VLOOKUP($A52,informe!$A:$J,9,FALSE),"cg","c"),"n")</f>
        <v>n</v>
      </c>
      <c r="K52" s="195" t="str">
        <f>IF(AND(K$3&gt;=$D52,K$3&lt;=$E52),IF((K$3-$D52+1)*VLOOKUP($A52,presupuesto!$B:$Q,16,FALSE)&gt;=VLOOKUP($A52,informe!$A:$J,9,FALSE),"cg","c"),"n")</f>
        <v>n</v>
      </c>
      <c r="L52" s="195" t="str">
        <f>IF(AND(L$3&gt;=$D52,L$3&lt;=$E52),IF((L$3-$D52+1)*VLOOKUP($A52,presupuesto!$B:$Q,16,FALSE)&gt;=VLOOKUP($A52,informe!$A:$J,9,FALSE),"cg","c"),"n")</f>
        <v>n</v>
      </c>
      <c r="M52" s="195" t="str">
        <f>IF(AND(M$3&gt;=$D52,M$3&lt;=$E52),IF((M$3-$D52+1)*VLOOKUP($A52,presupuesto!$B:$Q,16,FALSE)&gt;=VLOOKUP($A52,informe!$A:$J,9,FALSE),"cg","c"),"n")</f>
        <v>n</v>
      </c>
      <c r="N52" s="195" t="str">
        <f>IF(AND(N$3&gt;=$D52,N$3&lt;=$E52),IF((N$3-$D52+1)*VLOOKUP($A52,presupuesto!$B:$Q,16,FALSE)&gt;=VLOOKUP($A52,informe!$A:$J,9,FALSE),"cg","c"),"n")</f>
        <v>n</v>
      </c>
      <c r="O52" s="195" t="str">
        <f>IF(AND(O$3&gt;=$D52,O$3&lt;=$E52),IF((O$3-$D52+1)*VLOOKUP($A52,presupuesto!$B:$Q,16,FALSE)&gt;=VLOOKUP($A52,informe!$A:$J,9,FALSE),"cg","c"),"n")</f>
        <v>n</v>
      </c>
      <c r="P52" s="195" t="str">
        <f>IF(AND(P$3&gt;=$D52,P$3&lt;=$E52),IF((P$3-$D52+1)*VLOOKUP($A52,presupuesto!$B:$Q,16,FALSE)&gt;=VLOOKUP($A52,informe!$A:$J,9,FALSE),"cg","c"),"n")</f>
        <v>n</v>
      </c>
      <c r="Q52" s="195" t="str">
        <f>IF(AND(Q$3&gt;=$D52,Q$3&lt;=$E52),IF((Q$3-$D52+1)*VLOOKUP($A52,presupuesto!$B:$Q,16,FALSE)&gt;=VLOOKUP($A52,informe!$A:$J,9,FALSE),"cg","c"),"n")</f>
        <v>n</v>
      </c>
      <c r="R52" s="195" t="str">
        <f>IF(AND(R$3&gt;=$D52,R$3&lt;=$E52),IF((R$3-$D52+1)*VLOOKUP($A52,presupuesto!$B:$Q,16,FALSE)&gt;=VLOOKUP($A52,informe!$A:$J,9,FALSE),"cg","c"),"n")</f>
        <v>n</v>
      </c>
      <c r="S52" s="195" t="str">
        <f>IF(AND(S$3&gt;=$D52,S$3&lt;=$E52),IF((S$3-$D52+1)*VLOOKUP($A52,presupuesto!$B:$Q,16,FALSE)&gt;=VLOOKUP($A52,informe!$A:$J,9,FALSE),"cg","c"),"n")</f>
        <v>n</v>
      </c>
      <c r="T52" s="195" t="str">
        <f>IF(AND(T$3&gt;=$D52,T$3&lt;=$E52),IF((T$3-$D52+1)*VLOOKUP($A52,presupuesto!$B:$Q,16,FALSE)&gt;=VLOOKUP($A52,informe!$A:$J,9,FALSE),"cg","c"),"n")</f>
        <v>n</v>
      </c>
      <c r="U52" s="195" t="str">
        <f>IF(AND(U$3&gt;=$D52,U$3&lt;=$E52),IF((U$3-$D52+1)*VLOOKUP($A52,presupuesto!$B:$Q,16,FALSE)&gt;=VLOOKUP($A52,informe!$A:$J,9,FALSE),"cg","c"),"n")</f>
        <v>n</v>
      </c>
      <c r="V52" s="195" t="str">
        <f>IF(AND(V$3&gt;=$D52,V$3&lt;=$E52),IF((V$3-$D52+1)*VLOOKUP($A52,presupuesto!$B:$Q,16,FALSE)&gt;=VLOOKUP($A52,informe!$A:$J,9,FALSE),"cg","c"),"n")</f>
        <v>n</v>
      </c>
      <c r="W52" s="195" t="str">
        <f>IF(AND(W$3&gt;=$D52,W$3&lt;=$E52),IF((W$3-$D52+1)*VLOOKUP($A52,presupuesto!$B:$Q,16,FALSE)&gt;=VLOOKUP($A52,informe!$A:$J,9,FALSE),"cg","c"),"n")</f>
        <v>n</v>
      </c>
      <c r="X52" s="195" t="str">
        <f>IF(AND(X$3&gt;=$D52,X$3&lt;=$E52),IF((X$3-$D52+1)*VLOOKUP($A52,presupuesto!$B:$Q,16,FALSE)&gt;=VLOOKUP($A52,informe!$A:$J,9,FALSE),"cg","c"),"n")</f>
        <v>n</v>
      </c>
      <c r="Y52" s="195" t="str">
        <f>IF(AND(Y$3&gt;=$D52,Y$3&lt;=$E52),IF((Y$3-$D52+1)*VLOOKUP($A52,presupuesto!$B:$Q,16,FALSE)&gt;=VLOOKUP($A52,informe!$A:$J,9,FALSE),"cg","c"),"n")</f>
        <v>cg</v>
      </c>
      <c r="Z52" s="195" t="str">
        <f>IF(AND(Z$3&gt;=$D52,Z$3&lt;=$E52),IF((Z$3-$D52+1)*VLOOKUP($A52,presupuesto!$B:$Q,16,FALSE)&gt;=VLOOKUP($A52,informe!$A:$J,9,FALSE),"cg","c"),"n")</f>
        <v>cg</v>
      </c>
      <c r="AA52" s="195" t="str">
        <f>IF(AND(AA$3&gt;=$D52,AA$3&lt;=$E52),IF((AA$3-$D52+1)*VLOOKUP($A52,presupuesto!$B:$Q,16,FALSE)&gt;=VLOOKUP($A52,informe!$A:$J,9,FALSE),"cg","c"),"n")</f>
        <v>cg</v>
      </c>
      <c r="AB52" s="195" t="str">
        <f>IF(AND(AB$3&gt;=$D52,AB$3&lt;=$E52),IF((AB$3-$D52+1)*VLOOKUP($A52,presupuesto!$B:$Q,16,FALSE)&gt;=VLOOKUP($A52,informe!$A:$J,9,FALSE),"cg","c"),"n")</f>
        <v>cg</v>
      </c>
      <c r="AC52" s="195" t="str">
        <f>IF(AND(AC$3&gt;=$D52,AC$3&lt;=$E52),IF((AC$3-$D52+1)*VLOOKUP($A52,presupuesto!$B:$Q,16,FALSE)&gt;=VLOOKUP($A52,informe!$A:$J,9,FALSE),"cg","c"),"n")</f>
        <v>cg</v>
      </c>
      <c r="AD52" s="195" t="str">
        <f>IF(AND(AD$3&gt;=$D52,AD$3&lt;=$E52),IF((AD$3-$D52+1)*VLOOKUP($A52,presupuesto!$B:$Q,16,FALSE)&gt;=VLOOKUP($A52,informe!$A:$J,9,FALSE),"cg","c"),"n")</f>
        <v>cg</v>
      </c>
      <c r="AE52" s="195" t="str">
        <f>IF(AND(AE$3&gt;=$D52,AE$3&lt;=$E52),IF((AE$3-$D52+1)*VLOOKUP($A52,presupuesto!$B:$Q,16,FALSE)&gt;=VLOOKUP($A52,informe!$A:$J,9,FALSE),"cg","c"),"n")</f>
        <v>cg</v>
      </c>
      <c r="AF52" s="195" t="str">
        <f>IF(AND(AF$3&gt;=$D52,AF$3&lt;=$E52),IF((AF$3-$D52+1)*VLOOKUP($A52,presupuesto!$B:$Q,16,FALSE)&gt;=VLOOKUP($A52,informe!$A:$J,9,FALSE),"cg","c"),"n")</f>
        <v>cg</v>
      </c>
      <c r="AG52" s="195" t="str">
        <f>IF(AND(AG$3&gt;=$D52,AG$3&lt;=$E52),IF((AG$3-$D52+1)*VLOOKUP($A52,presupuesto!$B:$Q,16,FALSE)&gt;=VLOOKUP($A52,informe!$A:$J,9,FALSE),"cg","c"),"n")</f>
        <v>cg</v>
      </c>
      <c r="AH52" s="195" t="str">
        <f>IF(AND(AH$3&gt;=$D52,AH$3&lt;=$E52),IF((AH$3-$D52+1)*VLOOKUP($A52,presupuesto!$B:$Q,16,FALSE)&gt;=VLOOKUP($A52,informe!$A:$J,9,FALSE),"cg","c"),"n")</f>
        <v>cg</v>
      </c>
      <c r="AI52" s="195" t="str">
        <f>IF(AND(AI$3&gt;=$D52,AI$3&lt;=$E52),IF((AI$3-$D52+1)*VLOOKUP($A52,presupuesto!$B:$Q,16,FALSE)&gt;=VLOOKUP($A52,informe!$A:$J,9,FALSE),"cg","c"),"n")</f>
        <v>cg</v>
      </c>
      <c r="AJ52" s="195" t="str">
        <f>IF(AND(AJ$3&gt;=$D52,AJ$3&lt;=$E52),IF((AJ$3-$D52+1)*VLOOKUP($A52,presupuesto!$B:$Q,16,FALSE)&gt;=VLOOKUP($A52,informe!$A:$J,9,FALSE),"cg","c"),"n")</f>
        <v>cg</v>
      </c>
      <c r="AK52" s="196" t="str">
        <f>IF(AND(AK$3&gt;=$D52,AK$3&lt;=$E52),IF((AK$3-$D52+1)*VLOOKUP($A52,presupuesto!$B:$Q,16,FALSE)&gt;=VLOOKUP($A52,informe!$A:$J,9,FALSE),"cg","c"),"n")</f>
        <v>cg</v>
      </c>
    </row>
    <row r="53" spans="1:37" s="1" customFormat="1" ht="15" customHeight="1" x14ac:dyDescent="0.25">
      <c r="A53" s="193">
        <f>presupuesto!B52</f>
        <v>31</v>
      </c>
      <c r="B53" s="182" t="str">
        <f>presupuesto!C52</f>
        <v xml:space="preserve">         Sistema Dosificación Tratamiento</v>
      </c>
      <c r="C53" s="173" t="str">
        <f>presupuesto!G52</f>
        <v>45 días</v>
      </c>
      <c r="D53" s="176">
        <f>presupuesto!N52</f>
        <v>45720</v>
      </c>
      <c r="E53" s="176">
        <f>presupuesto!O52</f>
        <v>45764</v>
      </c>
      <c r="F53" s="194" t="str">
        <f>IF(AK53="n",CONCATENATE(" - "),IF(AK53="cg",CONCATENATE(" - "),CONCATENATE(ROUND(IFERROR(VLOOKUP(A53,informe!A:J,9,FALSE)/VLOOKUP(A53,informe!A:J,5,FALSE),0)*100,2),"% ")))</f>
        <v xml:space="preserve"> - </v>
      </c>
      <c r="G53" s="195" t="str">
        <f>IF(AND(G$3&gt;=$D53,G$3&lt;=$E53),IF((G$3-$D53+1)*VLOOKUP($A53,presupuesto!$B:$Q,16,FALSE)&gt;=VLOOKUP($A53,informe!$A:$J,9,FALSE),"cg","c"),"n")</f>
        <v>n</v>
      </c>
      <c r="H53" s="195" t="str">
        <f>IF(AND(H$3&gt;=$D53,H$3&lt;=$E53),IF((H$3-$D53+1)*VLOOKUP($A53,presupuesto!$B:$Q,16,FALSE)&gt;=VLOOKUP($A53,informe!$A:$J,9,FALSE),"cg","c"),"n")</f>
        <v>n</v>
      </c>
      <c r="I53" s="195" t="str">
        <f>IF(AND(I$3&gt;=$D53,I$3&lt;=$E53),IF((I$3-$D53+1)*VLOOKUP($A53,presupuesto!$B:$Q,16,FALSE)&gt;=VLOOKUP($A53,informe!$A:$J,9,FALSE),"cg","c"),"n")</f>
        <v>n</v>
      </c>
      <c r="J53" s="195" t="str">
        <f>IF(AND(J$3&gt;=$D53,J$3&lt;=$E53),IF((J$3-$D53+1)*VLOOKUP($A53,presupuesto!$B:$Q,16,FALSE)&gt;=VLOOKUP($A53,informe!$A:$J,9,FALSE),"cg","c"),"n")</f>
        <v>n</v>
      </c>
      <c r="K53" s="195" t="str">
        <f>IF(AND(K$3&gt;=$D53,K$3&lt;=$E53),IF((K$3-$D53+1)*VLOOKUP($A53,presupuesto!$B:$Q,16,FALSE)&gt;=VLOOKUP($A53,informe!$A:$J,9,FALSE),"cg","c"),"n")</f>
        <v>n</v>
      </c>
      <c r="L53" s="195" t="str">
        <f>IF(AND(L$3&gt;=$D53,L$3&lt;=$E53),IF((L$3-$D53+1)*VLOOKUP($A53,presupuesto!$B:$Q,16,FALSE)&gt;=VLOOKUP($A53,informe!$A:$J,9,FALSE),"cg","c"),"n")</f>
        <v>n</v>
      </c>
      <c r="M53" s="195" t="str">
        <f>IF(AND(M$3&gt;=$D53,M$3&lt;=$E53),IF((M$3-$D53+1)*VLOOKUP($A53,presupuesto!$B:$Q,16,FALSE)&gt;=VLOOKUP($A53,informe!$A:$J,9,FALSE),"cg","c"),"n")</f>
        <v>n</v>
      </c>
      <c r="N53" s="195" t="str">
        <f>IF(AND(N$3&gt;=$D53,N$3&lt;=$E53),IF((N$3-$D53+1)*VLOOKUP($A53,presupuesto!$B:$Q,16,FALSE)&gt;=VLOOKUP($A53,informe!$A:$J,9,FALSE),"cg","c"),"n")</f>
        <v>n</v>
      </c>
      <c r="O53" s="195" t="str">
        <f>IF(AND(O$3&gt;=$D53,O$3&lt;=$E53),IF((O$3-$D53+1)*VLOOKUP($A53,presupuesto!$B:$Q,16,FALSE)&gt;=VLOOKUP($A53,informe!$A:$J,9,FALSE),"cg","c"),"n")</f>
        <v>n</v>
      </c>
      <c r="P53" s="195" t="str">
        <f>IF(AND(P$3&gt;=$D53,P$3&lt;=$E53),IF((P$3-$D53+1)*VLOOKUP($A53,presupuesto!$B:$Q,16,FALSE)&gt;=VLOOKUP($A53,informe!$A:$J,9,FALSE),"cg","c"),"n")</f>
        <v>n</v>
      </c>
      <c r="Q53" s="195" t="str">
        <f>IF(AND(Q$3&gt;=$D53,Q$3&lt;=$E53),IF((Q$3-$D53+1)*VLOOKUP($A53,presupuesto!$B:$Q,16,FALSE)&gt;=VLOOKUP($A53,informe!$A:$J,9,FALSE),"cg","c"),"n")</f>
        <v>n</v>
      </c>
      <c r="R53" s="195" t="str">
        <f>IF(AND(R$3&gt;=$D53,R$3&lt;=$E53),IF((R$3-$D53+1)*VLOOKUP($A53,presupuesto!$B:$Q,16,FALSE)&gt;=VLOOKUP($A53,informe!$A:$J,9,FALSE),"cg","c"),"n")</f>
        <v>n</v>
      </c>
      <c r="S53" s="195" t="str">
        <f>IF(AND(S$3&gt;=$D53,S$3&lt;=$E53),IF((S$3-$D53+1)*VLOOKUP($A53,presupuesto!$B:$Q,16,FALSE)&gt;=VLOOKUP($A53,informe!$A:$J,9,FALSE),"cg","c"),"n")</f>
        <v>n</v>
      </c>
      <c r="T53" s="195" t="str">
        <f>IF(AND(T$3&gt;=$D53,T$3&lt;=$E53),IF((T$3-$D53+1)*VLOOKUP($A53,presupuesto!$B:$Q,16,FALSE)&gt;=VLOOKUP($A53,informe!$A:$J,9,FALSE),"cg","c"),"n")</f>
        <v>n</v>
      </c>
      <c r="U53" s="195" t="str">
        <f>IF(AND(U$3&gt;=$D53,U$3&lt;=$E53),IF((U$3-$D53+1)*VLOOKUP($A53,presupuesto!$B:$Q,16,FALSE)&gt;=VLOOKUP($A53,informe!$A:$J,9,FALSE),"cg","c"),"n")</f>
        <v>n</v>
      </c>
      <c r="V53" s="195" t="str">
        <f>IF(AND(V$3&gt;=$D53,V$3&lt;=$E53),IF((V$3-$D53+1)*VLOOKUP($A53,presupuesto!$B:$Q,16,FALSE)&gt;=VLOOKUP($A53,informe!$A:$J,9,FALSE),"cg","c"),"n")</f>
        <v>n</v>
      </c>
      <c r="W53" s="195" t="str">
        <f>IF(AND(W$3&gt;=$D53,W$3&lt;=$E53),IF((W$3-$D53+1)*VLOOKUP($A53,presupuesto!$B:$Q,16,FALSE)&gt;=VLOOKUP($A53,informe!$A:$J,9,FALSE),"cg","c"),"n")</f>
        <v>n</v>
      </c>
      <c r="X53" s="195" t="str">
        <f>IF(AND(X$3&gt;=$D53,X$3&lt;=$E53),IF((X$3-$D53+1)*VLOOKUP($A53,presupuesto!$B:$Q,16,FALSE)&gt;=VLOOKUP($A53,informe!$A:$J,9,FALSE),"cg","c"),"n")</f>
        <v>n</v>
      </c>
      <c r="Y53" s="195" t="str">
        <f>IF(AND(Y$3&gt;=$D53,Y$3&lt;=$E53),IF((Y$3-$D53+1)*VLOOKUP($A53,presupuesto!$B:$Q,16,FALSE)&gt;=VLOOKUP($A53,informe!$A:$J,9,FALSE),"cg","c"),"n")</f>
        <v>n</v>
      </c>
      <c r="Z53" s="195" t="str">
        <f>IF(AND(Z$3&gt;=$D53,Z$3&lt;=$E53),IF((Z$3-$D53+1)*VLOOKUP($A53,presupuesto!$B:$Q,16,FALSE)&gt;=VLOOKUP($A53,informe!$A:$J,9,FALSE),"cg","c"),"n")</f>
        <v>n</v>
      </c>
      <c r="AA53" s="195" t="str">
        <f>IF(AND(AA$3&gt;=$D53,AA$3&lt;=$E53),IF((AA$3-$D53+1)*VLOOKUP($A53,presupuesto!$B:$Q,16,FALSE)&gt;=VLOOKUP($A53,informe!$A:$J,9,FALSE),"cg","c"),"n")</f>
        <v>n</v>
      </c>
      <c r="AB53" s="195" t="str">
        <f>IF(AND(AB$3&gt;=$D53,AB$3&lt;=$E53),IF((AB$3-$D53+1)*VLOOKUP($A53,presupuesto!$B:$Q,16,FALSE)&gt;=VLOOKUP($A53,informe!$A:$J,9,FALSE),"cg","c"),"n")</f>
        <v>n</v>
      </c>
      <c r="AC53" s="195" t="str">
        <f>IF(AND(AC$3&gt;=$D53,AC$3&lt;=$E53),IF((AC$3-$D53+1)*VLOOKUP($A53,presupuesto!$B:$Q,16,FALSE)&gt;=VLOOKUP($A53,informe!$A:$J,9,FALSE),"cg","c"),"n")</f>
        <v>n</v>
      </c>
      <c r="AD53" s="195" t="str">
        <f>IF(AND(AD$3&gt;=$D53,AD$3&lt;=$E53),IF((AD$3-$D53+1)*VLOOKUP($A53,presupuesto!$B:$Q,16,FALSE)&gt;=VLOOKUP($A53,informe!$A:$J,9,FALSE),"cg","c"),"n")</f>
        <v>n</v>
      </c>
      <c r="AE53" s="195" t="str">
        <f>IF(AND(AE$3&gt;=$D53,AE$3&lt;=$E53),IF((AE$3-$D53+1)*VLOOKUP($A53,presupuesto!$B:$Q,16,FALSE)&gt;=VLOOKUP($A53,informe!$A:$J,9,FALSE),"cg","c"),"n")</f>
        <v>n</v>
      </c>
      <c r="AF53" s="195" t="str">
        <f>IF(AND(AF$3&gt;=$D53,AF$3&lt;=$E53),IF((AF$3-$D53+1)*VLOOKUP($A53,presupuesto!$B:$Q,16,FALSE)&gt;=VLOOKUP($A53,informe!$A:$J,9,FALSE),"cg","c"),"n")</f>
        <v>n</v>
      </c>
      <c r="AG53" s="195" t="str">
        <f>IF(AND(AG$3&gt;=$D53,AG$3&lt;=$E53),IF((AG$3-$D53+1)*VLOOKUP($A53,presupuesto!$B:$Q,16,FALSE)&gt;=VLOOKUP($A53,informe!$A:$J,9,FALSE),"cg","c"),"n")</f>
        <v>n</v>
      </c>
      <c r="AH53" s="195" t="str">
        <f>IF(AND(AH$3&gt;=$D53,AH$3&lt;=$E53),IF((AH$3-$D53+1)*VLOOKUP($A53,presupuesto!$B:$Q,16,FALSE)&gt;=VLOOKUP($A53,informe!$A:$J,9,FALSE),"cg","c"),"n")</f>
        <v>n</v>
      </c>
      <c r="AI53" s="195" t="str">
        <f>IF(AND(AI$3&gt;=$D53,AI$3&lt;=$E53),IF((AI$3-$D53+1)*VLOOKUP($A53,presupuesto!$B:$Q,16,FALSE)&gt;=VLOOKUP($A53,informe!$A:$J,9,FALSE),"cg","c"),"n")</f>
        <v>n</v>
      </c>
      <c r="AJ53" s="195" t="str">
        <f>IF(AND(AJ$3&gt;=$D53,AJ$3&lt;=$E53),IF((AJ$3-$D53+1)*VLOOKUP($A53,presupuesto!$B:$Q,16,FALSE)&gt;=VLOOKUP($A53,informe!$A:$J,9,FALSE),"cg","c"),"n")</f>
        <v>n</v>
      </c>
      <c r="AK53" s="196" t="str">
        <f>IF(AND(AK$3&gt;=$D53,AK$3&lt;=$E53),IF((AK$3-$D53+1)*VLOOKUP($A53,presupuesto!$B:$Q,16,FALSE)&gt;=VLOOKUP($A53,informe!$A:$J,9,FALSE),"cg","c"),"n")</f>
        <v>n</v>
      </c>
    </row>
    <row r="54" spans="1:37" s="1" customFormat="1" ht="15" customHeight="1" x14ac:dyDescent="0.3">
      <c r="A54" s="193" t="str">
        <f>presupuesto!B53</f>
        <v>B.-</v>
      </c>
      <c r="B54" s="181" t="str">
        <f>presupuesto!C53</f>
        <v xml:space="preserve">      OBRAS CIVILES</v>
      </c>
      <c r="C54" s="173" t="str">
        <f>presupuesto!G53</f>
        <v>45 días</v>
      </c>
      <c r="D54" s="176">
        <f>presupuesto!N53</f>
        <v>45720</v>
      </c>
      <c r="E54" s="176">
        <f>presupuesto!O53</f>
        <v>45764</v>
      </c>
      <c r="F54" s="194" t="str">
        <f>IF(AK54="n",CONCATENATE(" - "),IF(AK54="cg",CONCATENATE(" - "),CONCATENATE(ROUND(IFERROR(VLOOKUP(A54,informe!A:J,9,FALSE)/VLOOKUP(A54,informe!A:J,5,FALSE),0)*100,2),"% ")))</f>
        <v xml:space="preserve"> - </v>
      </c>
      <c r="G54" s="195" t="str">
        <f>IF(AND(G$3&gt;=$D54,G$3&lt;=$E54),IF((G$3-$D54+1)*VLOOKUP($A54,presupuesto!$B:$Q,16,FALSE)&gt;=VLOOKUP($A54,informe!$A:$J,9,FALSE),"cg","c"),"n")</f>
        <v>n</v>
      </c>
      <c r="H54" s="195" t="str">
        <f>IF(AND(H$3&gt;=$D54,H$3&lt;=$E54),IF((H$3-$D54+1)*VLOOKUP($A54,presupuesto!$B:$Q,16,FALSE)&gt;=VLOOKUP($A54,informe!$A:$J,9,FALSE),"cg","c"),"n")</f>
        <v>n</v>
      </c>
      <c r="I54" s="195" t="str">
        <f>IF(AND(I$3&gt;=$D54,I$3&lt;=$E54),IF((I$3-$D54+1)*VLOOKUP($A54,presupuesto!$B:$Q,16,FALSE)&gt;=VLOOKUP($A54,informe!$A:$J,9,FALSE),"cg","c"),"n")</f>
        <v>n</v>
      </c>
      <c r="J54" s="195" t="str">
        <f>IF(AND(J$3&gt;=$D54,J$3&lt;=$E54),IF((J$3-$D54+1)*VLOOKUP($A54,presupuesto!$B:$Q,16,FALSE)&gt;=VLOOKUP($A54,informe!$A:$J,9,FALSE),"cg","c"),"n")</f>
        <v>n</v>
      </c>
      <c r="K54" s="195" t="str">
        <f>IF(AND(K$3&gt;=$D54,K$3&lt;=$E54),IF((K$3-$D54+1)*VLOOKUP($A54,presupuesto!$B:$Q,16,FALSE)&gt;=VLOOKUP($A54,informe!$A:$J,9,FALSE),"cg","c"),"n")</f>
        <v>n</v>
      </c>
      <c r="L54" s="195" t="str">
        <f>IF(AND(L$3&gt;=$D54,L$3&lt;=$E54),IF((L$3-$D54+1)*VLOOKUP($A54,presupuesto!$B:$Q,16,FALSE)&gt;=VLOOKUP($A54,informe!$A:$J,9,FALSE),"cg","c"),"n")</f>
        <v>n</v>
      </c>
      <c r="M54" s="195" t="str">
        <f>IF(AND(M$3&gt;=$D54,M$3&lt;=$E54),IF((M$3-$D54+1)*VLOOKUP($A54,presupuesto!$B:$Q,16,FALSE)&gt;=VLOOKUP($A54,informe!$A:$J,9,FALSE),"cg","c"),"n")</f>
        <v>n</v>
      </c>
      <c r="N54" s="195" t="str">
        <f>IF(AND(N$3&gt;=$D54,N$3&lt;=$E54),IF((N$3-$D54+1)*VLOOKUP($A54,presupuesto!$B:$Q,16,FALSE)&gt;=VLOOKUP($A54,informe!$A:$J,9,FALSE),"cg","c"),"n")</f>
        <v>n</v>
      </c>
      <c r="O54" s="195" t="str">
        <f>IF(AND(O$3&gt;=$D54,O$3&lt;=$E54),IF((O$3-$D54+1)*VLOOKUP($A54,presupuesto!$B:$Q,16,FALSE)&gt;=VLOOKUP($A54,informe!$A:$J,9,FALSE),"cg","c"),"n")</f>
        <v>n</v>
      </c>
      <c r="P54" s="195" t="str">
        <f>IF(AND(P$3&gt;=$D54,P$3&lt;=$E54),IF((P$3-$D54+1)*VLOOKUP($A54,presupuesto!$B:$Q,16,FALSE)&gt;=VLOOKUP($A54,informe!$A:$J,9,FALSE),"cg","c"),"n")</f>
        <v>n</v>
      </c>
      <c r="Q54" s="195" t="str">
        <f>IF(AND(Q$3&gt;=$D54,Q$3&lt;=$E54),IF((Q$3-$D54+1)*VLOOKUP($A54,presupuesto!$B:$Q,16,FALSE)&gt;=VLOOKUP($A54,informe!$A:$J,9,FALSE),"cg","c"),"n")</f>
        <v>n</v>
      </c>
      <c r="R54" s="195" t="str">
        <f>IF(AND(R$3&gt;=$D54,R$3&lt;=$E54),IF((R$3-$D54+1)*VLOOKUP($A54,presupuesto!$B:$Q,16,FALSE)&gt;=VLOOKUP($A54,informe!$A:$J,9,FALSE),"cg","c"),"n")</f>
        <v>n</v>
      </c>
      <c r="S54" s="195" t="str">
        <f>IF(AND(S$3&gt;=$D54,S$3&lt;=$E54),IF((S$3-$D54+1)*VLOOKUP($A54,presupuesto!$B:$Q,16,FALSE)&gt;=VLOOKUP($A54,informe!$A:$J,9,FALSE),"cg","c"),"n")</f>
        <v>n</v>
      </c>
      <c r="T54" s="195" t="str">
        <f>IF(AND(T$3&gt;=$D54,T$3&lt;=$E54),IF((T$3-$D54+1)*VLOOKUP($A54,presupuesto!$B:$Q,16,FALSE)&gt;=VLOOKUP($A54,informe!$A:$J,9,FALSE),"cg","c"),"n")</f>
        <v>n</v>
      </c>
      <c r="U54" s="195" t="str">
        <f>IF(AND(U$3&gt;=$D54,U$3&lt;=$E54),IF((U$3-$D54+1)*VLOOKUP($A54,presupuesto!$B:$Q,16,FALSE)&gt;=VLOOKUP($A54,informe!$A:$J,9,FALSE),"cg","c"),"n")</f>
        <v>n</v>
      </c>
      <c r="V54" s="195" t="str">
        <f>IF(AND(V$3&gt;=$D54,V$3&lt;=$E54),IF((V$3-$D54+1)*VLOOKUP($A54,presupuesto!$B:$Q,16,FALSE)&gt;=VLOOKUP($A54,informe!$A:$J,9,FALSE),"cg","c"),"n")</f>
        <v>n</v>
      </c>
      <c r="W54" s="195" t="str">
        <f>IF(AND(W$3&gt;=$D54,W$3&lt;=$E54),IF((W$3-$D54+1)*VLOOKUP($A54,presupuesto!$B:$Q,16,FALSE)&gt;=VLOOKUP($A54,informe!$A:$J,9,FALSE),"cg","c"),"n")</f>
        <v>n</v>
      </c>
      <c r="X54" s="195" t="str">
        <f>IF(AND(X$3&gt;=$D54,X$3&lt;=$E54),IF((X$3-$D54+1)*VLOOKUP($A54,presupuesto!$B:$Q,16,FALSE)&gt;=VLOOKUP($A54,informe!$A:$J,9,FALSE),"cg","c"),"n")</f>
        <v>n</v>
      </c>
      <c r="Y54" s="195" t="str">
        <f>IF(AND(Y$3&gt;=$D54,Y$3&lt;=$E54),IF((Y$3-$D54+1)*VLOOKUP($A54,presupuesto!$B:$Q,16,FALSE)&gt;=VLOOKUP($A54,informe!$A:$J,9,FALSE),"cg","c"),"n")</f>
        <v>n</v>
      </c>
      <c r="Z54" s="195" t="str">
        <f>IF(AND(Z$3&gt;=$D54,Z$3&lt;=$E54),IF((Z$3-$D54+1)*VLOOKUP($A54,presupuesto!$B:$Q,16,FALSE)&gt;=VLOOKUP($A54,informe!$A:$J,9,FALSE),"cg","c"),"n")</f>
        <v>n</v>
      </c>
      <c r="AA54" s="195" t="str">
        <f>IF(AND(AA$3&gt;=$D54,AA$3&lt;=$E54),IF((AA$3-$D54+1)*VLOOKUP($A54,presupuesto!$B:$Q,16,FALSE)&gt;=VLOOKUP($A54,informe!$A:$J,9,FALSE),"cg","c"),"n")</f>
        <v>n</v>
      </c>
      <c r="AB54" s="195" t="str">
        <f>IF(AND(AB$3&gt;=$D54,AB$3&lt;=$E54),IF((AB$3-$D54+1)*VLOOKUP($A54,presupuesto!$B:$Q,16,FALSE)&gt;=VLOOKUP($A54,informe!$A:$J,9,FALSE),"cg","c"),"n")</f>
        <v>n</v>
      </c>
      <c r="AC54" s="195" t="str">
        <f>IF(AND(AC$3&gt;=$D54,AC$3&lt;=$E54),IF((AC$3-$D54+1)*VLOOKUP($A54,presupuesto!$B:$Q,16,FALSE)&gt;=VLOOKUP($A54,informe!$A:$J,9,FALSE),"cg","c"),"n")</f>
        <v>n</v>
      </c>
      <c r="AD54" s="195" t="str">
        <f>IF(AND(AD$3&gt;=$D54,AD$3&lt;=$E54),IF((AD$3-$D54+1)*VLOOKUP($A54,presupuesto!$B:$Q,16,FALSE)&gt;=VLOOKUP($A54,informe!$A:$J,9,FALSE),"cg","c"),"n")</f>
        <v>n</v>
      </c>
      <c r="AE54" s="195" t="str">
        <f>IF(AND(AE$3&gt;=$D54,AE$3&lt;=$E54),IF((AE$3-$D54+1)*VLOOKUP($A54,presupuesto!$B:$Q,16,FALSE)&gt;=VLOOKUP($A54,informe!$A:$J,9,FALSE),"cg","c"),"n")</f>
        <v>n</v>
      </c>
      <c r="AF54" s="195" t="str">
        <f>IF(AND(AF$3&gt;=$D54,AF$3&lt;=$E54),IF((AF$3-$D54+1)*VLOOKUP($A54,presupuesto!$B:$Q,16,FALSE)&gt;=VLOOKUP($A54,informe!$A:$J,9,FALSE),"cg","c"),"n")</f>
        <v>n</v>
      </c>
      <c r="AG54" s="195" t="str">
        <f>IF(AND(AG$3&gt;=$D54,AG$3&lt;=$E54),IF((AG$3-$D54+1)*VLOOKUP($A54,presupuesto!$B:$Q,16,FALSE)&gt;=VLOOKUP($A54,informe!$A:$J,9,FALSE),"cg","c"),"n")</f>
        <v>n</v>
      </c>
      <c r="AH54" s="195" t="str">
        <f>IF(AND(AH$3&gt;=$D54,AH$3&lt;=$E54),IF((AH$3-$D54+1)*VLOOKUP($A54,presupuesto!$B:$Q,16,FALSE)&gt;=VLOOKUP($A54,informe!$A:$J,9,FALSE),"cg","c"),"n")</f>
        <v>n</v>
      </c>
      <c r="AI54" s="195" t="str">
        <f>IF(AND(AI$3&gt;=$D54,AI$3&lt;=$E54),IF((AI$3-$D54+1)*VLOOKUP($A54,presupuesto!$B:$Q,16,FALSE)&gt;=VLOOKUP($A54,informe!$A:$J,9,FALSE),"cg","c"),"n")</f>
        <v>n</v>
      </c>
      <c r="AJ54" s="195" t="str">
        <f>IF(AND(AJ$3&gt;=$D54,AJ$3&lt;=$E54),IF((AJ$3-$D54+1)*VLOOKUP($A54,presupuesto!$B:$Q,16,FALSE)&gt;=VLOOKUP($A54,informe!$A:$J,9,FALSE),"cg","c"),"n")</f>
        <v>n</v>
      </c>
      <c r="AK54" s="196" t="str">
        <f>IF(AND(AK$3&gt;=$D54,AK$3&lt;=$E54),IF((AK$3-$D54+1)*VLOOKUP($A54,presupuesto!$B:$Q,16,FALSE)&gt;=VLOOKUP($A54,informe!$A:$J,9,FALSE),"cg","c"),"n")</f>
        <v>n</v>
      </c>
    </row>
    <row r="55" spans="1:37" s="1" customFormat="1" ht="15" customHeight="1" x14ac:dyDescent="0.3">
      <c r="A55" s="193" t="str">
        <f>presupuesto!B54</f>
        <v>B.1.-</v>
      </c>
      <c r="B55" s="181" t="str">
        <f>presupuesto!C54</f>
        <v xml:space="preserve">         Caseta de Tratamiento</v>
      </c>
      <c r="C55" s="173" t="str">
        <f>presupuesto!G54</f>
        <v>45 días</v>
      </c>
      <c r="D55" s="176">
        <f>presupuesto!N54</f>
        <v>45720</v>
      </c>
      <c r="E55" s="176">
        <f>presupuesto!O54</f>
        <v>45764</v>
      </c>
      <c r="F55" s="194" t="str">
        <f>IF(AK55="n",CONCATENATE(" - "),IF(AK55="cg",CONCATENATE(" - "),CONCATENATE(ROUND(IFERROR(VLOOKUP(A55,informe!A:J,9,FALSE)/VLOOKUP(A55,informe!A:J,5,FALSE),0)*100,2),"% ")))</f>
        <v xml:space="preserve"> - </v>
      </c>
      <c r="G55" s="195" t="str">
        <f>IF(AND(G$3&gt;=$D55,G$3&lt;=$E55),IF((G$3-$D55+1)*VLOOKUP($A55,presupuesto!$B:$Q,16,FALSE)&gt;=VLOOKUP($A55,informe!$A:$J,9,FALSE),"cg","c"),"n")</f>
        <v>n</v>
      </c>
      <c r="H55" s="195" t="str">
        <f>IF(AND(H$3&gt;=$D55,H$3&lt;=$E55),IF((H$3-$D55+1)*VLOOKUP($A55,presupuesto!$B:$Q,16,FALSE)&gt;=VLOOKUP($A55,informe!$A:$J,9,FALSE),"cg","c"),"n")</f>
        <v>n</v>
      </c>
      <c r="I55" s="195" t="str">
        <f>IF(AND(I$3&gt;=$D55,I$3&lt;=$E55),IF((I$3-$D55+1)*VLOOKUP($A55,presupuesto!$B:$Q,16,FALSE)&gt;=VLOOKUP($A55,informe!$A:$J,9,FALSE),"cg","c"),"n")</f>
        <v>n</v>
      </c>
      <c r="J55" s="195" t="str">
        <f>IF(AND(J$3&gt;=$D55,J$3&lt;=$E55),IF((J$3-$D55+1)*VLOOKUP($A55,presupuesto!$B:$Q,16,FALSE)&gt;=VLOOKUP($A55,informe!$A:$J,9,FALSE),"cg","c"),"n")</f>
        <v>n</v>
      </c>
      <c r="K55" s="195" t="str">
        <f>IF(AND(K$3&gt;=$D55,K$3&lt;=$E55),IF((K$3-$D55+1)*VLOOKUP($A55,presupuesto!$B:$Q,16,FALSE)&gt;=VLOOKUP($A55,informe!$A:$J,9,FALSE),"cg","c"),"n")</f>
        <v>n</v>
      </c>
      <c r="L55" s="195" t="str">
        <f>IF(AND(L$3&gt;=$D55,L$3&lt;=$E55),IF((L$3-$D55+1)*VLOOKUP($A55,presupuesto!$B:$Q,16,FALSE)&gt;=VLOOKUP($A55,informe!$A:$J,9,FALSE),"cg","c"),"n")</f>
        <v>n</v>
      </c>
      <c r="M55" s="195" t="str">
        <f>IF(AND(M$3&gt;=$D55,M$3&lt;=$E55),IF((M$3-$D55+1)*VLOOKUP($A55,presupuesto!$B:$Q,16,FALSE)&gt;=VLOOKUP($A55,informe!$A:$J,9,FALSE),"cg","c"),"n")</f>
        <v>n</v>
      </c>
      <c r="N55" s="195" t="str">
        <f>IF(AND(N$3&gt;=$D55,N$3&lt;=$E55),IF((N$3-$D55+1)*VLOOKUP($A55,presupuesto!$B:$Q,16,FALSE)&gt;=VLOOKUP($A55,informe!$A:$J,9,FALSE),"cg","c"),"n")</f>
        <v>n</v>
      </c>
      <c r="O55" s="195" t="str">
        <f>IF(AND(O$3&gt;=$D55,O$3&lt;=$E55),IF((O$3-$D55+1)*VLOOKUP($A55,presupuesto!$B:$Q,16,FALSE)&gt;=VLOOKUP($A55,informe!$A:$J,9,FALSE),"cg","c"),"n")</f>
        <v>n</v>
      </c>
      <c r="P55" s="195" t="str">
        <f>IF(AND(P$3&gt;=$D55,P$3&lt;=$E55),IF((P$3-$D55+1)*VLOOKUP($A55,presupuesto!$B:$Q,16,FALSE)&gt;=VLOOKUP($A55,informe!$A:$J,9,FALSE),"cg","c"),"n")</f>
        <v>n</v>
      </c>
      <c r="Q55" s="195" t="str">
        <f>IF(AND(Q$3&gt;=$D55,Q$3&lt;=$E55),IF((Q$3-$D55+1)*VLOOKUP($A55,presupuesto!$B:$Q,16,FALSE)&gt;=VLOOKUP($A55,informe!$A:$J,9,FALSE),"cg","c"),"n")</f>
        <v>n</v>
      </c>
      <c r="R55" s="195" t="str">
        <f>IF(AND(R$3&gt;=$D55,R$3&lt;=$E55),IF((R$3-$D55+1)*VLOOKUP($A55,presupuesto!$B:$Q,16,FALSE)&gt;=VLOOKUP($A55,informe!$A:$J,9,FALSE),"cg","c"),"n")</f>
        <v>n</v>
      </c>
      <c r="S55" s="195" t="str">
        <f>IF(AND(S$3&gt;=$D55,S$3&lt;=$E55),IF((S$3-$D55+1)*VLOOKUP($A55,presupuesto!$B:$Q,16,FALSE)&gt;=VLOOKUP($A55,informe!$A:$J,9,FALSE),"cg","c"),"n")</f>
        <v>n</v>
      </c>
      <c r="T55" s="195" t="str">
        <f>IF(AND(T$3&gt;=$D55,T$3&lt;=$E55),IF((T$3-$D55+1)*VLOOKUP($A55,presupuesto!$B:$Q,16,FALSE)&gt;=VLOOKUP($A55,informe!$A:$J,9,FALSE),"cg","c"),"n")</f>
        <v>n</v>
      </c>
      <c r="U55" s="195" t="str">
        <f>IF(AND(U$3&gt;=$D55,U$3&lt;=$E55),IF((U$3-$D55+1)*VLOOKUP($A55,presupuesto!$B:$Q,16,FALSE)&gt;=VLOOKUP($A55,informe!$A:$J,9,FALSE),"cg","c"),"n")</f>
        <v>n</v>
      </c>
      <c r="V55" s="195" t="str">
        <f>IF(AND(V$3&gt;=$D55,V$3&lt;=$E55),IF((V$3-$D55+1)*VLOOKUP($A55,presupuesto!$B:$Q,16,FALSE)&gt;=VLOOKUP($A55,informe!$A:$J,9,FALSE),"cg","c"),"n")</f>
        <v>n</v>
      </c>
      <c r="W55" s="195" t="str">
        <f>IF(AND(W$3&gt;=$D55,W$3&lt;=$E55),IF((W$3-$D55+1)*VLOOKUP($A55,presupuesto!$B:$Q,16,FALSE)&gt;=VLOOKUP($A55,informe!$A:$J,9,FALSE),"cg","c"),"n")</f>
        <v>n</v>
      </c>
      <c r="X55" s="195" t="str">
        <f>IF(AND(X$3&gt;=$D55,X$3&lt;=$E55),IF((X$3-$D55+1)*VLOOKUP($A55,presupuesto!$B:$Q,16,FALSE)&gt;=VLOOKUP($A55,informe!$A:$J,9,FALSE),"cg","c"),"n")</f>
        <v>n</v>
      </c>
      <c r="Y55" s="195" t="str">
        <f>IF(AND(Y$3&gt;=$D55,Y$3&lt;=$E55),IF((Y$3-$D55+1)*VLOOKUP($A55,presupuesto!$B:$Q,16,FALSE)&gt;=VLOOKUP($A55,informe!$A:$J,9,FALSE),"cg","c"),"n")</f>
        <v>n</v>
      </c>
      <c r="Z55" s="195" t="str">
        <f>IF(AND(Z$3&gt;=$D55,Z$3&lt;=$E55),IF((Z$3-$D55+1)*VLOOKUP($A55,presupuesto!$B:$Q,16,FALSE)&gt;=VLOOKUP($A55,informe!$A:$J,9,FALSE),"cg","c"),"n")</f>
        <v>n</v>
      </c>
      <c r="AA55" s="195" t="str">
        <f>IF(AND(AA$3&gt;=$D55,AA$3&lt;=$E55),IF((AA$3-$D55+1)*VLOOKUP($A55,presupuesto!$B:$Q,16,FALSE)&gt;=VLOOKUP($A55,informe!$A:$J,9,FALSE),"cg","c"),"n")</f>
        <v>n</v>
      </c>
      <c r="AB55" s="195" t="str">
        <f>IF(AND(AB$3&gt;=$D55,AB$3&lt;=$E55),IF((AB$3-$D55+1)*VLOOKUP($A55,presupuesto!$B:$Q,16,FALSE)&gt;=VLOOKUP($A55,informe!$A:$J,9,FALSE),"cg","c"),"n")</f>
        <v>n</v>
      </c>
      <c r="AC55" s="195" t="str">
        <f>IF(AND(AC$3&gt;=$D55,AC$3&lt;=$E55),IF((AC$3-$D55+1)*VLOOKUP($A55,presupuesto!$B:$Q,16,FALSE)&gt;=VLOOKUP($A55,informe!$A:$J,9,FALSE),"cg","c"),"n")</f>
        <v>n</v>
      </c>
      <c r="AD55" s="195" t="str">
        <f>IF(AND(AD$3&gt;=$D55,AD$3&lt;=$E55),IF((AD$3-$D55+1)*VLOOKUP($A55,presupuesto!$B:$Q,16,FALSE)&gt;=VLOOKUP($A55,informe!$A:$J,9,FALSE),"cg","c"),"n")</f>
        <v>n</v>
      </c>
      <c r="AE55" s="195" t="str">
        <f>IF(AND(AE$3&gt;=$D55,AE$3&lt;=$E55),IF((AE$3-$D55+1)*VLOOKUP($A55,presupuesto!$B:$Q,16,FALSE)&gt;=VLOOKUP($A55,informe!$A:$J,9,FALSE),"cg","c"),"n")</f>
        <v>n</v>
      </c>
      <c r="AF55" s="195" t="str">
        <f>IF(AND(AF$3&gt;=$D55,AF$3&lt;=$E55),IF((AF$3-$D55+1)*VLOOKUP($A55,presupuesto!$B:$Q,16,FALSE)&gt;=VLOOKUP($A55,informe!$A:$J,9,FALSE),"cg","c"),"n")</f>
        <v>n</v>
      </c>
      <c r="AG55" s="195" t="str">
        <f>IF(AND(AG$3&gt;=$D55,AG$3&lt;=$E55),IF((AG$3-$D55+1)*VLOOKUP($A55,presupuesto!$B:$Q,16,FALSE)&gt;=VLOOKUP($A55,informe!$A:$J,9,FALSE),"cg","c"),"n")</f>
        <v>n</v>
      </c>
      <c r="AH55" s="195" t="str">
        <f>IF(AND(AH$3&gt;=$D55,AH$3&lt;=$E55),IF((AH$3-$D55+1)*VLOOKUP($A55,presupuesto!$B:$Q,16,FALSE)&gt;=VLOOKUP($A55,informe!$A:$J,9,FALSE),"cg","c"),"n")</f>
        <v>n</v>
      </c>
      <c r="AI55" s="195" t="str">
        <f>IF(AND(AI$3&gt;=$D55,AI$3&lt;=$E55),IF((AI$3-$D55+1)*VLOOKUP($A55,presupuesto!$B:$Q,16,FALSE)&gt;=VLOOKUP($A55,informe!$A:$J,9,FALSE),"cg","c"),"n")</f>
        <v>n</v>
      </c>
      <c r="AJ55" s="195" t="str">
        <f>IF(AND(AJ$3&gt;=$D55,AJ$3&lt;=$E55),IF((AJ$3-$D55+1)*VLOOKUP($A55,presupuesto!$B:$Q,16,FALSE)&gt;=VLOOKUP($A55,informe!$A:$J,9,FALSE),"cg","c"),"n")</f>
        <v>n</v>
      </c>
      <c r="AK55" s="196" t="str">
        <f>IF(AND(AK$3&gt;=$D55,AK$3&lt;=$E55),IF((AK$3-$D55+1)*VLOOKUP($A55,presupuesto!$B:$Q,16,FALSE)&gt;=VLOOKUP($A55,informe!$A:$J,9,FALSE),"cg","c"),"n")</f>
        <v>n</v>
      </c>
    </row>
    <row r="56" spans="1:37" s="1" customFormat="1" ht="15" customHeight="1" x14ac:dyDescent="0.25">
      <c r="A56" s="197">
        <f>presupuesto!B55</f>
        <v>32</v>
      </c>
      <c r="B56" s="182" t="str">
        <f>presupuesto!C55</f>
        <v xml:space="preserve">            Mejoramiento Caseta</v>
      </c>
      <c r="C56" s="174" t="str">
        <f>presupuesto!G55</f>
        <v>45 días</v>
      </c>
      <c r="D56" s="177">
        <f>presupuesto!N55</f>
        <v>45720</v>
      </c>
      <c r="E56" s="177">
        <f>presupuesto!O55</f>
        <v>45764</v>
      </c>
      <c r="F56" s="194" t="str">
        <f>IF(AK56="n",CONCATENATE(" - "),IF(AK56="cg",CONCATENATE(" - "),CONCATENATE(ROUND(IFERROR(VLOOKUP(A56,informe!A:J,9,FALSE)/VLOOKUP(A56,informe!A:J,5,FALSE),0)*100,2),"% ")))</f>
        <v xml:space="preserve"> - </v>
      </c>
      <c r="G56" s="195" t="str">
        <f>IF(AND(G$3&gt;=$D56,G$3&lt;=$E56),IF((G$3-$D56+1)*VLOOKUP($A56,presupuesto!$B:$Q,16,FALSE)&gt;=VLOOKUP($A56,informe!$A:$J,9,FALSE),"cg","c"),"n")</f>
        <v>n</v>
      </c>
      <c r="H56" s="195" t="str">
        <f>IF(AND(H$3&gt;=$D56,H$3&lt;=$E56),IF((H$3-$D56+1)*VLOOKUP($A56,presupuesto!$B:$Q,16,FALSE)&gt;=VLOOKUP($A56,informe!$A:$J,9,FALSE),"cg","c"),"n")</f>
        <v>n</v>
      </c>
      <c r="I56" s="195" t="str">
        <f>IF(AND(I$3&gt;=$D56,I$3&lt;=$E56),IF((I$3-$D56+1)*VLOOKUP($A56,presupuesto!$B:$Q,16,FALSE)&gt;=VLOOKUP($A56,informe!$A:$J,9,FALSE),"cg","c"),"n")</f>
        <v>n</v>
      </c>
      <c r="J56" s="195" t="str">
        <f>IF(AND(J$3&gt;=$D56,J$3&lt;=$E56),IF((J$3-$D56+1)*VLOOKUP($A56,presupuesto!$B:$Q,16,FALSE)&gt;=VLOOKUP($A56,informe!$A:$J,9,FALSE),"cg","c"),"n")</f>
        <v>n</v>
      </c>
      <c r="K56" s="195" t="str">
        <f>IF(AND(K$3&gt;=$D56,K$3&lt;=$E56),IF((K$3-$D56+1)*VLOOKUP($A56,presupuesto!$B:$Q,16,FALSE)&gt;=VLOOKUP($A56,informe!$A:$J,9,FALSE),"cg","c"),"n")</f>
        <v>n</v>
      </c>
      <c r="L56" s="195" t="str">
        <f>IF(AND(L$3&gt;=$D56,L$3&lt;=$E56),IF((L$3-$D56+1)*VLOOKUP($A56,presupuesto!$B:$Q,16,FALSE)&gt;=VLOOKUP($A56,informe!$A:$J,9,FALSE),"cg","c"),"n")</f>
        <v>n</v>
      </c>
      <c r="M56" s="195" t="str">
        <f>IF(AND(M$3&gt;=$D56,M$3&lt;=$E56),IF((M$3-$D56+1)*VLOOKUP($A56,presupuesto!$B:$Q,16,FALSE)&gt;=VLOOKUP($A56,informe!$A:$J,9,FALSE),"cg","c"),"n")</f>
        <v>n</v>
      </c>
      <c r="N56" s="195" t="str">
        <f>IF(AND(N$3&gt;=$D56,N$3&lt;=$E56),IF((N$3-$D56+1)*VLOOKUP($A56,presupuesto!$B:$Q,16,FALSE)&gt;=VLOOKUP($A56,informe!$A:$J,9,FALSE),"cg","c"),"n")</f>
        <v>n</v>
      </c>
      <c r="O56" s="195" t="str">
        <f>IF(AND(O$3&gt;=$D56,O$3&lt;=$E56),IF((O$3-$D56+1)*VLOOKUP($A56,presupuesto!$B:$Q,16,FALSE)&gt;=VLOOKUP($A56,informe!$A:$J,9,FALSE),"cg","c"),"n")</f>
        <v>n</v>
      </c>
      <c r="P56" s="195" t="str">
        <f>IF(AND(P$3&gt;=$D56,P$3&lt;=$E56),IF((P$3-$D56+1)*VLOOKUP($A56,presupuesto!$B:$Q,16,FALSE)&gt;=VLOOKUP($A56,informe!$A:$J,9,FALSE),"cg","c"),"n")</f>
        <v>n</v>
      </c>
      <c r="Q56" s="195" t="str">
        <f>IF(AND(Q$3&gt;=$D56,Q$3&lt;=$E56),IF((Q$3-$D56+1)*VLOOKUP($A56,presupuesto!$B:$Q,16,FALSE)&gt;=VLOOKUP($A56,informe!$A:$J,9,FALSE),"cg","c"),"n")</f>
        <v>n</v>
      </c>
      <c r="R56" s="195" t="str">
        <f>IF(AND(R$3&gt;=$D56,R$3&lt;=$E56),IF((R$3-$D56+1)*VLOOKUP($A56,presupuesto!$B:$Q,16,FALSE)&gt;=VLOOKUP($A56,informe!$A:$J,9,FALSE),"cg","c"),"n")</f>
        <v>n</v>
      </c>
      <c r="S56" s="195" t="str">
        <f>IF(AND(S$3&gt;=$D56,S$3&lt;=$E56),IF((S$3-$D56+1)*VLOOKUP($A56,presupuesto!$B:$Q,16,FALSE)&gt;=VLOOKUP($A56,informe!$A:$J,9,FALSE),"cg","c"),"n")</f>
        <v>n</v>
      </c>
      <c r="T56" s="195" t="str">
        <f>IF(AND(T$3&gt;=$D56,T$3&lt;=$E56),IF((T$3-$D56+1)*VLOOKUP($A56,presupuesto!$B:$Q,16,FALSE)&gt;=VLOOKUP($A56,informe!$A:$J,9,FALSE),"cg","c"),"n")</f>
        <v>n</v>
      </c>
      <c r="U56" s="195" t="str">
        <f>IF(AND(U$3&gt;=$D56,U$3&lt;=$E56),IF((U$3-$D56+1)*VLOOKUP($A56,presupuesto!$B:$Q,16,FALSE)&gt;=VLOOKUP($A56,informe!$A:$J,9,FALSE),"cg","c"),"n")</f>
        <v>n</v>
      </c>
      <c r="V56" s="195" t="str">
        <f>IF(AND(V$3&gt;=$D56,V$3&lt;=$E56),IF((V$3-$D56+1)*VLOOKUP($A56,presupuesto!$B:$Q,16,FALSE)&gt;=VLOOKUP($A56,informe!$A:$J,9,FALSE),"cg","c"),"n")</f>
        <v>n</v>
      </c>
      <c r="W56" s="195" t="str">
        <f>IF(AND(W$3&gt;=$D56,W$3&lt;=$E56),IF((W$3-$D56+1)*VLOOKUP($A56,presupuesto!$B:$Q,16,FALSE)&gt;=VLOOKUP($A56,informe!$A:$J,9,FALSE),"cg","c"),"n")</f>
        <v>n</v>
      </c>
      <c r="X56" s="195" t="str">
        <f>IF(AND(X$3&gt;=$D56,X$3&lt;=$E56),IF((X$3-$D56+1)*VLOOKUP($A56,presupuesto!$B:$Q,16,FALSE)&gt;=VLOOKUP($A56,informe!$A:$J,9,FALSE),"cg","c"),"n")</f>
        <v>n</v>
      </c>
      <c r="Y56" s="195" t="str">
        <f>IF(AND(Y$3&gt;=$D56,Y$3&lt;=$E56),IF((Y$3-$D56+1)*VLOOKUP($A56,presupuesto!$B:$Q,16,FALSE)&gt;=VLOOKUP($A56,informe!$A:$J,9,FALSE),"cg","c"),"n")</f>
        <v>n</v>
      </c>
      <c r="Z56" s="195" t="str">
        <f>IF(AND(Z$3&gt;=$D56,Z$3&lt;=$E56),IF((Z$3-$D56+1)*VLOOKUP($A56,presupuesto!$B:$Q,16,FALSE)&gt;=VLOOKUP($A56,informe!$A:$J,9,FALSE),"cg","c"),"n")</f>
        <v>n</v>
      </c>
      <c r="AA56" s="195" t="str">
        <f>IF(AND(AA$3&gt;=$D56,AA$3&lt;=$E56),IF((AA$3-$D56+1)*VLOOKUP($A56,presupuesto!$B:$Q,16,FALSE)&gt;=VLOOKUP($A56,informe!$A:$J,9,FALSE),"cg","c"),"n")</f>
        <v>n</v>
      </c>
      <c r="AB56" s="195" t="str">
        <f>IF(AND(AB$3&gt;=$D56,AB$3&lt;=$E56),IF((AB$3-$D56+1)*VLOOKUP($A56,presupuesto!$B:$Q,16,FALSE)&gt;=VLOOKUP($A56,informe!$A:$J,9,FALSE),"cg","c"),"n")</f>
        <v>n</v>
      </c>
      <c r="AC56" s="195" t="str">
        <f>IF(AND(AC$3&gt;=$D56,AC$3&lt;=$E56),IF((AC$3-$D56+1)*VLOOKUP($A56,presupuesto!$B:$Q,16,FALSE)&gt;=VLOOKUP($A56,informe!$A:$J,9,FALSE),"cg","c"),"n")</f>
        <v>n</v>
      </c>
      <c r="AD56" s="195" t="str">
        <f>IF(AND(AD$3&gt;=$D56,AD$3&lt;=$E56),IF((AD$3-$D56+1)*VLOOKUP($A56,presupuesto!$B:$Q,16,FALSE)&gt;=VLOOKUP($A56,informe!$A:$J,9,FALSE),"cg","c"),"n")</f>
        <v>n</v>
      </c>
      <c r="AE56" s="195" t="str">
        <f>IF(AND(AE$3&gt;=$D56,AE$3&lt;=$E56),IF((AE$3-$D56+1)*VLOOKUP($A56,presupuesto!$B:$Q,16,FALSE)&gt;=VLOOKUP($A56,informe!$A:$J,9,FALSE),"cg","c"),"n")</f>
        <v>n</v>
      </c>
      <c r="AF56" s="195" t="str">
        <f>IF(AND(AF$3&gt;=$D56,AF$3&lt;=$E56),IF((AF$3-$D56+1)*VLOOKUP($A56,presupuesto!$B:$Q,16,FALSE)&gt;=VLOOKUP($A56,informe!$A:$J,9,FALSE),"cg","c"),"n")</f>
        <v>n</v>
      </c>
      <c r="AG56" s="195" t="str">
        <f>IF(AND(AG$3&gt;=$D56,AG$3&lt;=$E56),IF((AG$3-$D56+1)*VLOOKUP($A56,presupuesto!$B:$Q,16,FALSE)&gt;=VLOOKUP($A56,informe!$A:$J,9,FALSE),"cg","c"),"n")</f>
        <v>n</v>
      </c>
      <c r="AH56" s="195" t="str">
        <f>IF(AND(AH$3&gt;=$D56,AH$3&lt;=$E56),IF((AH$3-$D56+1)*VLOOKUP($A56,presupuesto!$B:$Q,16,FALSE)&gt;=VLOOKUP($A56,informe!$A:$J,9,FALSE),"cg","c"),"n")</f>
        <v>n</v>
      </c>
      <c r="AI56" s="195" t="str">
        <f>IF(AND(AI$3&gt;=$D56,AI$3&lt;=$E56),IF((AI$3-$D56+1)*VLOOKUP($A56,presupuesto!$B:$Q,16,FALSE)&gt;=VLOOKUP($A56,informe!$A:$J,9,FALSE),"cg","c"),"n")</f>
        <v>n</v>
      </c>
      <c r="AJ56" s="195" t="str">
        <f>IF(AND(AJ$3&gt;=$D56,AJ$3&lt;=$E56),IF((AJ$3-$D56+1)*VLOOKUP($A56,presupuesto!$B:$Q,16,FALSE)&gt;=VLOOKUP($A56,informe!$A:$J,9,FALSE),"cg","c"),"n")</f>
        <v>n</v>
      </c>
      <c r="AK56" s="196" t="str">
        <f>IF(AND(AK$3&gt;=$D56,AK$3&lt;=$E56),IF((AK$3-$D56+1)*VLOOKUP($A56,presupuesto!$B:$Q,16,FALSE)&gt;=VLOOKUP($A56,informe!$A:$J,9,FALSE),"cg","c"),"n")</f>
        <v>n</v>
      </c>
    </row>
    <row r="57" spans="1:37" s="1" customFormat="1" ht="15" customHeight="1" x14ac:dyDescent="0.3">
      <c r="A57" s="197" t="str">
        <f>presupuesto!B56</f>
        <v>C.-</v>
      </c>
      <c r="B57" s="181" t="str">
        <f>presupuesto!C56</f>
        <v xml:space="preserve">      INTERCONEXIONES HIDRÁULICAS</v>
      </c>
      <c r="C57" s="174" t="str">
        <f>presupuesto!G56</f>
        <v>30 días</v>
      </c>
      <c r="D57" s="177">
        <f>presupuesto!N56</f>
        <v>45765</v>
      </c>
      <c r="E57" s="177">
        <f>presupuesto!O56</f>
        <v>45794</v>
      </c>
      <c r="F57" s="194" t="str">
        <f>IF(AK57="n",CONCATENATE(" - "),IF(AK57="cg",CONCATENATE(" - "),CONCATENATE(ROUND(IFERROR(VLOOKUP(A57,informe!A:J,9,FALSE)/VLOOKUP(A57,informe!A:J,5,FALSE),0)*100,2),"% ")))</f>
        <v xml:space="preserve"> - </v>
      </c>
      <c r="G57" s="195" t="str">
        <f>IF(AND(G$3&gt;=$D57,G$3&lt;=$E57),IF((G$3-$D57+1)*VLOOKUP($A57,presupuesto!$B:$Q,16,FALSE)&gt;=VLOOKUP($A57,informe!$A:$J,9,FALSE),"cg","c"),"n")</f>
        <v>n</v>
      </c>
      <c r="H57" s="195" t="str">
        <f>IF(AND(H$3&gt;=$D57,H$3&lt;=$E57),IF((H$3-$D57+1)*VLOOKUP($A57,presupuesto!$B:$Q,16,FALSE)&gt;=VLOOKUP($A57,informe!$A:$J,9,FALSE),"cg","c"),"n")</f>
        <v>n</v>
      </c>
      <c r="I57" s="195" t="str">
        <f>IF(AND(I$3&gt;=$D57,I$3&lt;=$E57),IF((I$3-$D57+1)*VLOOKUP($A57,presupuesto!$B:$Q,16,FALSE)&gt;=VLOOKUP($A57,informe!$A:$J,9,FALSE),"cg","c"),"n")</f>
        <v>n</v>
      </c>
      <c r="J57" s="195" t="str">
        <f>IF(AND(J$3&gt;=$D57,J$3&lt;=$E57),IF((J$3-$D57+1)*VLOOKUP($A57,presupuesto!$B:$Q,16,FALSE)&gt;=VLOOKUP($A57,informe!$A:$J,9,FALSE),"cg","c"),"n")</f>
        <v>n</v>
      </c>
      <c r="K57" s="195" t="str">
        <f>IF(AND(K$3&gt;=$D57,K$3&lt;=$E57),IF((K$3-$D57+1)*VLOOKUP($A57,presupuesto!$B:$Q,16,FALSE)&gt;=VLOOKUP($A57,informe!$A:$J,9,FALSE),"cg","c"),"n")</f>
        <v>n</v>
      </c>
      <c r="L57" s="195" t="str">
        <f>IF(AND(L$3&gt;=$D57,L$3&lt;=$E57),IF((L$3-$D57+1)*VLOOKUP($A57,presupuesto!$B:$Q,16,FALSE)&gt;=VLOOKUP($A57,informe!$A:$J,9,FALSE),"cg","c"),"n")</f>
        <v>n</v>
      </c>
      <c r="M57" s="195" t="str">
        <f>IF(AND(M$3&gt;=$D57,M$3&lt;=$E57),IF((M$3-$D57+1)*VLOOKUP($A57,presupuesto!$B:$Q,16,FALSE)&gt;=VLOOKUP($A57,informe!$A:$J,9,FALSE),"cg","c"),"n")</f>
        <v>n</v>
      </c>
      <c r="N57" s="195" t="str">
        <f>IF(AND(N$3&gt;=$D57,N$3&lt;=$E57),IF((N$3-$D57+1)*VLOOKUP($A57,presupuesto!$B:$Q,16,FALSE)&gt;=VLOOKUP($A57,informe!$A:$J,9,FALSE),"cg","c"),"n")</f>
        <v>n</v>
      </c>
      <c r="O57" s="195" t="str">
        <f>IF(AND(O$3&gt;=$D57,O$3&lt;=$E57),IF((O$3-$D57+1)*VLOOKUP($A57,presupuesto!$B:$Q,16,FALSE)&gt;=VLOOKUP($A57,informe!$A:$J,9,FALSE),"cg","c"),"n")</f>
        <v>n</v>
      </c>
      <c r="P57" s="195" t="str">
        <f>IF(AND(P$3&gt;=$D57,P$3&lt;=$E57),IF((P$3-$D57+1)*VLOOKUP($A57,presupuesto!$B:$Q,16,FALSE)&gt;=VLOOKUP($A57,informe!$A:$J,9,FALSE),"cg","c"),"n")</f>
        <v>n</v>
      </c>
      <c r="Q57" s="195" t="str">
        <f>IF(AND(Q$3&gt;=$D57,Q$3&lt;=$E57),IF((Q$3-$D57+1)*VLOOKUP($A57,presupuesto!$B:$Q,16,FALSE)&gt;=VLOOKUP($A57,informe!$A:$J,9,FALSE),"cg","c"),"n")</f>
        <v>n</v>
      </c>
      <c r="R57" s="195" t="str">
        <f>IF(AND(R$3&gt;=$D57,R$3&lt;=$E57),IF((R$3-$D57+1)*VLOOKUP($A57,presupuesto!$B:$Q,16,FALSE)&gt;=VLOOKUP($A57,informe!$A:$J,9,FALSE),"cg","c"),"n")</f>
        <v>n</v>
      </c>
      <c r="S57" s="195" t="str">
        <f>IF(AND(S$3&gt;=$D57,S$3&lt;=$E57),IF((S$3-$D57+1)*VLOOKUP($A57,presupuesto!$B:$Q,16,FALSE)&gt;=VLOOKUP($A57,informe!$A:$J,9,FALSE),"cg","c"),"n")</f>
        <v>n</v>
      </c>
      <c r="T57" s="195" t="str">
        <f>IF(AND(T$3&gt;=$D57,T$3&lt;=$E57),IF((T$3-$D57+1)*VLOOKUP($A57,presupuesto!$B:$Q,16,FALSE)&gt;=VLOOKUP($A57,informe!$A:$J,9,FALSE),"cg","c"),"n")</f>
        <v>n</v>
      </c>
      <c r="U57" s="195" t="str">
        <f>IF(AND(U$3&gt;=$D57,U$3&lt;=$E57),IF((U$3-$D57+1)*VLOOKUP($A57,presupuesto!$B:$Q,16,FALSE)&gt;=VLOOKUP($A57,informe!$A:$J,9,FALSE),"cg","c"),"n")</f>
        <v>n</v>
      </c>
      <c r="V57" s="195" t="str">
        <f>IF(AND(V$3&gt;=$D57,V$3&lt;=$E57),IF((V$3-$D57+1)*VLOOKUP($A57,presupuesto!$B:$Q,16,FALSE)&gt;=VLOOKUP($A57,informe!$A:$J,9,FALSE),"cg","c"),"n")</f>
        <v>n</v>
      </c>
      <c r="W57" s="195" t="str">
        <f>IF(AND(W$3&gt;=$D57,W$3&lt;=$E57),IF((W$3-$D57+1)*VLOOKUP($A57,presupuesto!$B:$Q,16,FALSE)&gt;=VLOOKUP($A57,informe!$A:$J,9,FALSE),"cg","c"),"n")</f>
        <v>n</v>
      </c>
      <c r="X57" s="195" t="str">
        <f>IF(AND(X$3&gt;=$D57,X$3&lt;=$E57),IF((X$3-$D57+1)*VLOOKUP($A57,presupuesto!$B:$Q,16,FALSE)&gt;=VLOOKUP($A57,informe!$A:$J,9,FALSE),"cg","c"),"n")</f>
        <v>n</v>
      </c>
      <c r="Y57" s="195" t="str">
        <f>IF(AND(Y$3&gt;=$D57,Y$3&lt;=$E57),IF((Y$3-$D57+1)*VLOOKUP($A57,presupuesto!$B:$Q,16,FALSE)&gt;=VLOOKUP($A57,informe!$A:$J,9,FALSE),"cg","c"),"n")</f>
        <v>n</v>
      </c>
      <c r="Z57" s="195" t="str">
        <f>IF(AND(Z$3&gt;=$D57,Z$3&lt;=$E57),IF((Z$3-$D57+1)*VLOOKUP($A57,presupuesto!$B:$Q,16,FALSE)&gt;=VLOOKUP($A57,informe!$A:$J,9,FALSE),"cg","c"),"n")</f>
        <v>n</v>
      </c>
      <c r="AA57" s="195" t="str">
        <f>IF(AND(AA$3&gt;=$D57,AA$3&lt;=$E57),IF((AA$3-$D57+1)*VLOOKUP($A57,presupuesto!$B:$Q,16,FALSE)&gt;=VLOOKUP($A57,informe!$A:$J,9,FALSE),"cg","c"),"n")</f>
        <v>n</v>
      </c>
      <c r="AB57" s="195" t="str">
        <f>IF(AND(AB$3&gt;=$D57,AB$3&lt;=$E57),IF((AB$3-$D57+1)*VLOOKUP($A57,presupuesto!$B:$Q,16,FALSE)&gt;=VLOOKUP($A57,informe!$A:$J,9,FALSE),"cg","c"),"n")</f>
        <v>n</v>
      </c>
      <c r="AC57" s="195" t="str">
        <f>IF(AND(AC$3&gt;=$D57,AC$3&lt;=$E57),IF((AC$3-$D57+1)*VLOOKUP($A57,presupuesto!$B:$Q,16,FALSE)&gt;=VLOOKUP($A57,informe!$A:$J,9,FALSE),"cg","c"),"n")</f>
        <v>n</v>
      </c>
      <c r="AD57" s="195" t="str">
        <f>IF(AND(AD$3&gt;=$D57,AD$3&lt;=$E57),IF((AD$3-$D57+1)*VLOOKUP($A57,presupuesto!$B:$Q,16,FALSE)&gt;=VLOOKUP($A57,informe!$A:$J,9,FALSE),"cg","c"),"n")</f>
        <v>n</v>
      </c>
      <c r="AE57" s="195" t="str">
        <f>IF(AND(AE$3&gt;=$D57,AE$3&lt;=$E57),IF((AE$3-$D57+1)*VLOOKUP($A57,presupuesto!$B:$Q,16,FALSE)&gt;=VLOOKUP($A57,informe!$A:$J,9,FALSE),"cg","c"),"n")</f>
        <v>n</v>
      </c>
      <c r="AF57" s="195" t="str">
        <f>IF(AND(AF$3&gt;=$D57,AF$3&lt;=$E57),IF((AF$3-$D57+1)*VLOOKUP($A57,presupuesto!$B:$Q,16,FALSE)&gt;=VLOOKUP($A57,informe!$A:$J,9,FALSE),"cg","c"),"n")</f>
        <v>n</v>
      </c>
      <c r="AG57" s="195" t="str">
        <f>IF(AND(AG$3&gt;=$D57,AG$3&lt;=$E57),IF((AG$3-$D57+1)*VLOOKUP($A57,presupuesto!$B:$Q,16,FALSE)&gt;=VLOOKUP($A57,informe!$A:$J,9,FALSE),"cg","c"),"n")</f>
        <v>n</v>
      </c>
      <c r="AH57" s="195" t="str">
        <f>IF(AND(AH$3&gt;=$D57,AH$3&lt;=$E57),IF((AH$3-$D57+1)*VLOOKUP($A57,presupuesto!$B:$Q,16,FALSE)&gt;=VLOOKUP($A57,informe!$A:$J,9,FALSE),"cg","c"),"n")</f>
        <v>n</v>
      </c>
      <c r="AI57" s="195" t="str">
        <f>IF(AND(AI$3&gt;=$D57,AI$3&lt;=$E57),IF((AI$3-$D57+1)*VLOOKUP($A57,presupuesto!$B:$Q,16,FALSE)&gt;=VLOOKUP($A57,informe!$A:$J,9,FALSE),"cg","c"),"n")</f>
        <v>n</v>
      </c>
      <c r="AJ57" s="195" t="str">
        <f>IF(AND(AJ$3&gt;=$D57,AJ$3&lt;=$E57),IF((AJ$3-$D57+1)*VLOOKUP($A57,presupuesto!$B:$Q,16,FALSE)&gt;=VLOOKUP($A57,informe!$A:$J,9,FALSE),"cg","c"),"n")</f>
        <v>n</v>
      </c>
      <c r="AK57" s="196" t="str">
        <f>IF(AND(AK$3&gt;=$D57,AK$3&lt;=$E57),IF((AK$3-$D57+1)*VLOOKUP($A57,presupuesto!$B:$Q,16,FALSE)&gt;=VLOOKUP($A57,informe!$A:$J,9,FALSE),"cg","c"),"n")</f>
        <v>n</v>
      </c>
    </row>
    <row r="58" spans="1:37" s="1" customFormat="1" ht="15" customHeight="1" x14ac:dyDescent="0.3">
      <c r="A58" s="197" t="str">
        <f>presupuesto!B57</f>
        <v>C.1.-</v>
      </c>
      <c r="B58" s="181" t="str">
        <f>presupuesto!C57</f>
        <v xml:space="preserve">         Suministro, transporte, transporte interno, colocación y prueba de Cañerias de Acero Sch 40</v>
      </c>
      <c r="C58" s="174" t="str">
        <f>presupuesto!G57</f>
        <v>15 días</v>
      </c>
      <c r="D58" s="177">
        <f>presupuesto!N57</f>
        <v>45765</v>
      </c>
      <c r="E58" s="177">
        <f>presupuesto!O57</f>
        <v>45779</v>
      </c>
      <c r="F58" s="194" t="str">
        <f>IF(AK58="n",CONCATENATE(" - "),IF(AK58="cg",CONCATENATE(" - "),CONCATENATE(ROUND(IFERROR(VLOOKUP(A58,informe!A:J,9,FALSE)/VLOOKUP(A58,informe!A:J,5,FALSE),0)*100,2),"% ")))</f>
        <v xml:space="preserve"> - </v>
      </c>
      <c r="G58" s="195" t="str">
        <f>IF(AND(G$3&gt;=$D58,G$3&lt;=$E58),IF((G$3-$D58+1)*VLOOKUP($A58,presupuesto!$B:$Q,16,FALSE)&gt;=VLOOKUP($A58,informe!$A:$J,9,FALSE),"cg","c"),"n")</f>
        <v>n</v>
      </c>
      <c r="H58" s="195" t="str">
        <f>IF(AND(H$3&gt;=$D58,H$3&lt;=$E58),IF((H$3-$D58+1)*VLOOKUP($A58,presupuesto!$B:$Q,16,FALSE)&gt;=VLOOKUP($A58,informe!$A:$J,9,FALSE),"cg","c"),"n")</f>
        <v>n</v>
      </c>
      <c r="I58" s="195" t="str">
        <f>IF(AND(I$3&gt;=$D58,I$3&lt;=$E58),IF((I$3-$D58+1)*VLOOKUP($A58,presupuesto!$B:$Q,16,FALSE)&gt;=VLOOKUP($A58,informe!$A:$J,9,FALSE),"cg","c"),"n")</f>
        <v>n</v>
      </c>
      <c r="J58" s="195" t="str">
        <f>IF(AND(J$3&gt;=$D58,J$3&lt;=$E58),IF((J$3-$D58+1)*VLOOKUP($A58,presupuesto!$B:$Q,16,FALSE)&gt;=VLOOKUP($A58,informe!$A:$J,9,FALSE),"cg","c"),"n")</f>
        <v>n</v>
      </c>
      <c r="K58" s="195" t="str">
        <f>IF(AND(K$3&gt;=$D58,K$3&lt;=$E58),IF((K$3-$D58+1)*VLOOKUP($A58,presupuesto!$B:$Q,16,FALSE)&gt;=VLOOKUP($A58,informe!$A:$J,9,FALSE),"cg","c"),"n")</f>
        <v>n</v>
      </c>
      <c r="L58" s="195" t="str">
        <f>IF(AND(L$3&gt;=$D58,L$3&lt;=$E58),IF((L$3-$D58+1)*VLOOKUP($A58,presupuesto!$B:$Q,16,FALSE)&gt;=VLOOKUP($A58,informe!$A:$J,9,FALSE),"cg","c"),"n")</f>
        <v>n</v>
      </c>
      <c r="M58" s="195" t="str">
        <f>IF(AND(M$3&gt;=$D58,M$3&lt;=$E58),IF((M$3-$D58+1)*VLOOKUP($A58,presupuesto!$B:$Q,16,FALSE)&gt;=VLOOKUP($A58,informe!$A:$J,9,FALSE),"cg","c"),"n")</f>
        <v>n</v>
      </c>
      <c r="N58" s="195" t="str">
        <f>IF(AND(N$3&gt;=$D58,N$3&lt;=$E58),IF((N$3-$D58+1)*VLOOKUP($A58,presupuesto!$B:$Q,16,FALSE)&gt;=VLOOKUP($A58,informe!$A:$J,9,FALSE),"cg","c"),"n")</f>
        <v>n</v>
      </c>
      <c r="O58" s="195" t="str">
        <f>IF(AND(O$3&gt;=$D58,O$3&lt;=$E58),IF((O$3-$D58+1)*VLOOKUP($A58,presupuesto!$B:$Q,16,FALSE)&gt;=VLOOKUP($A58,informe!$A:$J,9,FALSE),"cg","c"),"n")</f>
        <v>n</v>
      </c>
      <c r="P58" s="195" t="str">
        <f>IF(AND(P$3&gt;=$D58,P$3&lt;=$E58),IF((P$3-$D58+1)*VLOOKUP($A58,presupuesto!$B:$Q,16,FALSE)&gt;=VLOOKUP($A58,informe!$A:$J,9,FALSE),"cg","c"),"n")</f>
        <v>n</v>
      </c>
      <c r="Q58" s="195" t="str">
        <f>IF(AND(Q$3&gt;=$D58,Q$3&lt;=$E58),IF((Q$3-$D58+1)*VLOOKUP($A58,presupuesto!$B:$Q,16,FALSE)&gt;=VLOOKUP($A58,informe!$A:$J,9,FALSE),"cg","c"),"n")</f>
        <v>n</v>
      </c>
      <c r="R58" s="195" t="str">
        <f>IF(AND(R$3&gt;=$D58,R$3&lt;=$E58),IF((R$3-$D58+1)*VLOOKUP($A58,presupuesto!$B:$Q,16,FALSE)&gt;=VLOOKUP($A58,informe!$A:$J,9,FALSE),"cg","c"),"n")</f>
        <v>n</v>
      </c>
      <c r="S58" s="195" t="str">
        <f>IF(AND(S$3&gt;=$D58,S$3&lt;=$E58),IF((S$3-$D58+1)*VLOOKUP($A58,presupuesto!$B:$Q,16,FALSE)&gt;=VLOOKUP($A58,informe!$A:$J,9,FALSE),"cg","c"),"n")</f>
        <v>n</v>
      </c>
      <c r="T58" s="195" t="str">
        <f>IF(AND(T$3&gt;=$D58,T$3&lt;=$E58),IF((T$3-$D58+1)*VLOOKUP($A58,presupuesto!$B:$Q,16,FALSE)&gt;=VLOOKUP($A58,informe!$A:$J,9,FALSE),"cg","c"),"n")</f>
        <v>n</v>
      </c>
      <c r="U58" s="195" t="str">
        <f>IF(AND(U$3&gt;=$D58,U$3&lt;=$E58),IF((U$3-$D58+1)*VLOOKUP($A58,presupuesto!$B:$Q,16,FALSE)&gt;=VLOOKUP($A58,informe!$A:$J,9,FALSE),"cg","c"),"n")</f>
        <v>n</v>
      </c>
      <c r="V58" s="195" t="str">
        <f>IF(AND(V$3&gt;=$D58,V$3&lt;=$E58),IF((V$3-$D58+1)*VLOOKUP($A58,presupuesto!$B:$Q,16,FALSE)&gt;=VLOOKUP($A58,informe!$A:$J,9,FALSE),"cg","c"),"n")</f>
        <v>n</v>
      </c>
      <c r="W58" s="195" t="str">
        <f>IF(AND(W$3&gt;=$D58,W$3&lt;=$E58),IF((W$3-$D58+1)*VLOOKUP($A58,presupuesto!$B:$Q,16,FALSE)&gt;=VLOOKUP($A58,informe!$A:$J,9,FALSE),"cg","c"),"n")</f>
        <v>n</v>
      </c>
      <c r="X58" s="195" t="str">
        <f>IF(AND(X$3&gt;=$D58,X$3&lt;=$E58),IF((X$3-$D58+1)*VLOOKUP($A58,presupuesto!$B:$Q,16,FALSE)&gt;=VLOOKUP($A58,informe!$A:$J,9,FALSE),"cg","c"),"n")</f>
        <v>n</v>
      </c>
      <c r="Y58" s="195" t="str">
        <f>IF(AND(Y$3&gt;=$D58,Y$3&lt;=$E58),IF((Y$3-$D58+1)*VLOOKUP($A58,presupuesto!$B:$Q,16,FALSE)&gt;=VLOOKUP($A58,informe!$A:$J,9,FALSE),"cg","c"),"n")</f>
        <v>n</v>
      </c>
      <c r="Z58" s="195" t="str">
        <f>IF(AND(Z$3&gt;=$D58,Z$3&lt;=$E58),IF((Z$3-$D58+1)*VLOOKUP($A58,presupuesto!$B:$Q,16,FALSE)&gt;=VLOOKUP($A58,informe!$A:$J,9,FALSE),"cg","c"),"n")</f>
        <v>n</v>
      </c>
      <c r="AA58" s="195" t="str">
        <f>IF(AND(AA$3&gt;=$D58,AA$3&lt;=$E58),IF((AA$3-$D58+1)*VLOOKUP($A58,presupuesto!$B:$Q,16,FALSE)&gt;=VLOOKUP($A58,informe!$A:$J,9,FALSE),"cg","c"),"n")</f>
        <v>n</v>
      </c>
      <c r="AB58" s="195" t="str">
        <f>IF(AND(AB$3&gt;=$D58,AB$3&lt;=$E58),IF((AB$3-$D58+1)*VLOOKUP($A58,presupuesto!$B:$Q,16,FALSE)&gt;=VLOOKUP($A58,informe!$A:$J,9,FALSE),"cg","c"),"n")</f>
        <v>n</v>
      </c>
      <c r="AC58" s="195" t="str">
        <f>IF(AND(AC$3&gt;=$D58,AC$3&lt;=$E58),IF((AC$3-$D58+1)*VLOOKUP($A58,presupuesto!$B:$Q,16,FALSE)&gt;=VLOOKUP($A58,informe!$A:$J,9,FALSE),"cg","c"),"n")</f>
        <v>n</v>
      </c>
      <c r="AD58" s="195" t="str">
        <f>IF(AND(AD$3&gt;=$D58,AD$3&lt;=$E58),IF((AD$3-$D58+1)*VLOOKUP($A58,presupuesto!$B:$Q,16,FALSE)&gt;=VLOOKUP($A58,informe!$A:$J,9,FALSE),"cg","c"),"n")</f>
        <v>n</v>
      </c>
      <c r="AE58" s="195" t="str">
        <f>IF(AND(AE$3&gt;=$D58,AE$3&lt;=$E58),IF((AE$3-$D58+1)*VLOOKUP($A58,presupuesto!$B:$Q,16,FALSE)&gt;=VLOOKUP($A58,informe!$A:$J,9,FALSE),"cg","c"),"n")</f>
        <v>n</v>
      </c>
      <c r="AF58" s="195" t="str">
        <f>IF(AND(AF$3&gt;=$D58,AF$3&lt;=$E58),IF((AF$3-$D58+1)*VLOOKUP($A58,presupuesto!$B:$Q,16,FALSE)&gt;=VLOOKUP($A58,informe!$A:$J,9,FALSE),"cg","c"),"n")</f>
        <v>n</v>
      </c>
      <c r="AG58" s="195" t="str">
        <f>IF(AND(AG$3&gt;=$D58,AG$3&lt;=$E58),IF((AG$3-$D58+1)*VLOOKUP($A58,presupuesto!$B:$Q,16,FALSE)&gt;=VLOOKUP($A58,informe!$A:$J,9,FALSE),"cg","c"),"n")</f>
        <v>n</v>
      </c>
      <c r="AH58" s="195" t="str">
        <f>IF(AND(AH$3&gt;=$D58,AH$3&lt;=$E58),IF((AH$3-$D58+1)*VLOOKUP($A58,presupuesto!$B:$Q,16,FALSE)&gt;=VLOOKUP($A58,informe!$A:$J,9,FALSE),"cg","c"),"n")</f>
        <v>n</v>
      </c>
      <c r="AI58" s="195" t="str">
        <f>IF(AND(AI$3&gt;=$D58,AI$3&lt;=$E58),IF((AI$3-$D58+1)*VLOOKUP($A58,presupuesto!$B:$Q,16,FALSE)&gt;=VLOOKUP($A58,informe!$A:$J,9,FALSE),"cg","c"),"n")</f>
        <v>n</v>
      </c>
      <c r="AJ58" s="195" t="str">
        <f>IF(AND(AJ$3&gt;=$D58,AJ$3&lt;=$E58),IF((AJ$3-$D58+1)*VLOOKUP($A58,presupuesto!$B:$Q,16,FALSE)&gt;=VLOOKUP($A58,informe!$A:$J,9,FALSE),"cg","c"),"n")</f>
        <v>n</v>
      </c>
      <c r="AK58" s="196" t="str">
        <f>IF(AND(AK$3&gt;=$D58,AK$3&lt;=$E58),IF((AK$3-$D58+1)*VLOOKUP($A58,presupuesto!$B:$Q,16,FALSE)&gt;=VLOOKUP($A58,informe!$A:$J,9,FALSE),"cg","c"),"n")</f>
        <v>n</v>
      </c>
    </row>
    <row r="59" spans="1:37" s="1" customFormat="1" ht="15" customHeight="1" x14ac:dyDescent="0.25">
      <c r="A59" s="193">
        <f>presupuesto!B58</f>
        <v>33</v>
      </c>
      <c r="B59" s="182" t="str">
        <f>presupuesto!C58</f>
        <v xml:space="preserve">            Cañería de acero galvanizado Sch 40 D=3”</v>
      </c>
      <c r="C59" s="173" t="str">
        <f>presupuesto!G58</f>
        <v>15 días</v>
      </c>
      <c r="D59" s="176">
        <f>presupuesto!N58</f>
        <v>45765</v>
      </c>
      <c r="E59" s="176">
        <f>presupuesto!O58</f>
        <v>45779</v>
      </c>
      <c r="F59" s="194" t="str">
        <f>IF(AK59="n",CONCATENATE(" - "),IF(AK59="cg",CONCATENATE(" - "),CONCATENATE(ROUND(IFERROR(VLOOKUP(A59,informe!A:J,9,FALSE)/VLOOKUP(A59,informe!A:J,5,FALSE),0)*100,2),"% ")))</f>
        <v xml:space="preserve"> - </v>
      </c>
      <c r="G59" s="195" t="str">
        <f>IF(AND(G$3&gt;=$D59,G$3&lt;=$E59),IF((G$3-$D59+1)*VLOOKUP($A59,presupuesto!$B:$Q,16,FALSE)&gt;=VLOOKUP($A59,informe!$A:$J,9,FALSE),"cg","c"),"n")</f>
        <v>n</v>
      </c>
      <c r="H59" s="195" t="str">
        <f>IF(AND(H$3&gt;=$D59,H$3&lt;=$E59),IF((H$3-$D59+1)*VLOOKUP($A59,presupuesto!$B:$Q,16,FALSE)&gt;=VLOOKUP($A59,informe!$A:$J,9,FALSE),"cg","c"),"n")</f>
        <v>n</v>
      </c>
      <c r="I59" s="195" t="str">
        <f>IF(AND(I$3&gt;=$D59,I$3&lt;=$E59),IF((I$3-$D59+1)*VLOOKUP($A59,presupuesto!$B:$Q,16,FALSE)&gt;=VLOOKUP($A59,informe!$A:$J,9,FALSE),"cg","c"),"n")</f>
        <v>n</v>
      </c>
      <c r="J59" s="195" t="str">
        <f>IF(AND(J$3&gt;=$D59,J$3&lt;=$E59),IF((J$3-$D59+1)*VLOOKUP($A59,presupuesto!$B:$Q,16,FALSE)&gt;=VLOOKUP($A59,informe!$A:$J,9,FALSE),"cg","c"),"n")</f>
        <v>n</v>
      </c>
      <c r="K59" s="195" t="str">
        <f>IF(AND(K$3&gt;=$D59,K$3&lt;=$E59),IF((K$3-$D59+1)*VLOOKUP($A59,presupuesto!$B:$Q,16,FALSE)&gt;=VLOOKUP($A59,informe!$A:$J,9,FALSE),"cg","c"),"n")</f>
        <v>n</v>
      </c>
      <c r="L59" s="195" t="str">
        <f>IF(AND(L$3&gt;=$D59,L$3&lt;=$E59),IF((L$3-$D59+1)*VLOOKUP($A59,presupuesto!$B:$Q,16,FALSE)&gt;=VLOOKUP($A59,informe!$A:$J,9,FALSE),"cg","c"),"n")</f>
        <v>n</v>
      </c>
      <c r="M59" s="195" t="str">
        <f>IF(AND(M$3&gt;=$D59,M$3&lt;=$E59),IF((M$3-$D59+1)*VLOOKUP($A59,presupuesto!$B:$Q,16,FALSE)&gt;=VLOOKUP($A59,informe!$A:$J,9,FALSE),"cg","c"),"n")</f>
        <v>n</v>
      </c>
      <c r="N59" s="195" t="str">
        <f>IF(AND(N$3&gt;=$D59,N$3&lt;=$E59),IF((N$3-$D59+1)*VLOOKUP($A59,presupuesto!$B:$Q,16,FALSE)&gt;=VLOOKUP($A59,informe!$A:$J,9,FALSE),"cg","c"),"n")</f>
        <v>n</v>
      </c>
      <c r="O59" s="195" t="str">
        <f>IF(AND(O$3&gt;=$D59,O$3&lt;=$E59),IF((O$3-$D59+1)*VLOOKUP($A59,presupuesto!$B:$Q,16,FALSE)&gt;=VLOOKUP($A59,informe!$A:$J,9,FALSE),"cg","c"),"n")</f>
        <v>n</v>
      </c>
      <c r="P59" s="195" t="str">
        <f>IF(AND(P$3&gt;=$D59,P$3&lt;=$E59),IF((P$3-$D59+1)*VLOOKUP($A59,presupuesto!$B:$Q,16,FALSE)&gt;=VLOOKUP($A59,informe!$A:$J,9,FALSE),"cg","c"),"n")</f>
        <v>n</v>
      </c>
      <c r="Q59" s="195" t="str">
        <f>IF(AND(Q$3&gt;=$D59,Q$3&lt;=$E59),IF((Q$3-$D59+1)*VLOOKUP($A59,presupuesto!$B:$Q,16,FALSE)&gt;=VLOOKUP($A59,informe!$A:$J,9,FALSE),"cg","c"),"n")</f>
        <v>n</v>
      </c>
      <c r="R59" s="195" t="str">
        <f>IF(AND(R$3&gt;=$D59,R$3&lt;=$E59),IF((R$3-$D59+1)*VLOOKUP($A59,presupuesto!$B:$Q,16,FALSE)&gt;=VLOOKUP($A59,informe!$A:$J,9,FALSE),"cg","c"),"n")</f>
        <v>n</v>
      </c>
      <c r="S59" s="195" t="str">
        <f>IF(AND(S$3&gt;=$D59,S$3&lt;=$E59),IF((S$3-$D59+1)*VLOOKUP($A59,presupuesto!$B:$Q,16,FALSE)&gt;=VLOOKUP($A59,informe!$A:$J,9,FALSE),"cg","c"),"n")</f>
        <v>n</v>
      </c>
      <c r="T59" s="195" t="str">
        <f>IF(AND(T$3&gt;=$D59,T$3&lt;=$E59),IF((T$3-$D59+1)*VLOOKUP($A59,presupuesto!$B:$Q,16,FALSE)&gt;=VLOOKUP($A59,informe!$A:$J,9,FALSE),"cg","c"),"n")</f>
        <v>n</v>
      </c>
      <c r="U59" s="195" t="str">
        <f>IF(AND(U$3&gt;=$D59,U$3&lt;=$E59),IF((U$3-$D59+1)*VLOOKUP($A59,presupuesto!$B:$Q,16,FALSE)&gt;=VLOOKUP($A59,informe!$A:$J,9,FALSE),"cg","c"),"n")</f>
        <v>n</v>
      </c>
      <c r="V59" s="195" t="str">
        <f>IF(AND(V$3&gt;=$D59,V$3&lt;=$E59),IF((V$3-$D59+1)*VLOOKUP($A59,presupuesto!$B:$Q,16,FALSE)&gt;=VLOOKUP($A59,informe!$A:$J,9,FALSE),"cg","c"),"n")</f>
        <v>n</v>
      </c>
      <c r="W59" s="195" t="str">
        <f>IF(AND(W$3&gt;=$D59,W$3&lt;=$E59),IF((W$3-$D59+1)*VLOOKUP($A59,presupuesto!$B:$Q,16,FALSE)&gt;=VLOOKUP($A59,informe!$A:$J,9,FALSE),"cg","c"),"n")</f>
        <v>n</v>
      </c>
      <c r="X59" s="195" t="str">
        <f>IF(AND(X$3&gt;=$D59,X$3&lt;=$E59),IF((X$3-$D59+1)*VLOOKUP($A59,presupuesto!$B:$Q,16,FALSE)&gt;=VLOOKUP($A59,informe!$A:$J,9,FALSE),"cg","c"),"n")</f>
        <v>n</v>
      </c>
      <c r="Y59" s="195" t="str">
        <f>IF(AND(Y$3&gt;=$D59,Y$3&lt;=$E59),IF((Y$3-$D59+1)*VLOOKUP($A59,presupuesto!$B:$Q,16,FALSE)&gt;=VLOOKUP($A59,informe!$A:$J,9,FALSE),"cg","c"),"n")</f>
        <v>n</v>
      </c>
      <c r="Z59" s="195" t="str">
        <f>IF(AND(Z$3&gt;=$D59,Z$3&lt;=$E59),IF((Z$3-$D59+1)*VLOOKUP($A59,presupuesto!$B:$Q,16,FALSE)&gt;=VLOOKUP($A59,informe!$A:$J,9,FALSE),"cg","c"),"n")</f>
        <v>n</v>
      </c>
      <c r="AA59" s="195" t="str">
        <f>IF(AND(AA$3&gt;=$D59,AA$3&lt;=$E59),IF((AA$3-$D59+1)*VLOOKUP($A59,presupuesto!$B:$Q,16,FALSE)&gt;=VLOOKUP($A59,informe!$A:$J,9,FALSE),"cg","c"),"n")</f>
        <v>n</v>
      </c>
      <c r="AB59" s="195" t="str">
        <f>IF(AND(AB$3&gt;=$D59,AB$3&lt;=$E59),IF((AB$3-$D59+1)*VLOOKUP($A59,presupuesto!$B:$Q,16,FALSE)&gt;=VLOOKUP($A59,informe!$A:$J,9,FALSE),"cg","c"),"n")</f>
        <v>n</v>
      </c>
      <c r="AC59" s="195" t="str">
        <f>IF(AND(AC$3&gt;=$D59,AC$3&lt;=$E59),IF((AC$3-$D59+1)*VLOOKUP($A59,presupuesto!$B:$Q,16,FALSE)&gt;=VLOOKUP($A59,informe!$A:$J,9,FALSE),"cg","c"),"n")</f>
        <v>n</v>
      </c>
      <c r="AD59" s="195" t="str">
        <f>IF(AND(AD$3&gt;=$D59,AD$3&lt;=$E59),IF((AD$3-$D59+1)*VLOOKUP($A59,presupuesto!$B:$Q,16,FALSE)&gt;=VLOOKUP($A59,informe!$A:$J,9,FALSE),"cg","c"),"n")</f>
        <v>n</v>
      </c>
      <c r="AE59" s="195" t="str">
        <f>IF(AND(AE$3&gt;=$D59,AE$3&lt;=$E59),IF((AE$3-$D59+1)*VLOOKUP($A59,presupuesto!$B:$Q,16,FALSE)&gt;=VLOOKUP($A59,informe!$A:$J,9,FALSE),"cg","c"),"n")</f>
        <v>n</v>
      </c>
      <c r="AF59" s="195" t="str">
        <f>IF(AND(AF$3&gt;=$D59,AF$3&lt;=$E59),IF((AF$3-$D59+1)*VLOOKUP($A59,presupuesto!$B:$Q,16,FALSE)&gt;=VLOOKUP($A59,informe!$A:$J,9,FALSE),"cg","c"),"n")</f>
        <v>n</v>
      </c>
      <c r="AG59" s="195" t="str">
        <f>IF(AND(AG$3&gt;=$D59,AG$3&lt;=$E59),IF((AG$3-$D59+1)*VLOOKUP($A59,presupuesto!$B:$Q,16,FALSE)&gt;=VLOOKUP($A59,informe!$A:$J,9,FALSE),"cg","c"),"n")</f>
        <v>n</v>
      </c>
      <c r="AH59" s="195" t="str">
        <f>IF(AND(AH$3&gt;=$D59,AH$3&lt;=$E59),IF((AH$3-$D59+1)*VLOOKUP($A59,presupuesto!$B:$Q,16,FALSE)&gt;=VLOOKUP($A59,informe!$A:$J,9,FALSE),"cg","c"),"n")</f>
        <v>n</v>
      </c>
      <c r="AI59" s="195" t="str">
        <f>IF(AND(AI$3&gt;=$D59,AI$3&lt;=$E59),IF((AI$3-$D59+1)*VLOOKUP($A59,presupuesto!$B:$Q,16,FALSE)&gt;=VLOOKUP($A59,informe!$A:$J,9,FALSE),"cg","c"),"n")</f>
        <v>n</v>
      </c>
      <c r="AJ59" s="195" t="str">
        <f>IF(AND(AJ$3&gt;=$D59,AJ$3&lt;=$E59),IF((AJ$3-$D59+1)*VLOOKUP($A59,presupuesto!$B:$Q,16,FALSE)&gt;=VLOOKUP($A59,informe!$A:$J,9,FALSE),"cg","c"),"n")</f>
        <v>n</v>
      </c>
      <c r="AK59" s="196" t="str">
        <f>IF(AND(AK$3&gt;=$D59,AK$3&lt;=$E59),IF((AK$3-$D59+1)*VLOOKUP($A59,presupuesto!$B:$Q,16,FALSE)&gt;=VLOOKUP($A59,informe!$A:$J,9,FALSE),"cg","c"),"n")</f>
        <v>n</v>
      </c>
    </row>
    <row r="60" spans="1:37" s="1" customFormat="1" ht="15" customHeight="1" x14ac:dyDescent="0.3">
      <c r="A60" s="197" t="str">
        <f>presupuesto!B59</f>
        <v>C.2.-</v>
      </c>
      <c r="B60" s="181" t="str">
        <f>presupuesto!C59</f>
        <v xml:space="preserve">         Suministro, transporte, transporte interno, colocación y prueba de Tuberías Conduit</v>
      </c>
      <c r="C60" s="174" t="str">
        <f>presupuesto!G59</f>
        <v>15 días</v>
      </c>
      <c r="D60" s="177">
        <f>presupuesto!N59</f>
        <v>45765</v>
      </c>
      <c r="E60" s="177">
        <f>presupuesto!O59</f>
        <v>45779</v>
      </c>
      <c r="F60" s="194" t="str">
        <f>IF(AK60="n",CONCATENATE(" - "),IF(AK60="cg",CONCATENATE(" - "),CONCATENATE(ROUND(IFERROR(VLOOKUP(A60,informe!A:J,9,FALSE)/VLOOKUP(A60,informe!A:J,5,FALSE),0)*100,2),"% ")))</f>
        <v xml:space="preserve"> - </v>
      </c>
      <c r="G60" s="195" t="str">
        <f>IF(AND(G$3&gt;=$D60,G$3&lt;=$E60),IF((G$3-$D60+1)*VLOOKUP($A60,presupuesto!$B:$Q,16,FALSE)&gt;=VLOOKUP($A60,informe!$A:$J,9,FALSE),"cg","c"),"n")</f>
        <v>n</v>
      </c>
      <c r="H60" s="195" t="str">
        <f>IF(AND(H$3&gt;=$D60,H$3&lt;=$E60),IF((H$3-$D60+1)*VLOOKUP($A60,presupuesto!$B:$Q,16,FALSE)&gt;=VLOOKUP($A60,informe!$A:$J,9,FALSE),"cg","c"),"n")</f>
        <v>n</v>
      </c>
      <c r="I60" s="195" t="str">
        <f>IF(AND(I$3&gt;=$D60,I$3&lt;=$E60),IF((I$3-$D60+1)*VLOOKUP($A60,presupuesto!$B:$Q,16,FALSE)&gt;=VLOOKUP($A60,informe!$A:$J,9,FALSE),"cg","c"),"n")</f>
        <v>n</v>
      </c>
      <c r="J60" s="195" t="str">
        <f>IF(AND(J$3&gt;=$D60,J$3&lt;=$E60),IF((J$3-$D60+1)*VLOOKUP($A60,presupuesto!$B:$Q,16,FALSE)&gt;=VLOOKUP($A60,informe!$A:$J,9,FALSE),"cg","c"),"n")</f>
        <v>n</v>
      </c>
      <c r="K60" s="195" t="str">
        <f>IF(AND(K$3&gt;=$D60,K$3&lt;=$E60),IF((K$3-$D60+1)*VLOOKUP($A60,presupuesto!$B:$Q,16,FALSE)&gt;=VLOOKUP($A60,informe!$A:$J,9,FALSE),"cg","c"),"n")</f>
        <v>n</v>
      </c>
      <c r="L60" s="195" t="str">
        <f>IF(AND(L$3&gt;=$D60,L$3&lt;=$E60),IF((L$3-$D60+1)*VLOOKUP($A60,presupuesto!$B:$Q,16,FALSE)&gt;=VLOOKUP($A60,informe!$A:$J,9,FALSE),"cg","c"),"n")</f>
        <v>n</v>
      </c>
      <c r="M60" s="195" t="str">
        <f>IF(AND(M$3&gt;=$D60,M$3&lt;=$E60),IF((M$3-$D60+1)*VLOOKUP($A60,presupuesto!$B:$Q,16,FALSE)&gt;=VLOOKUP($A60,informe!$A:$J,9,FALSE),"cg","c"),"n")</f>
        <v>n</v>
      </c>
      <c r="N60" s="195" t="str">
        <f>IF(AND(N$3&gt;=$D60,N$3&lt;=$E60),IF((N$3-$D60+1)*VLOOKUP($A60,presupuesto!$B:$Q,16,FALSE)&gt;=VLOOKUP($A60,informe!$A:$J,9,FALSE),"cg","c"),"n")</f>
        <v>n</v>
      </c>
      <c r="O60" s="195" t="str">
        <f>IF(AND(O$3&gt;=$D60,O$3&lt;=$E60),IF((O$3-$D60+1)*VLOOKUP($A60,presupuesto!$B:$Q,16,FALSE)&gt;=VLOOKUP($A60,informe!$A:$J,9,FALSE),"cg","c"),"n")</f>
        <v>n</v>
      </c>
      <c r="P60" s="195" t="str">
        <f>IF(AND(P$3&gt;=$D60,P$3&lt;=$E60),IF((P$3-$D60+1)*VLOOKUP($A60,presupuesto!$B:$Q,16,FALSE)&gt;=VLOOKUP($A60,informe!$A:$J,9,FALSE),"cg","c"),"n")</f>
        <v>n</v>
      </c>
      <c r="Q60" s="195" t="str">
        <f>IF(AND(Q$3&gt;=$D60,Q$3&lt;=$E60),IF((Q$3-$D60+1)*VLOOKUP($A60,presupuesto!$B:$Q,16,FALSE)&gt;=VLOOKUP($A60,informe!$A:$J,9,FALSE),"cg","c"),"n")</f>
        <v>n</v>
      </c>
      <c r="R60" s="195" t="str">
        <f>IF(AND(R$3&gt;=$D60,R$3&lt;=$E60),IF((R$3-$D60+1)*VLOOKUP($A60,presupuesto!$B:$Q,16,FALSE)&gt;=VLOOKUP($A60,informe!$A:$J,9,FALSE),"cg","c"),"n")</f>
        <v>n</v>
      </c>
      <c r="S60" s="195" t="str">
        <f>IF(AND(S$3&gt;=$D60,S$3&lt;=$E60),IF((S$3-$D60+1)*VLOOKUP($A60,presupuesto!$B:$Q,16,FALSE)&gt;=VLOOKUP($A60,informe!$A:$J,9,FALSE),"cg","c"),"n")</f>
        <v>n</v>
      </c>
      <c r="T60" s="195" t="str">
        <f>IF(AND(T$3&gt;=$D60,T$3&lt;=$E60),IF((T$3-$D60+1)*VLOOKUP($A60,presupuesto!$B:$Q,16,FALSE)&gt;=VLOOKUP($A60,informe!$A:$J,9,FALSE),"cg","c"),"n")</f>
        <v>n</v>
      </c>
      <c r="U60" s="195" t="str">
        <f>IF(AND(U$3&gt;=$D60,U$3&lt;=$E60),IF((U$3-$D60+1)*VLOOKUP($A60,presupuesto!$B:$Q,16,FALSE)&gt;=VLOOKUP($A60,informe!$A:$J,9,FALSE),"cg","c"),"n")</f>
        <v>n</v>
      </c>
      <c r="V60" s="195" t="str">
        <f>IF(AND(V$3&gt;=$D60,V$3&lt;=$E60),IF((V$3-$D60+1)*VLOOKUP($A60,presupuesto!$B:$Q,16,FALSE)&gt;=VLOOKUP($A60,informe!$A:$J,9,FALSE),"cg","c"),"n")</f>
        <v>n</v>
      </c>
      <c r="W60" s="195" t="str">
        <f>IF(AND(W$3&gt;=$D60,W$3&lt;=$E60),IF((W$3-$D60+1)*VLOOKUP($A60,presupuesto!$B:$Q,16,FALSE)&gt;=VLOOKUP($A60,informe!$A:$J,9,FALSE),"cg","c"),"n")</f>
        <v>n</v>
      </c>
      <c r="X60" s="195" t="str">
        <f>IF(AND(X$3&gt;=$D60,X$3&lt;=$E60),IF((X$3-$D60+1)*VLOOKUP($A60,presupuesto!$B:$Q,16,FALSE)&gt;=VLOOKUP($A60,informe!$A:$J,9,FALSE),"cg","c"),"n")</f>
        <v>n</v>
      </c>
      <c r="Y60" s="195" t="str">
        <f>IF(AND(Y$3&gt;=$D60,Y$3&lt;=$E60),IF((Y$3-$D60+1)*VLOOKUP($A60,presupuesto!$B:$Q,16,FALSE)&gt;=VLOOKUP($A60,informe!$A:$J,9,FALSE),"cg","c"),"n")</f>
        <v>n</v>
      </c>
      <c r="Z60" s="195" t="str">
        <f>IF(AND(Z$3&gt;=$D60,Z$3&lt;=$E60),IF((Z$3-$D60+1)*VLOOKUP($A60,presupuesto!$B:$Q,16,FALSE)&gt;=VLOOKUP($A60,informe!$A:$J,9,FALSE),"cg","c"),"n")</f>
        <v>n</v>
      </c>
      <c r="AA60" s="195" t="str">
        <f>IF(AND(AA$3&gt;=$D60,AA$3&lt;=$E60),IF((AA$3-$D60+1)*VLOOKUP($A60,presupuesto!$B:$Q,16,FALSE)&gt;=VLOOKUP($A60,informe!$A:$J,9,FALSE),"cg","c"),"n")</f>
        <v>n</v>
      </c>
      <c r="AB60" s="195" t="str">
        <f>IF(AND(AB$3&gt;=$D60,AB$3&lt;=$E60),IF((AB$3-$D60+1)*VLOOKUP($A60,presupuesto!$B:$Q,16,FALSE)&gt;=VLOOKUP($A60,informe!$A:$J,9,FALSE),"cg","c"),"n")</f>
        <v>n</v>
      </c>
      <c r="AC60" s="195" t="str">
        <f>IF(AND(AC$3&gt;=$D60,AC$3&lt;=$E60),IF((AC$3-$D60+1)*VLOOKUP($A60,presupuesto!$B:$Q,16,FALSE)&gt;=VLOOKUP($A60,informe!$A:$J,9,FALSE),"cg","c"),"n")</f>
        <v>n</v>
      </c>
      <c r="AD60" s="195" t="str">
        <f>IF(AND(AD$3&gt;=$D60,AD$3&lt;=$E60),IF((AD$3-$D60+1)*VLOOKUP($A60,presupuesto!$B:$Q,16,FALSE)&gt;=VLOOKUP($A60,informe!$A:$J,9,FALSE),"cg","c"),"n")</f>
        <v>n</v>
      </c>
      <c r="AE60" s="195" t="str">
        <f>IF(AND(AE$3&gt;=$D60,AE$3&lt;=$E60),IF((AE$3-$D60+1)*VLOOKUP($A60,presupuesto!$B:$Q,16,FALSE)&gt;=VLOOKUP($A60,informe!$A:$J,9,FALSE),"cg","c"),"n")</f>
        <v>n</v>
      </c>
      <c r="AF60" s="195" t="str">
        <f>IF(AND(AF$3&gt;=$D60,AF$3&lt;=$E60),IF((AF$3-$D60+1)*VLOOKUP($A60,presupuesto!$B:$Q,16,FALSE)&gt;=VLOOKUP($A60,informe!$A:$J,9,FALSE),"cg","c"),"n")</f>
        <v>n</v>
      </c>
      <c r="AG60" s="195" t="str">
        <f>IF(AND(AG$3&gt;=$D60,AG$3&lt;=$E60),IF((AG$3-$D60+1)*VLOOKUP($A60,presupuesto!$B:$Q,16,FALSE)&gt;=VLOOKUP($A60,informe!$A:$J,9,FALSE),"cg","c"),"n")</f>
        <v>n</v>
      </c>
      <c r="AH60" s="195" t="str">
        <f>IF(AND(AH$3&gt;=$D60,AH$3&lt;=$E60),IF((AH$3-$D60+1)*VLOOKUP($A60,presupuesto!$B:$Q,16,FALSE)&gt;=VLOOKUP($A60,informe!$A:$J,9,FALSE),"cg","c"),"n")</f>
        <v>n</v>
      </c>
      <c r="AI60" s="195" t="str">
        <f>IF(AND(AI$3&gt;=$D60,AI$3&lt;=$E60),IF((AI$3-$D60+1)*VLOOKUP($A60,presupuesto!$B:$Q,16,FALSE)&gt;=VLOOKUP($A60,informe!$A:$J,9,FALSE),"cg","c"),"n")</f>
        <v>n</v>
      </c>
      <c r="AJ60" s="195" t="str">
        <f>IF(AND(AJ$3&gt;=$D60,AJ$3&lt;=$E60),IF((AJ$3-$D60+1)*VLOOKUP($A60,presupuesto!$B:$Q,16,FALSE)&gt;=VLOOKUP($A60,informe!$A:$J,9,FALSE),"cg","c"),"n")</f>
        <v>n</v>
      </c>
      <c r="AK60" s="196" t="str">
        <f>IF(AND(AK$3&gt;=$D60,AK$3&lt;=$E60),IF((AK$3-$D60+1)*VLOOKUP($A60,presupuesto!$B:$Q,16,FALSE)&gt;=VLOOKUP($A60,informe!$A:$J,9,FALSE),"cg","c"),"n")</f>
        <v>n</v>
      </c>
    </row>
    <row r="61" spans="1:37" s="1" customFormat="1" ht="15" customHeight="1" x14ac:dyDescent="0.25">
      <c r="A61" s="197">
        <f>presupuesto!B60</f>
        <v>34</v>
      </c>
      <c r="B61" s="182" t="str">
        <f>presupuesto!C60</f>
        <v xml:space="preserve">            Suministro, Transporte y Transporte Interno, colocación y prueba de tuberías Conduit 3/4"</v>
      </c>
      <c r="C61" s="174" t="str">
        <f>presupuesto!G60</f>
        <v>15 días</v>
      </c>
      <c r="D61" s="177">
        <f>presupuesto!N60</f>
        <v>45765</v>
      </c>
      <c r="E61" s="177">
        <f>presupuesto!O60</f>
        <v>45779</v>
      </c>
      <c r="F61" s="194" t="str">
        <f>IF(AK61="n",CONCATENATE(" - "),IF(AK61="cg",CONCATENATE(" - "),CONCATENATE(ROUND(IFERROR(VLOOKUP(A61,informe!A:J,9,FALSE)/VLOOKUP(A61,informe!A:J,5,FALSE),0)*100,2),"% ")))</f>
        <v xml:space="preserve"> - </v>
      </c>
      <c r="G61" s="195" t="str">
        <f>IF(AND(G$3&gt;=$D61,G$3&lt;=$E61),IF((G$3-$D61+1)*VLOOKUP($A61,presupuesto!$B:$Q,16,FALSE)&gt;=VLOOKUP($A61,informe!$A:$J,9,FALSE),"cg","c"),"n")</f>
        <v>n</v>
      </c>
      <c r="H61" s="195" t="str">
        <f>IF(AND(H$3&gt;=$D61,H$3&lt;=$E61),IF((H$3-$D61+1)*VLOOKUP($A61,presupuesto!$B:$Q,16,FALSE)&gt;=VLOOKUP($A61,informe!$A:$J,9,FALSE),"cg","c"),"n")</f>
        <v>n</v>
      </c>
      <c r="I61" s="195" t="str">
        <f>IF(AND(I$3&gt;=$D61,I$3&lt;=$E61),IF((I$3-$D61+1)*VLOOKUP($A61,presupuesto!$B:$Q,16,FALSE)&gt;=VLOOKUP($A61,informe!$A:$J,9,FALSE),"cg","c"),"n")</f>
        <v>n</v>
      </c>
      <c r="J61" s="195" t="str">
        <f>IF(AND(J$3&gt;=$D61,J$3&lt;=$E61),IF((J$3-$D61+1)*VLOOKUP($A61,presupuesto!$B:$Q,16,FALSE)&gt;=VLOOKUP($A61,informe!$A:$J,9,FALSE),"cg","c"),"n")</f>
        <v>n</v>
      </c>
      <c r="K61" s="195" t="str">
        <f>IF(AND(K$3&gt;=$D61,K$3&lt;=$E61),IF((K$3-$D61+1)*VLOOKUP($A61,presupuesto!$B:$Q,16,FALSE)&gt;=VLOOKUP($A61,informe!$A:$J,9,FALSE),"cg","c"),"n")</f>
        <v>n</v>
      </c>
      <c r="L61" s="195" t="str">
        <f>IF(AND(L$3&gt;=$D61,L$3&lt;=$E61),IF((L$3-$D61+1)*VLOOKUP($A61,presupuesto!$B:$Q,16,FALSE)&gt;=VLOOKUP($A61,informe!$A:$J,9,FALSE),"cg","c"),"n")</f>
        <v>n</v>
      </c>
      <c r="M61" s="195" t="str">
        <f>IF(AND(M$3&gt;=$D61,M$3&lt;=$E61),IF((M$3-$D61+1)*VLOOKUP($A61,presupuesto!$B:$Q,16,FALSE)&gt;=VLOOKUP($A61,informe!$A:$J,9,FALSE),"cg","c"),"n")</f>
        <v>n</v>
      </c>
      <c r="N61" s="195" t="str">
        <f>IF(AND(N$3&gt;=$D61,N$3&lt;=$E61),IF((N$3-$D61+1)*VLOOKUP($A61,presupuesto!$B:$Q,16,FALSE)&gt;=VLOOKUP($A61,informe!$A:$J,9,FALSE),"cg","c"),"n")</f>
        <v>n</v>
      </c>
      <c r="O61" s="195" t="str">
        <f>IF(AND(O$3&gt;=$D61,O$3&lt;=$E61),IF((O$3-$D61+1)*VLOOKUP($A61,presupuesto!$B:$Q,16,FALSE)&gt;=VLOOKUP($A61,informe!$A:$J,9,FALSE),"cg","c"),"n")</f>
        <v>n</v>
      </c>
      <c r="P61" s="195" t="str">
        <f>IF(AND(P$3&gt;=$D61,P$3&lt;=$E61),IF((P$3-$D61+1)*VLOOKUP($A61,presupuesto!$B:$Q,16,FALSE)&gt;=VLOOKUP($A61,informe!$A:$J,9,FALSE),"cg","c"),"n")</f>
        <v>n</v>
      </c>
      <c r="Q61" s="195" t="str">
        <f>IF(AND(Q$3&gt;=$D61,Q$3&lt;=$E61),IF((Q$3-$D61+1)*VLOOKUP($A61,presupuesto!$B:$Q,16,FALSE)&gt;=VLOOKUP($A61,informe!$A:$J,9,FALSE),"cg","c"),"n")</f>
        <v>n</v>
      </c>
      <c r="R61" s="195" t="str">
        <f>IF(AND(R$3&gt;=$D61,R$3&lt;=$E61),IF((R$3-$D61+1)*VLOOKUP($A61,presupuesto!$B:$Q,16,FALSE)&gt;=VLOOKUP($A61,informe!$A:$J,9,FALSE),"cg","c"),"n")</f>
        <v>n</v>
      </c>
      <c r="S61" s="195" t="str">
        <f>IF(AND(S$3&gt;=$D61,S$3&lt;=$E61),IF((S$3-$D61+1)*VLOOKUP($A61,presupuesto!$B:$Q,16,FALSE)&gt;=VLOOKUP($A61,informe!$A:$J,9,FALSE),"cg","c"),"n")</f>
        <v>n</v>
      </c>
      <c r="T61" s="195" t="str">
        <f>IF(AND(T$3&gt;=$D61,T$3&lt;=$E61),IF((T$3-$D61+1)*VLOOKUP($A61,presupuesto!$B:$Q,16,FALSE)&gt;=VLOOKUP($A61,informe!$A:$J,9,FALSE),"cg","c"),"n")</f>
        <v>n</v>
      </c>
      <c r="U61" s="195" t="str">
        <f>IF(AND(U$3&gt;=$D61,U$3&lt;=$E61),IF((U$3-$D61+1)*VLOOKUP($A61,presupuesto!$B:$Q,16,FALSE)&gt;=VLOOKUP($A61,informe!$A:$J,9,FALSE),"cg","c"),"n")</f>
        <v>n</v>
      </c>
      <c r="V61" s="195" t="str">
        <f>IF(AND(V$3&gt;=$D61,V$3&lt;=$E61),IF((V$3-$D61+1)*VLOOKUP($A61,presupuesto!$B:$Q,16,FALSE)&gt;=VLOOKUP($A61,informe!$A:$J,9,FALSE),"cg","c"),"n")</f>
        <v>n</v>
      </c>
      <c r="W61" s="195" t="str">
        <f>IF(AND(W$3&gt;=$D61,W$3&lt;=$E61),IF((W$3-$D61+1)*VLOOKUP($A61,presupuesto!$B:$Q,16,FALSE)&gt;=VLOOKUP($A61,informe!$A:$J,9,FALSE),"cg","c"),"n")</f>
        <v>n</v>
      </c>
      <c r="X61" s="195" t="str">
        <f>IF(AND(X$3&gt;=$D61,X$3&lt;=$E61),IF((X$3-$D61+1)*VLOOKUP($A61,presupuesto!$B:$Q,16,FALSE)&gt;=VLOOKUP($A61,informe!$A:$J,9,FALSE),"cg","c"),"n")</f>
        <v>n</v>
      </c>
      <c r="Y61" s="195" t="str">
        <f>IF(AND(Y$3&gt;=$D61,Y$3&lt;=$E61),IF((Y$3-$D61+1)*VLOOKUP($A61,presupuesto!$B:$Q,16,FALSE)&gt;=VLOOKUP($A61,informe!$A:$J,9,FALSE),"cg","c"),"n")</f>
        <v>n</v>
      </c>
      <c r="Z61" s="195" t="str">
        <f>IF(AND(Z$3&gt;=$D61,Z$3&lt;=$E61),IF((Z$3-$D61+1)*VLOOKUP($A61,presupuesto!$B:$Q,16,FALSE)&gt;=VLOOKUP($A61,informe!$A:$J,9,FALSE),"cg","c"),"n")</f>
        <v>n</v>
      </c>
      <c r="AA61" s="195" t="str">
        <f>IF(AND(AA$3&gt;=$D61,AA$3&lt;=$E61),IF((AA$3-$D61+1)*VLOOKUP($A61,presupuesto!$B:$Q,16,FALSE)&gt;=VLOOKUP($A61,informe!$A:$J,9,FALSE),"cg","c"),"n")</f>
        <v>n</v>
      </c>
      <c r="AB61" s="195" t="str">
        <f>IF(AND(AB$3&gt;=$D61,AB$3&lt;=$E61),IF((AB$3-$D61+1)*VLOOKUP($A61,presupuesto!$B:$Q,16,FALSE)&gt;=VLOOKUP($A61,informe!$A:$J,9,FALSE),"cg","c"),"n")</f>
        <v>n</v>
      </c>
      <c r="AC61" s="195" t="str">
        <f>IF(AND(AC$3&gt;=$D61,AC$3&lt;=$E61),IF((AC$3-$D61+1)*VLOOKUP($A61,presupuesto!$B:$Q,16,FALSE)&gt;=VLOOKUP($A61,informe!$A:$J,9,FALSE),"cg","c"),"n")</f>
        <v>n</v>
      </c>
      <c r="AD61" s="195" t="str">
        <f>IF(AND(AD$3&gt;=$D61,AD$3&lt;=$E61),IF((AD$3-$D61+1)*VLOOKUP($A61,presupuesto!$B:$Q,16,FALSE)&gt;=VLOOKUP($A61,informe!$A:$J,9,FALSE),"cg","c"),"n")</f>
        <v>n</v>
      </c>
      <c r="AE61" s="195" t="str">
        <f>IF(AND(AE$3&gt;=$D61,AE$3&lt;=$E61),IF((AE$3-$D61+1)*VLOOKUP($A61,presupuesto!$B:$Q,16,FALSE)&gt;=VLOOKUP($A61,informe!$A:$J,9,FALSE),"cg","c"),"n")</f>
        <v>n</v>
      </c>
      <c r="AF61" s="195" t="str">
        <f>IF(AND(AF$3&gt;=$D61,AF$3&lt;=$E61),IF((AF$3-$D61+1)*VLOOKUP($A61,presupuesto!$B:$Q,16,FALSE)&gt;=VLOOKUP($A61,informe!$A:$J,9,FALSE),"cg","c"),"n")</f>
        <v>n</v>
      </c>
      <c r="AG61" s="195" t="str">
        <f>IF(AND(AG$3&gt;=$D61,AG$3&lt;=$E61),IF((AG$3-$D61+1)*VLOOKUP($A61,presupuesto!$B:$Q,16,FALSE)&gt;=VLOOKUP($A61,informe!$A:$J,9,FALSE),"cg","c"),"n")</f>
        <v>n</v>
      </c>
      <c r="AH61" s="195" t="str">
        <f>IF(AND(AH$3&gt;=$D61,AH$3&lt;=$E61),IF((AH$3-$D61+1)*VLOOKUP($A61,presupuesto!$B:$Q,16,FALSE)&gt;=VLOOKUP($A61,informe!$A:$J,9,FALSE),"cg","c"),"n")</f>
        <v>n</v>
      </c>
      <c r="AI61" s="195" t="str">
        <f>IF(AND(AI$3&gt;=$D61,AI$3&lt;=$E61),IF((AI$3-$D61+1)*VLOOKUP($A61,presupuesto!$B:$Q,16,FALSE)&gt;=VLOOKUP($A61,informe!$A:$J,9,FALSE),"cg","c"),"n")</f>
        <v>n</v>
      </c>
      <c r="AJ61" s="195" t="str">
        <f>IF(AND(AJ$3&gt;=$D61,AJ$3&lt;=$E61),IF((AJ$3-$D61+1)*VLOOKUP($A61,presupuesto!$B:$Q,16,FALSE)&gt;=VLOOKUP($A61,informe!$A:$J,9,FALSE),"cg","c"),"n")</f>
        <v>n</v>
      </c>
      <c r="AK61" s="196" t="str">
        <f>IF(AND(AK$3&gt;=$D61,AK$3&lt;=$E61),IF((AK$3-$D61+1)*VLOOKUP($A61,presupuesto!$B:$Q,16,FALSE)&gt;=VLOOKUP($A61,informe!$A:$J,9,FALSE),"cg","c"),"n")</f>
        <v>n</v>
      </c>
    </row>
    <row r="62" spans="1:37" s="1" customFormat="1" ht="15" customHeight="1" x14ac:dyDescent="0.3">
      <c r="A62" s="193" t="str">
        <f>presupuesto!B61</f>
        <v>C.3.-</v>
      </c>
      <c r="B62" s="181" t="str">
        <f>presupuesto!C61</f>
        <v xml:space="preserve">         Suministro, transporte, transporte interno, colocación y prueba de Tuberías de pvc</v>
      </c>
      <c r="C62" s="173" t="str">
        <f>presupuesto!G61</f>
        <v>15 días</v>
      </c>
      <c r="D62" s="176">
        <f>presupuesto!N61</f>
        <v>45780</v>
      </c>
      <c r="E62" s="176">
        <f>presupuesto!O61</f>
        <v>45794</v>
      </c>
      <c r="F62" s="194" t="str">
        <f>IF(AK62="n",CONCATENATE(" - "),IF(AK62="cg",CONCATENATE(" - "),CONCATENATE(ROUND(IFERROR(VLOOKUP(A62,informe!A:J,9,FALSE)/VLOOKUP(A62,informe!A:J,5,FALSE),0)*100,2),"% ")))</f>
        <v xml:space="preserve"> - </v>
      </c>
      <c r="G62" s="195" t="str">
        <f>IF(AND(G$3&gt;=$D62,G$3&lt;=$E62),IF((G$3-$D62+1)*VLOOKUP($A62,presupuesto!$B:$Q,16,FALSE)&gt;=VLOOKUP($A62,informe!$A:$J,9,FALSE),"cg","c"),"n")</f>
        <v>n</v>
      </c>
      <c r="H62" s="195" t="str">
        <f>IF(AND(H$3&gt;=$D62,H$3&lt;=$E62),IF((H$3-$D62+1)*VLOOKUP($A62,presupuesto!$B:$Q,16,FALSE)&gt;=VLOOKUP($A62,informe!$A:$J,9,FALSE),"cg","c"),"n")</f>
        <v>n</v>
      </c>
      <c r="I62" s="195" t="str">
        <f>IF(AND(I$3&gt;=$D62,I$3&lt;=$E62),IF((I$3-$D62+1)*VLOOKUP($A62,presupuesto!$B:$Q,16,FALSE)&gt;=VLOOKUP($A62,informe!$A:$J,9,FALSE),"cg","c"),"n")</f>
        <v>n</v>
      </c>
      <c r="J62" s="195" t="str">
        <f>IF(AND(J$3&gt;=$D62,J$3&lt;=$E62),IF((J$3-$D62+1)*VLOOKUP($A62,presupuesto!$B:$Q,16,FALSE)&gt;=VLOOKUP($A62,informe!$A:$J,9,FALSE),"cg","c"),"n")</f>
        <v>n</v>
      </c>
      <c r="K62" s="195" t="str">
        <f>IF(AND(K$3&gt;=$D62,K$3&lt;=$E62),IF((K$3-$D62+1)*VLOOKUP($A62,presupuesto!$B:$Q,16,FALSE)&gt;=VLOOKUP($A62,informe!$A:$J,9,FALSE),"cg","c"),"n")</f>
        <v>n</v>
      </c>
      <c r="L62" s="195" t="str">
        <f>IF(AND(L$3&gt;=$D62,L$3&lt;=$E62),IF((L$3-$D62+1)*VLOOKUP($A62,presupuesto!$B:$Q,16,FALSE)&gt;=VLOOKUP($A62,informe!$A:$J,9,FALSE),"cg","c"),"n")</f>
        <v>n</v>
      </c>
      <c r="M62" s="195" t="str">
        <f>IF(AND(M$3&gt;=$D62,M$3&lt;=$E62),IF((M$3-$D62+1)*VLOOKUP($A62,presupuesto!$B:$Q,16,FALSE)&gt;=VLOOKUP($A62,informe!$A:$J,9,FALSE),"cg","c"),"n")</f>
        <v>n</v>
      </c>
      <c r="N62" s="195" t="str">
        <f>IF(AND(N$3&gt;=$D62,N$3&lt;=$E62),IF((N$3-$D62+1)*VLOOKUP($A62,presupuesto!$B:$Q,16,FALSE)&gt;=VLOOKUP($A62,informe!$A:$J,9,FALSE),"cg","c"),"n")</f>
        <v>n</v>
      </c>
      <c r="O62" s="195" t="str">
        <f>IF(AND(O$3&gt;=$D62,O$3&lt;=$E62),IF((O$3-$D62+1)*VLOOKUP($A62,presupuesto!$B:$Q,16,FALSE)&gt;=VLOOKUP($A62,informe!$A:$J,9,FALSE),"cg","c"),"n")</f>
        <v>n</v>
      </c>
      <c r="P62" s="195" t="str">
        <f>IF(AND(P$3&gt;=$D62,P$3&lt;=$E62),IF((P$3-$D62+1)*VLOOKUP($A62,presupuesto!$B:$Q,16,FALSE)&gt;=VLOOKUP($A62,informe!$A:$J,9,FALSE),"cg","c"),"n")</f>
        <v>n</v>
      </c>
      <c r="Q62" s="195" t="str">
        <f>IF(AND(Q$3&gt;=$D62,Q$3&lt;=$E62),IF((Q$3-$D62+1)*VLOOKUP($A62,presupuesto!$B:$Q,16,FALSE)&gt;=VLOOKUP($A62,informe!$A:$J,9,FALSE),"cg","c"),"n")</f>
        <v>n</v>
      </c>
      <c r="R62" s="195" t="str">
        <f>IF(AND(R$3&gt;=$D62,R$3&lt;=$E62),IF((R$3-$D62+1)*VLOOKUP($A62,presupuesto!$B:$Q,16,FALSE)&gt;=VLOOKUP($A62,informe!$A:$J,9,FALSE),"cg","c"),"n")</f>
        <v>n</v>
      </c>
      <c r="S62" s="195" t="str">
        <f>IF(AND(S$3&gt;=$D62,S$3&lt;=$E62),IF((S$3-$D62+1)*VLOOKUP($A62,presupuesto!$B:$Q,16,FALSE)&gt;=VLOOKUP($A62,informe!$A:$J,9,FALSE),"cg","c"),"n")</f>
        <v>n</v>
      </c>
      <c r="T62" s="195" t="str">
        <f>IF(AND(T$3&gt;=$D62,T$3&lt;=$E62),IF((T$3-$D62+1)*VLOOKUP($A62,presupuesto!$B:$Q,16,FALSE)&gt;=VLOOKUP($A62,informe!$A:$J,9,FALSE),"cg","c"),"n")</f>
        <v>n</v>
      </c>
      <c r="U62" s="195" t="str">
        <f>IF(AND(U$3&gt;=$D62,U$3&lt;=$E62),IF((U$3-$D62+1)*VLOOKUP($A62,presupuesto!$B:$Q,16,FALSE)&gt;=VLOOKUP($A62,informe!$A:$J,9,FALSE),"cg","c"),"n")</f>
        <v>n</v>
      </c>
      <c r="V62" s="195" t="str">
        <f>IF(AND(V$3&gt;=$D62,V$3&lt;=$E62),IF((V$3-$D62+1)*VLOOKUP($A62,presupuesto!$B:$Q,16,FALSE)&gt;=VLOOKUP($A62,informe!$A:$J,9,FALSE),"cg","c"),"n")</f>
        <v>n</v>
      </c>
      <c r="W62" s="195" t="str">
        <f>IF(AND(W$3&gt;=$D62,W$3&lt;=$E62),IF((W$3-$D62+1)*VLOOKUP($A62,presupuesto!$B:$Q,16,FALSE)&gt;=VLOOKUP($A62,informe!$A:$J,9,FALSE),"cg","c"),"n")</f>
        <v>n</v>
      </c>
      <c r="X62" s="195" t="str">
        <f>IF(AND(X$3&gt;=$D62,X$3&lt;=$E62),IF((X$3-$D62+1)*VLOOKUP($A62,presupuesto!$B:$Q,16,FALSE)&gt;=VLOOKUP($A62,informe!$A:$J,9,FALSE),"cg","c"),"n")</f>
        <v>n</v>
      </c>
      <c r="Y62" s="195" t="str">
        <f>IF(AND(Y$3&gt;=$D62,Y$3&lt;=$E62),IF((Y$3-$D62+1)*VLOOKUP($A62,presupuesto!$B:$Q,16,FALSE)&gt;=VLOOKUP($A62,informe!$A:$J,9,FALSE),"cg","c"),"n")</f>
        <v>n</v>
      </c>
      <c r="Z62" s="195" t="str">
        <f>IF(AND(Z$3&gt;=$D62,Z$3&lt;=$E62),IF((Z$3-$D62+1)*VLOOKUP($A62,presupuesto!$B:$Q,16,FALSE)&gt;=VLOOKUP($A62,informe!$A:$J,9,FALSE),"cg","c"),"n")</f>
        <v>n</v>
      </c>
      <c r="AA62" s="195" t="str">
        <f>IF(AND(AA$3&gt;=$D62,AA$3&lt;=$E62),IF((AA$3-$D62+1)*VLOOKUP($A62,presupuesto!$B:$Q,16,FALSE)&gt;=VLOOKUP($A62,informe!$A:$J,9,FALSE),"cg","c"),"n")</f>
        <v>n</v>
      </c>
      <c r="AB62" s="195" t="str">
        <f>IF(AND(AB$3&gt;=$D62,AB$3&lt;=$E62),IF((AB$3-$D62+1)*VLOOKUP($A62,presupuesto!$B:$Q,16,FALSE)&gt;=VLOOKUP($A62,informe!$A:$J,9,FALSE),"cg","c"),"n")</f>
        <v>n</v>
      </c>
      <c r="AC62" s="195" t="str">
        <f>IF(AND(AC$3&gt;=$D62,AC$3&lt;=$E62),IF((AC$3-$D62+1)*VLOOKUP($A62,presupuesto!$B:$Q,16,FALSE)&gt;=VLOOKUP($A62,informe!$A:$J,9,FALSE),"cg","c"),"n")</f>
        <v>n</v>
      </c>
      <c r="AD62" s="195" t="str">
        <f>IF(AND(AD$3&gt;=$D62,AD$3&lt;=$E62),IF((AD$3-$D62+1)*VLOOKUP($A62,presupuesto!$B:$Q,16,FALSE)&gt;=VLOOKUP($A62,informe!$A:$J,9,FALSE),"cg","c"),"n")</f>
        <v>n</v>
      </c>
      <c r="AE62" s="195" t="str">
        <f>IF(AND(AE$3&gt;=$D62,AE$3&lt;=$E62),IF((AE$3-$D62+1)*VLOOKUP($A62,presupuesto!$B:$Q,16,FALSE)&gt;=VLOOKUP($A62,informe!$A:$J,9,FALSE),"cg","c"),"n")</f>
        <v>n</v>
      </c>
      <c r="AF62" s="195" t="str">
        <f>IF(AND(AF$3&gt;=$D62,AF$3&lt;=$E62),IF((AF$3-$D62+1)*VLOOKUP($A62,presupuesto!$B:$Q,16,FALSE)&gt;=VLOOKUP($A62,informe!$A:$J,9,FALSE),"cg","c"),"n")</f>
        <v>n</v>
      </c>
      <c r="AG62" s="195" t="str">
        <f>IF(AND(AG$3&gt;=$D62,AG$3&lt;=$E62),IF((AG$3-$D62+1)*VLOOKUP($A62,presupuesto!$B:$Q,16,FALSE)&gt;=VLOOKUP($A62,informe!$A:$J,9,FALSE),"cg","c"),"n")</f>
        <v>n</v>
      </c>
      <c r="AH62" s="195" t="str">
        <f>IF(AND(AH$3&gt;=$D62,AH$3&lt;=$E62),IF((AH$3-$D62+1)*VLOOKUP($A62,presupuesto!$B:$Q,16,FALSE)&gt;=VLOOKUP($A62,informe!$A:$J,9,FALSE),"cg","c"),"n")</f>
        <v>n</v>
      </c>
      <c r="AI62" s="195" t="str">
        <f>IF(AND(AI$3&gt;=$D62,AI$3&lt;=$E62),IF((AI$3-$D62+1)*VLOOKUP($A62,presupuesto!$B:$Q,16,FALSE)&gt;=VLOOKUP($A62,informe!$A:$J,9,FALSE),"cg","c"),"n")</f>
        <v>n</v>
      </c>
      <c r="AJ62" s="195" t="str">
        <f>IF(AND(AJ$3&gt;=$D62,AJ$3&lt;=$E62),IF((AJ$3-$D62+1)*VLOOKUP($A62,presupuesto!$B:$Q,16,FALSE)&gt;=VLOOKUP($A62,informe!$A:$J,9,FALSE),"cg","c"),"n")</f>
        <v>n</v>
      </c>
      <c r="AK62" s="196" t="str">
        <f>IF(AND(AK$3&gt;=$D62,AK$3&lt;=$E62),IF((AK$3-$D62+1)*VLOOKUP($A62,presupuesto!$B:$Q,16,FALSE)&gt;=VLOOKUP($A62,informe!$A:$J,9,FALSE),"cg","c"),"n")</f>
        <v>n</v>
      </c>
    </row>
    <row r="63" spans="1:37" s="1" customFormat="1" ht="15" customHeight="1" x14ac:dyDescent="0.25">
      <c r="A63" s="197">
        <f>presupuesto!B62</f>
        <v>35</v>
      </c>
      <c r="B63" s="182" t="str">
        <f>presupuesto!C62</f>
        <v xml:space="preserve">            Suministro, Transporte y Transporte Interno, colocación y prueba de tuberías PVC C-6 75 mm</v>
      </c>
      <c r="C63" s="174" t="str">
        <f>presupuesto!G62</f>
        <v>15 días</v>
      </c>
      <c r="D63" s="177">
        <f>presupuesto!N62</f>
        <v>45780</v>
      </c>
      <c r="E63" s="177">
        <f>presupuesto!O62</f>
        <v>45794</v>
      </c>
      <c r="F63" s="194" t="str">
        <f>IF(AK63="n",CONCATENATE(" - "),IF(AK63="cg",CONCATENATE(" - "),CONCATENATE(ROUND(IFERROR(VLOOKUP(A63,informe!A:J,9,FALSE)/VLOOKUP(A63,informe!A:J,5,FALSE),0)*100,2),"% ")))</f>
        <v xml:space="preserve"> - </v>
      </c>
      <c r="G63" s="195" t="str">
        <f>IF(AND(G$3&gt;=$D63,G$3&lt;=$E63),IF((G$3-$D63+1)*VLOOKUP($A63,presupuesto!$B:$Q,16,FALSE)&gt;=VLOOKUP($A63,informe!$A:$J,9,FALSE),"cg","c"),"n")</f>
        <v>n</v>
      </c>
      <c r="H63" s="195" t="str">
        <f>IF(AND(H$3&gt;=$D63,H$3&lt;=$E63),IF((H$3-$D63+1)*VLOOKUP($A63,presupuesto!$B:$Q,16,FALSE)&gt;=VLOOKUP($A63,informe!$A:$J,9,FALSE),"cg","c"),"n")</f>
        <v>n</v>
      </c>
      <c r="I63" s="195" t="str">
        <f>IF(AND(I$3&gt;=$D63,I$3&lt;=$E63),IF((I$3-$D63+1)*VLOOKUP($A63,presupuesto!$B:$Q,16,FALSE)&gt;=VLOOKUP($A63,informe!$A:$J,9,FALSE),"cg","c"),"n")</f>
        <v>n</v>
      </c>
      <c r="J63" s="195" t="str">
        <f>IF(AND(J$3&gt;=$D63,J$3&lt;=$E63),IF((J$3-$D63+1)*VLOOKUP($A63,presupuesto!$B:$Q,16,FALSE)&gt;=VLOOKUP($A63,informe!$A:$J,9,FALSE),"cg","c"),"n")</f>
        <v>n</v>
      </c>
      <c r="K63" s="195" t="str">
        <f>IF(AND(K$3&gt;=$D63,K$3&lt;=$E63),IF((K$3-$D63+1)*VLOOKUP($A63,presupuesto!$B:$Q,16,FALSE)&gt;=VLOOKUP($A63,informe!$A:$J,9,FALSE),"cg","c"),"n")</f>
        <v>n</v>
      </c>
      <c r="L63" s="195" t="str">
        <f>IF(AND(L$3&gt;=$D63,L$3&lt;=$E63),IF((L$3-$D63+1)*VLOOKUP($A63,presupuesto!$B:$Q,16,FALSE)&gt;=VLOOKUP($A63,informe!$A:$J,9,FALSE),"cg","c"),"n")</f>
        <v>n</v>
      </c>
      <c r="M63" s="195" t="str">
        <f>IF(AND(M$3&gt;=$D63,M$3&lt;=$E63),IF((M$3-$D63+1)*VLOOKUP($A63,presupuesto!$B:$Q,16,FALSE)&gt;=VLOOKUP($A63,informe!$A:$J,9,FALSE),"cg","c"),"n")</f>
        <v>n</v>
      </c>
      <c r="N63" s="195" t="str">
        <f>IF(AND(N$3&gt;=$D63,N$3&lt;=$E63),IF((N$3-$D63+1)*VLOOKUP($A63,presupuesto!$B:$Q,16,FALSE)&gt;=VLOOKUP($A63,informe!$A:$J,9,FALSE),"cg","c"),"n")</f>
        <v>n</v>
      </c>
      <c r="O63" s="195" t="str">
        <f>IF(AND(O$3&gt;=$D63,O$3&lt;=$E63),IF((O$3-$D63+1)*VLOOKUP($A63,presupuesto!$B:$Q,16,FALSE)&gt;=VLOOKUP($A63,informe!$A:$J,9,FALSE),"cg","c"),"n")</f>
        <v>n</v>
      </c>
      <c r="P63" s="195" t="str">
        <f>IF(AND(P$3&gt;=$D63,P$3&lt;=$E63),IF((P$3-$D63+1)*VLOOKUP($A63,presupuesto!$B:$Q,16,FALSE)&gt;=VLOOKUP($A63,informe!$A:$J,9,FALSE),"cg","c"),"n")</f>
        <v>n</v>
      </c>
      <c r="Q63" s="195" t="str">
        <f>IF(AND(Q$3&gt;=$D63,Q$3&lt;=$E63),IF((Q$3-$D63+1)*VLOOKUP($A63,presupuesto!$B:$Q,16,FALSE)&gt;=VLOOKUP($A63,informe!$A:$J,9,FALSE),"cg","c"),"n")</f>
        <v>n</v>
      </c>
      <c r="R63" s="195" t="str">
        <f>IF(AND(R$3&gt;=$D63,R$3&lt;=$E63),IF((R$3-$D63+1)*VLOOKUP($A63,presupuesto!$B:$Q,16,FALSE)&gt;=VLOOKUP($A63,informe!$A:$J,9,FALSE),"cg","c"),"n")</f>
        <v>n</v>
      </c>
      <c r="S63" s="195" t="str">
        <f>IF(AND(S$3&gt;=$D63,S$3&lt;=$E63),IF((S$3-$D63+1)*VLOOKUP($A63,presupuesto!$B:$Q,16,FALSE)&gt;=VLOOKUP($A63,informe!$A:$J,9,FALSE),"cg","c"),"n")</f>
        <v>n</v>
      </c>
      <c r="T63" s="195" t="str">
        <f>IF(AND(T$3&gt;=$D63,T$3&lt;=$E63),IF((T$3-$D63+1)*VLOOKUP($A63,presupuesto!$B:$Q,16,FALSE)&gt;=VLOOKUP($A63,informe!$A:$J,9,FALSE),"cg","c"),"n")</f>
        <v>n</v>
      </c>
      <c r="U63" s="195" t="str">
        <f>IF(AND(U$3&gt;=$D63,U$3&lt;=$E63),IF((U$3-$D63+1)*VLOOKUP($A63,presupuesto!$B:$Q,16,FALSE)&gt;=VLOOKUP($A63,informe!$A:$J,9,FALSE),"cg","c"),"n")</f>
        <v>n</v>
      </c>
      <c r="V63" s="195" t="str">
        <f>IF(AND(V$3&gt;=$D63,V$3&lt;=$E63),IF((V$3-$D63+1)*VLOOKUP($A63,presupuesto!$B:$Q,16,FALSE)&gt;=VLOOKUP($A63,informe!$A:$J,9,FALSE),"cg","c"),"n")</f>
        <v>n</v>
      </c>
      <c r="W63" s="195" t="str">
        <f>IF(AND(W$3&gt;=$D63,W$3&lt;=$E63),IF((W$3-$D63+1)*VLOOKUP($A63,presupuesto!$B:$Q,16,FALSE)&gt;=VLOOKUP($A63,informe!$A:$J,9,FALSE),"cg","c"),"n")</f>
        <v>n</v>
      </c>
      <c r="X63" s="195" t="str">
        <f>IF(AND(X$3&gt;=$D63,X$3&lt;=$E63),IF((X$3-$D63+1)*VLOOKUP($A63,presupuesto!$B:$Q,16,FALSE)&gt;=VLOOKUP($A63,informe!$A:$J,9,FALSE),"cg","c"),"n")</f>
        <v>n</v>
      </c>
      <c r="Y63" s="195" t="str">
        <f>IF(AND(Y$3&gt;=$D63,Y$3&lt;=$E63),IF((Y$3-$D63+1)*VLOOKUP($A63,presupuesto!$B:$Q,16,FALSE)&gt;=VLOOKUP($A63,informe!$A:$J,9,FALSE),"cg","c"),"n")</f>
        <v>n</v>
      </c>
      <c r="Z63" s="195" t="str">
        <f>IF(AND(Z$3&gt;=$D63,Z$3&lt;=$E63),IF((Z$3-$D63+1)*VLOOKUP($A63,presupuesto!$B:$Q,16,FALSE)&gt;=VLOOKUP($A63,informe!$A:$J,9,FALSE),"cg","c"),"n")</f>
        <v>n</v>
      </c>
      <c r="AA63" s="195" t="str">
        <f>IF(AND(AA$3&gt;=$D63,AA$3&lt;=$E63),IF((AA$3-$D63+1)*VLOOKUP($A63,presupuesto!$B:$Q,16,FALSE)&gt;=VLOOKUP($A63,informe!$A:$J,9,FALSE),"cg","c"),"n")</f>
        <v>n</v>
      </c>
      <c r="AB63" s="195" t="str">
        <f>IF(AND(AB$3&gt;=$D63,AB$3&lt;=$E63),IF((AB$3-$D63+1)*VLOOKUP($A63,presupuesto!$B:$Q,16,FALSE)&gt;=VLOOKUP($A63,informe!$A:$J,9,FALSE),"cg","c"),"n")</f>
        <v>n</v>
      </c>
      <c r="AC63" s="195" t="str">
        <f>IF(AND(AC$3&gt;=$D63,AC$3&lt;=$E63),IF((AC$3-$D63+1)*VLOOKUP($A63,presupuesto!$B:$Q,16,FALSE)&gt;=VLOOKUP($A63,informe!$A:$J,9,FALSE),"cg","c"),"n")</f>
        <v>n</v>
      </c>
      <c r="AD63" s="195" t="str">
        <f>IF(AND(AD$3&gt;=$D63,AD$3&lt;=$E63),IF((AD$3-$D63+1)*VLOOKUP($A63,presupuesto!$B:$Q,16,FALSE)&gt;=VLOOKUP($A63,informe!$A:$J,9,FALSE),"cg","c"),"n")</f>
        <v>n</v>
      </c>
      <c r="AE63" s="195" t="str">
        <f>IF(AND(AE$3&gt;=$D63,AE$3&lt;=$E63),IF((AE$3-$D63+1)*VLOOKUP($A63,presupuesto!$B:$Q,16,FALSE)&gt;=VLOOKUP($A63,informe!$A:$J,9,FALSE),"cg","c"),"n")</f>
        <v>n</v>
      </c>
      <c r="AF63" s="195" t="str">
        <f>IF(AND(AF$3&gt;=$D63,AF$3&lt;=$E63),IF((AF$3-$D63+1)*VLOOKUP($A63,presupuesto!$B:$Q,16,FALSE)&gt;=VLOOKUP($A63,informe!$A:$J,9,FALSE),"cg","c"),"n")</f>
        <v>n</v>
      </c>
      <c r="AG63" s="195" t="str">
        <f>IF(AND(AG$3&gt;=$D63,AG$3&lt;=$E63),IF((AG$3-$D63+1)*VLOOKUP($A63,presupuesto!$B:$Q,16,FALSE)&gt;=VLOOKUP($A63,informe!$A:$J,9,FALSE),"cg","c"),"n")</f>
        <v>n</v>
      </c>
      <c r="AH63" s="195" t="str">
        <f>IF(AND(AH$3&gt;=$D63,AH$3&lt;=$E63),IF((AH$3-$D63+1)*VLOOKUP($A63,presupuesto!$B:$Q,16,FALSE)&gt;=VLOOKUP($A63,informe!$A:$J,9,FALSE),"cg","c"),"n")</f>
        <v>n</v>
      </c>
      <c r="AI63" s="195" t="str">
        <f>IF(AND(AI$3&gt;=$D63,AI$3&lt;=$E63),IF((AI$3-$D63+1)*VLOOKUP($A63,presupuesto!$B:$Q,16,FALSE)&gt;=VLOOKUP($A63,informe!$A:$J,9,FALSE),"cg","c"),"n")</f>
        <v>n</v>
      </c>
      <c r="AJ63" s="195" t="str">
        <f>IF(AND(AJ$3&gt;=$D63,AJ$3&lt;=$E63),IF((AJ$3-$D63+1)*VLOOKUP($A63,presupuesto!$B:$Q,16,FALSE)&gt;=VLOOKUP($A63,informe!$A:$J,9,FALSE),"cg","c"),"n")</f>
        <v>n</v>
      </c>
      <c r="AK63" s="196" t="str">
        <f>IF(AND(AK$3&gt;=$D63,AK$3&lt;=$E63),IF((AK$3-$D63+1)*VLOOKUP($A63,presupuesto!$B:$Q,16,FALSE)&gt;=VLOOKUP($A63,informe!$A:$J,9,FALSE),"cg","c"),"n")</f>
        <v>n</v>
      </c>
    </row>
    <row r="64" spans="1:37" s="1" customFormat="1" ht="15" customHeight="1" x14ac:dyDescent="0.3">
      <c r="A64" s="197" t="str">
        <f>presupuesto!B63</f>
        <v>C.4.-</v>
      </c>
      <c r="B64" s="181" t="str">
        <f>presupuesto!C63</f>
        <v xml:space="preserve">         Suministro, transporte, transporte interno, colocación y prueba de Cañería de Cobre 3/4"</v>
      </c>
      <c r="C64" s="174" t="str">
        <f>presupuesto!G63</f>
        <v>1 día</v>
      </c>
      <c r="D64" s="177">
        <f>presupuesto!N63</f>
        <v>45780</v>
      </c>
      <c r="E64" s="177">
        <f>presupuesto!O63</f>
        <v>45780</v>
      </c>
      <c r="F64" s="194" t="str">
        <f>IF(AK64="n",CONCATENATE(" - "),IF(AK64="cg",CONCATENATE(" - "),CONCATENATE(ROUND(IFERROR(VLOOKUP(A64,informe!A:J,9,FALSE)/VLOOKUP(A64,informe!A:J,5,FALSE),0)*100,2),"% ")))</f>
        <v xml:space="preserve"> - </v>
      </c>
      <c r="G64" s="195" t="str">
        <f>IF(AND(G$3&gt;=$D64,G$3&lt;=$E64),IF((G$3-$D64+1)*VLOOKUP($A64,presupuesto!$B:$Q,16,FALSE)&gt;=VLOOKUP($A64,informe!$A:$J,9,FALSE),"cg","c"),"n")</f>
        <v>n</v>
      </c>
      <c r="H64" s="195" t="str">
        <f>IF(AND(H$3&gt;=$D64,H$3&lt;=$E64),IF((H$3-$D64+1)*VLOOKUP($A64,presupuesto!$B:$Q,16,FALSE)&gt;=VLOOKUP($A64,informe!$A:$J,9,FALSE),"cg","c"),"n")</f>
        <v>n</v>
      </c>
      <c r="I64" s="195" t="str">
        <f>IF(AND(I$3&gt;=$D64,I$3&lt;=$E64),IF((I$3-$D64+1)*VLOOKUP($A64,presupuesto!$B:$Q,16,FALSE)&gt;=VLOOKUP($A64,informe!$A:$J,9,FALSE),"cg","c"),"n")</f>
        <v>n</v>
      </c>
      <c r="J64" s="195" t="str">
        <f>IF(AND(J$3&gt;=$D64,J$3&lt;=$E64),IF((J$3-$D64+1)*VLOOKUP($A64,presupuesto!$B:$Q,16,FALSE)&gt;=VLOOKUP($A64,informe!$A:$J,9,FALSE),"cg","c"),"n")</f>
        <v>n</v>
      </c>
      <c r="K64" s="195" t="str">
        <f>IF(AND(K$3&gt;=$D64,K$3&lt;=$E64),IF((K$3-$D64+1)*VLOOKUP($A64,presupuesto!$B:$Q,16,FALSE)&gt;=VLOOKUP($A64,informe!$A:$J,9,FALSE),"cg","c"),"n")</f>
        <v>n</v>
      </c>
      <c r="L64" s="195" t="str">
        <f>IF(AND(L$3&gt;=$D64,L$3&lt;=$E64),IF((L$3-$D64+1)*VLOOKUP($A64,presupuesto!$B:$Q,16,FALSE)&gt;=VLOOKUP($A64,informe!$A:$J,9,FALSE),"cg","c"),"n")</f>
        <v>n</v>
      </c>
      <c r="M64" s="195" t="str">
        <f>IF(AND(M$3&gt;=$D64,M$3&lt;=$E64),IF((M$3-$D64+1)*VLOOKUP($A64,presupuesto!$B:$Q,16,FALSE)&gt;=VLOOKUP($A64,informe!$A:$J,9,FALSE),"cg","c"),"n")</f>
        <v>n</v>
      </c>
      <c r="N64" s="195" t="str">
        <f>IF(AND(N$3&gt;=$D64,N$3&lt;=$E64),IF((N$3-$D64+1)*VLOOKUP($A64,presupuesto!$B:$Q,16,FALSE)&gt;=VLOOKUP($A64,informe!$A:$J,9,FALSE),"cg","c"),"n")</f>
        <v>n</v>
      </c>
      <c r="O64" s="195" t="str">
        <f>IF(AND(O$3&gt;=$D64,O$3&lt;=$E64),IF((O$3-$D64+1)*VLOOKUP($A64,presupuesto!$B:$Q,16,FALSE)&gt;=VLOOKUP($A64,informe!$A:$J,9,FALSE),"cg","c"),"n")</f>
        <v>n</v>
      </c>
      <c r="P64" s="195" t="str">
        <f>IF(AND(P$3&gt;=$D64,P$3&lt;=$E64),IF((P$3-$D64+1)*VLOOKUP($A64,presupuesto!$B:$Q,16,FALSE)&gt;=VLOOKUP($A64,informe!$A:$J,9,FALSE),"cg","c"),"n")</f>
        <v>n</v>
      </c>
      <c r="Q64" s="195" t="str">
        <f>IF(AND(Q$3&gt;=$D64,Q$3&lt;=$E64),IF((Q$3-$D64+1)*VLOOKUP($A64,presupuesto!$B:$Q,16,FALSE)&gt;=VLOOKUP($A64,informe!$A:$J,9,FALSE),"cg","c"),"n")</f>
        <v>n</v>
      </c>
      <c r="R64" s="195" t="str">
        <f>IF(AND(R$3&gt;=$D64,R$3&lt;=$E64),IF((R$3-$D64+1)*VLOOKUP($A64,presupuesto!$B:$Q,16,FALSE)&gt;=VLOOKUP($A64,informe!$A:$J,9,FALSE),"cg","c"),"n")</f>
        <v>n</v>
      </c>
      <c r="S64" s="195" t="str">
        <f>IF(AND(S$3&gt;=$D64,S$3&lt;=$E64),IF((S$3-$D64+1)*VLOOKUP($A64,presupuesto!$B:$Q,16,FALSE)&gt;=VLOOKUP($A64,informe!$A:$J,9,FALSE),"cg","c"),"n")</f>
        <v>n</v>
      </c>
      <c r="T64" s="195" t="str">
        <f>IF(AND(T$3&gt;=$D64,T$3&lt;=$E64),IF((T$3-$D64+1)*VLOOKUP($A64,presupuesto!$B:$Q,16,FALSE)&gt;=VLOOKUP($A64,informe!$A:$J,9,FALSE),"cg","c"),"n")</f>
        <v>n</v>
      </c>
      <c r="U64" s="195" t="str">
        <f>IF(AND(U$3&gt;=$D64,U$3&lt;=$E64),IF((U$3-$D64+1)*VLOOKUP($A64,presupuesto!$B:$Q,16,FALSE)&gt;=VLOOKUP($A64,informe!$A:$J,9,FALSE),"cg","c"),"n")</f>
        <v>n</v>
      </c>
      <c r="V64" s="195" t="str">
        <f>IF(AND(V$3&gt;=$D64,V$3&lt;=$E64),IF((V$3-$D64+1)*VLOOKUP($A64,presupuesto!$B:$Q,16,FALSE)&gt;=VLOOKUP($A64,informe!$A:$J,9,FALSE),"cg","c"),"n")</f>
        <v>n</v>
      </c>
      <c r="W64" s="195" t="str">
        <f>IF(AND(W$3&gt;=$D64,W$3&lt;=$E64),IF((W$3-$D64+1)*VLOOKUP($A64,presupuesto!$B:$Q,16,FALSE)&gt;=VLOOKUP($A64,informe!$A:$J,9,FALSE),"cg","c"),"n")</f>
        <v>n</v>
      </c>
      <c r="X64" s="195" t="str">
        <f>IF(AND(X$3&gt;=$D64,X$3&lt;=$E64),IF((X$3-$D64+1)*VLOOKUP($A64,presupuesto!$B:$Q,16,FALSE)&gt;=VLOOKUP($A64,informe!$A:$J,9,FALSE),"cg","c"),"n")</f>
        <v>n</v>
      </c>
      <c r="Y64" s="195" t="str">
        <f>IF(AND(Y$3&gt;=$D64,Y$3&lt;=$E64),IF((Y$3-$D64+1)*VLOOKUP($A64,presupuesto!$B:$Q,16,FALSE)&gt;=VLOOKUP($A64,informe!$A:$J,9,FALSE),"cg","c"),"n")</f>
        <v>n</v>
      </c>
      <c r="Z64" s="195" t="str">
        <f>IF(AND(Z$3&gt;=$D64,Z$3&lt;=$E64),IF((Z$3-$D64+1)*VLOOKUP($A64,presupuesto!$B:$Q,16,FALSE)&gt;=VLOOKUP($A64,informe!$A:$J,9,FALSE),"cg","c"),"n")</f>
        <v>n</v>
      </c>
      <c r="AA64" s="195" t="str">
        <f>IF(AND(AA$3&gt;=$D64,AA$3&lt;=$E64),IF((AA$3-$D64+1)*VLOOKUP($A64,presupuesto!$B:$Q,16,FALSE)&gt;=VLOOKUP($A64,informe!$A:$J,9,FALSE),"cg","c"),"n")</f>
        <v>n</v>
      </c>
      <c r="AB64" s="195" t="str">
        <f>IF(AND(AB$3&gt;=$D64,AB$3&lt;=$E64),IF((AB$3-$D64+1)*VLOOKUP($A64,presupuesto!$B:$Q,16,FALSE)&gt;=VLOOKUP($A64,informe!$A:$J,9,FALSE),"cg","c"),"n")</f>
        <v>n</v>
      </c>
      <c r="AC64" s="195" t="str">
        <f>IF(AND(AC$3&gt;=$D64,AC$3&lt;=$E64),IF((AC$3-$D64+1)*VLOOKUP($A64,presupuesto!$B:$Q,16,FALSE)&gt;=VLOOKUP($A64,informe!$A:$J,9,FALSE),"cg","c"),"n")</f>
        <v>n</v>
      </c>
      <c r="AD64" s="195" t="str">
        <f>IF(AND(AD$3&gt;=$D64,AD$3&lt;=$E64),IF((AD$3-$D64+1)*VLOOKUP($A64,presupuesto!$B:$Q,16,FALSE)&gt;=VLOOKUP($A64,informe!$A:$J,9,FALSE),"cg","c"),"n")</f>
        <v>n</v>
      </c>
      <c r="AE64" s="195" t="str">
        <f>IF(AND(AE$3&gt;=$D64,AE$3&lt;=$E64),IF((AE$3-$D64+1)*VLOOKUP($A64,presupuesto!$B:$Q,16,FALSE)&gt;=VLOOKUP($A64,informe!$A:$J,9,FALSE),"cg","c"),"n")</f>
        <v>n</v>
      </c>
      <c r="AF64" s="195" t="str">
        <f>IF(AND(AF$3&gt;=$D64,AF$3&lt;=$E64),IF((AF$3-$D64+1)*VLOOKUP($A64,presupuesto!$B:$Q,16,FALSE)&gt;=VLOOKUP($A64,informe!$A:$J,9,FALSE),"cg","c"),"n")</f>
        <v>n</v>
      </c>
      <c r="AG64" s="195" t="str">
        <f>IF(AND(AG$3&gt;=$D64,AG$3&lt;=$E64),IF((AG$3-$D64+1)*VLOOKUP($A64,presupuesto!$B:$Q,16,FALSE)&gt;=VLOOKUP($A64,informe!$A:$J,9,FALSE),"cg","c"),"n")</f>
        <v>n</v>
      </c>
      <c r="AH64" s="195" t="str">
        <f>IF(AND(AH$3&gt;=$D64,AH$3&lt;=$E64),IF((AH$3-$D64+1)*VLOOKUP($A64,presupuesto!$B:$Q,16,FALSE)&gt;=VLOOKUP($A64,informe!$A:$J,9,FALSE),"cg","c"),"n")</f>
        <v>n</v>
      </c>
      <c r="AI64" s="195" t="str">
        <f>IF(AND(AI$3&gt;=$D64,AI$3&lt;=$E64),IF((AI$3-$D64+1)*VLOOKUP($A64,presupuesto!$B:$Q,16,FALSE)&gt;=VLOOKUP($A64,informe!$A:$J,9,FALSE),"cg","c"),"n")</f>
        <v>n</v>
      </c>
      <c r="AJ64" s="195" t="str">
        <f>IF(AND(AJ$3&gt;=$D64,AJ$3&lt;=$E64),IF((AJ$3-$D64+1)*VLOOKUP($A64,presupuesto!$B:$Q,16,FALSE)&gt;=VLOOKUP($A64,informe!$A:$J,9,FALSE),"cg","c"),"n")</f>
        <v>n</v>
      </c>
      <c r="AK64" s="196" t="str">
        <f>IF(AND(AK$3&gt;=$D64,AK$3&lt;=$E64),IF((AK$3-$D64+1)*VLOOKUP($A64,presupuesto!$B:$Q,16,FALSE)&gt;=VLOOKUP($A64,informe!$A:$J,9,FALSE),"cg","c"),"n")</f>
        <v>n</v>
      </c>
    </row>
    <row r="65" spans="1:37" s="1" customFormat="1" ht="15" customHeight="1" x14ac:dyDescent="0.25">
      <c r="A65" s="197">
        <f>presupuesto!B64</f>
        <v>36</v>
      </c>
      <c r="B65" s="182" t="str">
        <f>presupuesto!C64</f>
        <v xml:space="preserve">            Suministro, Transporte y Transporte Interno, colocación y prueba de tuberías Cobre 3/4"</v>
      </c>
      <c r="C65" s="174" t="str">
        <f>presupuesto!G64</f>
        <v>1 día</v>
      </c>
      <c r="D65" s="177">
        <f>presupuesto!N64</f>
        <v>45780</v>
      </c>
      <c r="E65" s="177">
        <f>presupuesto!O64</f>
        <v>45780</v>
      </c>
      <c r="F65" s="194" t="str">
        <f>IF(AK65="n",CONCATENATE(" - "),IF(AK65="cg",CONCATENATE(" - "),CONCATENATE(ROUND(IFERROR(VLOOKUP(A65,informe!A:J,9,FALSE)/VLOOKUP(A65,informe!A:J,5,FALSE),0)*100,2),"% ")))</f>
        <v xml:space="preserve"> - </v>
      </c>
      <c r="G65" s="195" t="str">
        <f>IF(AND(G$3&gt;=$D65,G$3&lt;=$E65),IF((G$3-$D65+1)*VLOOKUP($A65,presupuesto!$B:$Q,16,FALSE)&gt;=VLOOKUP($A65,informe!$A:$J,9,FALSE),"cg","c"),"n")</f>
        <v>n</v>
      </c>
      <c r="H65" s="195" t="str">
        <f>IF(AND(H$3&gt;=$D65,H$3&lt;=$E65),IF((H$3-$D65+1)*VLOOKUP($A65,presupuesto!$B:$Q,16,FALSE)&gt;=VLOOKUP($A65,informe!$A:$J,9,FALSE),"cg","c"),"n")</f>
        <v>n</v>
      </c>
      <c r="I65" s="195" t="str">
        <f>IF(AND(I$3&gt;=$D65,I$3&lt;=$E65),IF((I$3-$D65+1)*VLOOKUP($A65,presupuesto!$B:$Q,16,FALSE)&gt;=VLOOKUP($A65,informe!$A:$J,9,FALSE),"cg","c"),"n")</f>
        <v>n</v>
      </c>
      <c r="J65" s="195" t="str">
        <f>IF(AND(J$3&gt;=$D65,J$3&lt;=$E65),IF((J$3-$D65+1)*VLOOKUP($A65,presupuesto!$B:$Q,16,FALSE)&gt;=VLOOKUP($A65,informe!$A:$J,9,FALSE),"cg","c"),"n")</f>
        <v>n</v>
      </c>
      <c r="K65" s="195" t="str">
        <f>IF(AND(K$3&gt;=$D65,K$3&lt;=$E65),IF((K$3-$D65+1)*VLOOKUP($A65,presupuesto!$B:$Q,16,FALSE)&gt;=VLOOKUP($A65,informe!$A:$J,9,FALSE),"cg","c"),"n")</f>
        <v>n</v>
      </c>
      <c r="L65" s="195" t="str">
        <f>IF(AND(L$3&gt;=$D65,L$3&lt;=$E65),IF((L$3-$D65+1)*VLOOKUP($A65,presupuesto!$B:$Q,16,FALSE)&gt;=VLOOKUP($A65,informe!$A:$J,9,FALSE),"cg","c"),"n")</f>
        <v>n</v>
      </c>
      <c r="M65" s="195" t="str">
        <f>IF(AND(M$3&gt;=$D65,M$3&lt;=$E65),IF((M$3-$D65+1)*VLOOKUP($A65,presupuesto!$B:$Q,16,FALSE)&gt;=VLOOKUP($A65,informe!$A:$J,9,FALSE),"cg","c"),"n")</f>
        <v>n</v>
      </c>
      <c r="N65" s="195" t="str">
        <f>IF(AND(N$3&gt;=$D65,N$3&lt;=$E65),IF((N$3-$D65+1)*VLOOKUP($A65,presupuesto!$B:$Q,16,FALSE)&gt;=VLOOKUP($A65,informe!$A:$J,9,FALSE),"cg","c"),"n")</f>
        <v>n</v>
      </c>
      <c r="O65" s="195" t="str">
        <f>IF(AND(O$3&gt;=$D65,O$3&lt;=$E65),IF((O$3-$D65+1)*VLOOKUP($A65,presupuesto!$B:$Q,16,FALSE)&gt;=VLOOKUP($A65,informe!$A:$J,9,FALSE),"cg","c"),"n")</f>
        <v>n</v>
      </c>
      <c r="P65" s="195" t="str">
        <f>IF(AND(P$3&gt;=$D65,P$3&lt;=$E65),IF((P$3-$D65+1)*VLOOKUP($A65,presupuesto!$B:$Q,16,FALSE)&gt;=VLOOKUP($A65,informe!$A:$J,9,FALSE),"cg","c"),"n")</f>
        <v>n</v>
      </c>
      <c r="Q65" s="195" t="str">
        <f>IF(AND(Q$3&gt;=$D65,Q$3&lt;=$E65),IF((Q$3-$D65+1)*VLOOKUP($A65,presupuesto!$B:$Q,16,FALSE)&gt;=VLOOKUP($A65,informe!$A:$J,9,FALSE),"cg","c"),"n")</f>
        <v>n</v>
      </c>
      <c r="R65" s="195" t="str">
        <f>IF(AND(R$3&gt;=$D65,R$3&lt;=$E65),IF((R$3-$D65+1)*VLOOKUP($A65,presupuesto!$B:$Q,16,FALSE)&gt;=VLOOKUP($A65,informe!$A:$J,9,FALSE),"cg","c"),"n")</f>
        <v>n</v>
      </c>
      <c r="S65" s="195" t="str">
        <f>IF(AND(S$3&gt;=$D65,S$3&lt;=$E65),IF((S$3-$D65+1)*VLOOKUP($A65,presupuesto!$B:$Q,16,FALSE)&gt;=VLOOKUP($A65,informe!$A:$J,9,FALSE),"cg","c"),"n")</f>
        <v>n</v>
      </c>
      <c r="T65" s="195" t="str">
        <f>IF(AND(T$3&gt;=$D65,T$3&lt;=$E65),IF((T$3-$D65+1)*VLOOKUP($A65,presupuesto!$B:$Q,16,FALSE)&gt;=VLOOKUP($A65,informe!$A:$J,9,FALSE),"cg","c"),"n")</f>
        <v>n</v>
      </c>
      <c r="U65" s="195" t="str">
        <f>IF(AND(U$3&gt;=$D65,U$3&lt;=$E65),IF((U$3-$D65+1)*VLOOKUP($A65,presupuesto!$B:$Q,16,FALSE)&gt;=VLOOKUP($A65,informe!$A:$J,9,FALSE),"cg","c"),"n")</f>
        <v>n</v>
      </c>
      <c r="V65" s="195" t="str">
        <f>IF(AND(V$3&gt;=$D65,V$3&lt;=$E65),IF((V$3-$D65+1)*VLOOKUP($A65,presupuesto!$B:$Q,16,FALSE)&gt;=VLOOKUP($A65,informe!$A:$J,9,FALSE),"cg","c"),"n")</f>
        <v>n</v>
      </c>
      <c r="W65" s="195" t="str">
        <f>IF(AND(W$3&gt;=$D65,W$3&lt;=$E65),IF((W$3-$D65+1)*VLOOKUP($A65,presupuesto!$B:$Q,16,FALSE)&gt;=VLOOKUP($A65,informe!$A:$J,9,FALSE),"cg","c"),"n")</f>
        <v>n</v>
      </c>
      <c r="X65" s="195" t="str">
        <f>IF(AND(X$3&gt;=$D65,X$3&lt;=$E65),IF((X$3-$D65+1)*VLOOKUP($A65,presupuesto!$B:$Q,16,FALSE)&gt;=VLOOKUP($A65,informe!$A:$J,9,FALSE),"cg","c"),"n")</f>
        <v>n</v>
      </c>
      <c r="Y65" s="195" t="str">
        <f>IF(AND(Y$3&gt;=$D65,Y$3&lt;=$E65),IF((Y$3-$D65+1)*VLOOKUP($A65,presupuesto!$B:$Q,16,FALSE)&gt;=VLOOKUP($A65,informe!$A:$J,9,FALSE),"cg","c"),"n")</f>
        <v>n</v>
      </c>
      <c r="Z65" s="195" t="str">
        <f>IF(AND(Z$3&gt;=$D65,Z$3&lt;=$E65),IF((Z$3-$D65+1)*VLOOKUP($A65,presupuesto!$B:$Q,16,FALSE)&gt;=VLOOKUP($A65,informe!$A:$J,9,FALSE),"cg","c"),"n")</f>
        <v>n</v>
      </c>
      <c r="AA65" s="195" t="str">
        <f>IF(AND(AA$3&gt;=$D65,AA$3&lt;=$E65),IF((AA$3-$D65+1)*VLOOKUP($A65,presupuesto!$B:$Q,16,FALSE)&gt;=VLOOKUP($A65,informe!$A:$J,9,FALSE),"cg","c"),"n")</f>
        <v>n</v>
      </c>
      <c r="AB65" s="195" t="str">
        <f>IF(AND(AB$3&gt;=$D65,AB$3&lt;=$E65),IF((AB$3-$D65+1)*VLOOKUP($A65,presupuesto!$B:$Q,16,FALSE)&gt;=VLOOKUP($A65,informe!$A:$J,9,FALSE),"cg","c"),"n")</f>
        <v>n</v>
      </c>
      <c r="AC65" s="195" t="str">
        <f>IF(AND(AC$3&gt;=$D65,AC$3&lt;=$E65),IF((AC$3-$D65+1)*VLOOKUP($A65,presupuesto!$B:$Q,16,FALSE)&gt;=VLOOKUP($A65,informe!$A:$J,9,FALSE),"cg","c"),"n")</f>
        <v>n</v>
      </c>
      <c r="AD65" s="195" t="str">
        <f>IF(AND(AD$3&gt;=$D65,AD$3&lt;=$E65),IF((AD$3-$D65+1)*VLOOKUP($A65,presupuesto!$B:$Q,16,FALSE)&gt;=VLOOKUP($A65,informe!$A:$J,9,FALSE),"cg","c"),"n")</f>
        <v>n</v>
      </c>
      <c r="AE65" s="195" t="str">
        <f>IF(AND(AE$3&gt;=$D65,AE$3&lt;=$E65),IF((AE$3-$D65+1)*VLOOKUP($A65,presupuesto!$B:$Q,16,FALSE)&gt;=VLOOKUP($A65,informe!$A:$J,9,FALSE),"cg","c"),"n")</f>
        <v>n</v>
      </c>
      <c r="AF65" s="195" t="str">
        <f>IF(AND(AF$3&gt;=$D65,AF$3&lt;=$E65),IF((AF$3-$D65+1)*VLOOKUP($A65,presupuesto!$B:$Q,16,FALSE)&gt;=VLOOKUP($A65,informe!$A:$J,9,FALSE),"cg","c"),"n")</f>
        <v>n</v>
      </c>
      <c r="AG65" s="195" t="str">
        <f>IF(AND(AG$3&gt;=$D65,AG$3&lt;=$E65),IF((AG$3-$D65+1)*VLOOKUP($A65,presupuesto!$B:$Q,16,FALSE)&gt;=VLOOKUP($A65,informe!$A:$J,9,FALSE),"cg","c"),"n")</f>
        <v>n</v>
      </c>
      <c r="AH65" s="195" t="str">
        <f>IF(AND(AH$3&gt;=$D65,AH$3&lt;=$E65),IF((AH$3-$D65+1)*VLOOKUP($A65,presupuesto!$B:$Q,16,FALSE)&gt;=VLOOKUP($A65,informe!$A:$J,9,FALSE),"cg","c"),"n")</f>
        <v>n</v>
      </c>
      <c r="AI65" s="195" t="str">
        <f>IF(AND(AI$3&gt;=$D65,AI$3&lt;=$E65),IF((AI$3-$D65+1)*VLOOKUP($A65,presupuesto!$B:$Q,16,FALSE)&gt;=VLOOKUP($A65,informe!$A:$J,9,FALSE),"cg","c"),"n")</f>
        <v>n</v>
      </c>
      <c r="AJ65" s="195" t="str">
        <f>IF(AND(AJ$3&gt;=$D65,AJ$3&lt;=$E65),IF((AJ$3-$D65+1)*VLOOKUP($A65,presupuesto!$B:$Q,16,FALSE)&gt;=VLOOKUP($A65,informe!$A:$J,9,FALSE),"cg","c"),"n")</f>
        <v>n</v>
      </c>
      <c r="AK65" s="196" t="str">
        <f>IF(AND(AK$3&gt;=$D65,AK$3&lt;=$E65),IF((AK$3-$D65+1)*VLOOKUP($A65,presupuesto!$B:$Q,16,FALSE)&gt;=VLOOKUP($A65,informe!$A:$J,9,FALSE),"cg","c"),"n")</f>
        <v>n</v>
      </c>
    </row>
    <row r="66" spans="1:37" s="1" customFormat="1" ht="15" customHeight="1" x14ac:dyDescent="0.3">
      <c r="A66" s="193" t="str">
        <f>presupuesto!B65</f>
        <v>C.5.-</v>
      </c>
      <c r="B66" s="181" t="str">
        <f>presupuesto!C65</f>
        <v xml:space="preserve">         Suministro, transporte, transporte interno, colocación y prueba de Piezas Especiales con/sin mecanismo</v>
      </c>
      <c r="C66" s="173" t="str">
        <f>presupuesto!G65</f>
        <v>15 días</v>
      </c>
      <c r="D66" s="176">
        <f>presupuesto!N65</f>
        <v>45770</v>
      </c>
      <c r="E66" s="176">
        <f>presupuesto!O65</f>
        <v>45784</v>
      </c>
      <c r="F66" s="194" t="str">
        <f>IF(AK66="n",CONCATENATE(" - "),IF(AK66="cg",CONCATENATE(" - "),CONCATENATE(ROUND(IFERROR(VLOOKUP(A66,informe!A:J,9,FALSE)/VLOOKUP(A66,informe!A:J,5,FALSE),0)*100,2),"% ")))</f>
        <v xml:space="preserve"> - </v>
      </c>
      <c r="G66" s="195" t="str">
        <f>IF(AND(G$3&gt;=$D66,G$3&lt;=$E66),IF((G$3-$D66+1)*VLOOKUP($A66,presupuesto!$B:$Q,16,FALSE)&gt;=VLOOKUP($A66,informe!$A:$J,9,FALSE),"cg","c"),"n")</f>
        <v>n</v>
      </c>
      <c r="H66" s="195" t="str">
        <f>IF(AND(H$3&gt;=$D66,H$3&lt;=$E66),IF((H$3-$D66+1)*VLOOKUP($A66,presupuesto!$B:$Q,16,FALSE)&gt;=VLOOKUP($A66,informe!$A:$J,9,FALSE),"cg","c"),"n")</f>
        <v>n</v>
      </c>
      <c r="I66" s="195" t="str">
        <f>IF(AND(I$3&gt;=$D66,I$3&lt;=$E66),IF((I$3-$D66+1)*VLOOKUP($A66,presupuesto!$B:$Q,16,FALSE)&gt;=VLOOKUP($A66,informe!$A:$J,9,FALSE),"cg","c"),"n")</f>
        <v>n</v>
      </c>
      <c r="J66" s="195" t="str">
        <f>IF(AND(J$3&gt;=$D66,J$3&lt;=$E66),IF((J$3-$D66+1)*VLOOKUP($A66,presupuesto!$B:$Q,16,FALSE)&gt;=VLOOKUP($A66,informe!$A:$J,9,FALSE),"cg","c"),"n")</f>
        <v>n</v>
      </c>
      <c r="K66" s="195" t="str">
        <f>IF(AND(K$3&gt;=$D66,K$3&lt;=$E66),IF((K$3-$D66+1)*VLOOKUP($A66,presupuesto!$B:$Q,16,FALSE)&gt;=VLOOKUP($A66,informe!$A:$J,9,FALSE),"cg","c"),"n")</f>
        <v>n</v>
      </c>
      <c r="L66" s="195" t="str">
        <f>IF(AND(L$3&gt;=$D66,L$3&lt;=$E66),IF((L$3-$D66+1)*VLOOKUP($A66,presupuesto!$B:$Q,16,FALSE)&gt;=VLOOKUP($A66,informe!$A:$J,9,FALSE),"cg","c"),"n")</f>
        <v>n</v>
      </c>
      <c r="M66" s="195" t="str">
        <f>IF(AND(M$3&gt;=$D66,M$3&lt;=$E66),IF((M$3-$D66+1)*VLOOKUP($A66,presupuesto!$B:$Q,16,FALSE)&gt;=VLOOKUP($A66,informe!$A:$J,9,FALSE),"cg","c"),"n")</f>
        <v>n</v>
      </c>
      <c r="N66" s="195" t="str">
        <f>IF(AND(N$3&gt;=$D66,N$3&lt;=$E66),IF((N$3-$D66+1)*VLOOKUP($A66,presupuesto!$B:$Q,16,FALSE)&gt;=VLOOKUP($A66,informe!$A:$J,9,FALSE),"cg","c"),"n")</f>
        <v>n</v>
      </c>
      <c r="O66" s="195" t="str">
        <f>IF(AND(O$3&gt;=$D66,O$3&lt;=$E66),IF((O$3-$D66+1)*VLOOKUP($A66,presupuesto!$B:$Q,16,FALSE)&gt;=VLOOKUP($A66,informe!$A:$J,9,FALSE),"cg","c"),"n")</f>
        <v>n</v>
      </c>
      <c r="P66" s="195" t="str">
        <f>IF(AND(P$3&gt;=$D66,P$3&lt;=$E66),IF((P$3-$D66+1)*VLOOKUP($A66,presupuesto!$B:$Q,16,FALSE)&gt;=VLOOKUP($A66,informe!$A:$J,9,FALSE),"cg","c"),"n")</f>
        <v>n</v>
      </c>
      <c r="Q66" s="195" t="str">
        <f>IF(AND(Q$3&gt;=$D66,Q$3&lt;=$E66),IF((Q$3-$D66+1)*VLOOKUP($A66,presupuesto!$B:$Q,16,FALSE)&gt;=VLOOKUP($A66,informe!$A:$J,9,FALSE),"cg","c"),"n")</f>
        <v>n</v>
      </c>
      <c r="R66" s="195" t="str">
        <f>IF(AND(R$3&gt;=$D66,R$3&lt;=$E66),IF((R$3-$D66+1)*VLOOKUP($A66,presupuesto!$B:$Q,16,FALSE)&gt;=VLOOKUP($A66,informe!$A:$J,9,FALSE),"cg","c"),"n")</f>
        <v>n</v>
      </c>
      <c r="S66" s="195" t="str">
        <f>IF(AND(S$3&gt;=$D66,S$3&lt;=$E66),IF((S$3-$D66+1)*VLOOKUP($A66,presupuesto!$B:$Q,16,FALSE)&gt;=VLOOKUP($A66,informe!$A:$J,9,FALSE),"cg","c"),"n")</f>
        <v>n</v>
      </c>
      <c r="T66" s="195" t="str">
        <f>IF(AND(T$3&gt;=$D66,T$3&lt;=$E66),IF((T$3-$D66+1)*VLOOKUP($A66,presupuesto!$B:$Q,16,FALSE)&gt;=VLOOKUP($A66,informe!$A:$J,9,FALSE),"cg","c"),"n")</f>
        <v>n</v>
      </c>
      <c r="U66" s="195" t="str">
        <f>IF(AND(U$3&gt;=$D66,U$3&lt;=$E66),IF((U$3-$D66+1)*VLOOKUP($A66,presupuesto!$B:$Q,16,FALSE)&gt;=VLOOKUP($A66,informe!$A:$J,9,FALSE),"cg","c"),"n")</f>
        <v>n</v>
      </c>
      <c r="V66" s="195" t="str">
        <f>IF(AND(V$3&gt;=$D66,V$3&lt;=$E66),IF((V$3-$D66+1)*VLOOKUP($A66,presupuesto!$B:$Q,16,FALSE)&gt;=VLOOKUP($A66,informe!$A:$J,9,FALSE),"cg","c"),"n")</f>
        <v>n</v>
      </c>
      <c r="W66" s="195" t="str">
        <f>IF(AND(W$3&gt;=$D66,W$3&lt;=$E66),IF((W$3-$D66+1)*VLOOKUP($A66,presupuesto!$B:$Q,16,FALSE)&gt;=VLOOKUP($A66,informe!$A:$J,9,FALSE),"cg","c"),"n")</f>
        <v>n</v>
      </c>
      <c r="X66" s="195" t="str">
        <f>IF(AND(X$3&gt;=$D66,X$3&lt;=$E66),IF((X$3-$D66+1)*VLOOKUP($A66,presupuesto!$B:$Q,16,FALSE)&gt;=VLOOKUP($A66,informe!$A:$J,9,FALSE),"cg","c"),"n")</f>
        <v>n</v>
      </c>
      <c r="Y66" s="195" t="str">
        <f>IF(AND(Y$3&gt;=$D66,Y$3&lt;=$E66),IF((Y$3-$D66+1)*VLOOKUP($A66,presupuesto!$B:$Q,16,FALSE)&gt;=VLOOKUP($A66,informe!$A:$J,9,FALSE),"cg","c"),"n")</f>
        <v>n</v>
      </c>
      <c r="Z66" s="195" t="str">
        <f>IF(AND(Z$3&gt;=$D66,Z$3&lt;=$E66),IF((Z$3-$D66+1)*VLOOKUP($A66,presupuesto!$B:$Q,16,FALSE)&gt;=VLOOKUP($A66,informe!$A:$J,9,FALSE),"cg","c"),"n")</f>
        <v>n</v>
      </c>
      <c r="AA66" s="195" t="str">
        <f>IF(AND(AA$3&gt;=$D66,AA$3&lt;=$E66),IF((AA$3-$D66+1)*VLOOKUP($A66,presupuesto!$B:$Q,16,FALSE)&gt;=VLOOKUP($A66,informe!$A:$J,9,FALSE),"cg","c"),"n")</f>
        <v>n</v>
      </c>
      <c r="AB66" s="195" t="str">
        <f>IF(AND(AB$3&gt;=$D66,AB$3&lt;=$E66),IF((AB$3-$D66+1)*VLOOKUP($A66,presupuesto!$B:$Q,16,FALSE)&gt;=VLOOKUP($A66,informe!$A:$J,9,FALSE),"cg","c"),"n")</f>
        <v>n</v>
      </c>
      <c r="AC66" s="195" t="str">
        <f>IF(AND(AC$3&gt;=$D66,AC$3&lt;=$E66),IF((AC$3-$D66+1)*VLOOKUP($A66,presupuesto!$B:$Q,16,FALSE)&gt;=VLOOKUP($A66,informe!$A:$J,9,FALSE),"cg","c"),"n")</f>
        <v>n</v>
      </c>
      <c r="AD66" s="195" t="str">
        <f>IF(AND(AD$3&gt;=$D66,AD$3&lt;=$E66),IF((AD$3-$D66+1)*VLOOKUP($A66,presupuesto!$B:$Q,16,FALSE)&gt;=VLOOKUP($A66,informe!$A:$J,9,FALSE),"cg","c"),"n")</f>
        <v>n</v>
      </c>
      <c r="AE66" s="195" t="str">
        <f>IF(AND(AE$3&gt;=$D66,AE$3&lt;=$E66),IF((AE$3-$D66+1)*VLOOKUP($A66,presupuesto!$B:$Q,16,FALSE)&gt;=VLOOKUP($A66,informe!$A:$J,9,FALSE),"cg","c"),"n")</f>
        <v>n</v>
      </c>
      <c r="AF66" s="195" t="str">
        <f>IF(AND(AF$3&gt;=$D66,AF$3&lt;=$E66),IF((AF$3-$D66+1)*VLOOKUP($A66,presupuesto!$B:$Q,16,FALSE)&gt;=VLOOKUP($A66,informe!$A:$J,9,FALSE),"cg","c"),"n")</f>
        <v>n</v>
      </c>
      <c r="AG66" s="195" t="str">
        <f>IF(AND(AG$3&gt;=$D66,AG$3&lt;=$E66),IF((AG$3-$D66+1)*VLOOKUP($A66,presupuesto!$B:$Q,16,FALSE)&gt;=VLOOKUP($A66,informe!$A:$J,9,FALSE),"cg","c"),"n")</f>
        <v>n</v>
      </c>
      <c r="AH66" s="195" t="str">
        <f>IF(AND(AH$3&gt;=$D66,AH$3&lt;=$E66),IF((AH$3-$D66+1)*VLOOKUP($A66,presupuesto!$B:$Q,16,FALSE)&gt;=VLOOKUP($A66,informe!$A:$J,9,FALSE),"cg","c"),"n")</f>
        <v>n</v>
      </c>
      <c r="AI66" s="195" t="str">
        <f>IF(AND(AI$3&gt;=$D66,AI$3&lt;=$E66),IF((AI$3-$D66+1)*VLOOKUP($A66,presupuesto!$B:$Q,16,FALSE)&gt;=VLOOKUP($A66,informe!$A:$J,9,FALSE),"cg","c"),"n")</f>
        <v>n</v>
      </c>
      <c r="AJ66" s="195" t="str">
        <f>IF(AND(AJ$3&gt;=$D66,AJ$3&lt;=$E66),IF((AJ$3-$D66+1)*VLOOKUP($A66,presupuesto!$B:$Q,16,FALSE)&gt;=VLOOKUP($A66,informe!$A:$J,9,FALSE),"cg","c"),"n")</f>
        <v>n</v>
      </c>
      <c r="AK66" s="196" t="str">
        <f>IF(AND(AK$3&gt;=$D66,AK$3&lt;=$E66),IF((AK$3-$D66+1)*VLOOKUP($A66,presupuesto!$B:$Q,16,FALSE)&gt;=VLOOKUP($A66,informe!$A:$J,9,FALSE),"cg","c"),"n")</f>
        <v>n</v>
      </c>
    </row>
    <row r="67" spans="1:37" s="1" customFormat="1" ht="15" customHeight="1" x14ac:dyDescent="0.25">
      <c r="A67" s="197">
        <f>presupuesto!B66</f>
        <v>37</v>
      </c>
      <c r="B67" s="182" t="str">
        <f>presupuesto!C66</f>
        <v xml:space="preserve">            Piezas especiales de HDPE</v>
      </c>
      <c r="C67" s="174" t="str">
        <f>presupuesto!G66</f>
        <v>2 días</v>
      </c>
      <c r="D67" s="177">
        <f>presupuesto!N66</f>
        <v>45780</v>
      </c>
      <c r="E67" s="177">
        <f>presupuesto!O66</f>
        <v>45781</v>
      </c>
      <c r="F67" s="194" t="str">
        <f>IF(AK67="n",CONCATENATE(" - "),IF(AK67="cg",CONCATENATE(" - "),CONCATENATE(ROUND(IFERROR(VLOOKUP(A67,informe!A:J,9,FALSE)/VLOOKUP(A67,informe!A:J,5,FALSE),0)*100,2),"% ")))</f>
        <v xml:space="preserve"> - </v>
      </c>
      <c r="G67" s="195" t="str">
        <f>IF(AND(G$3&gt;=$D67,G$3&lt;=$E67),IF((G$3-$D67+1)*VLOOKUP($A67,presupuesto!$B:$Q,16,FALSE)&gt;=VLOOKUP($A67,informe!$A:$J,9,FALSE),"cg","c"),"n")</f>
        <v>n</v>
      </c>
      <c r="H67" s="195" t="str">
        <f>IF(AND(H$3&gt;=$D67,H$3&lt;=$E67),IF((H$3-$D67+1)*VLOOKUP($A67,presupuesto!$B:$Q,16,FALSE)&gt;=VLOOKUP($A67,informe!$A:$J,9,FALSE),"cg","c"),"n")</f>
        <v>n</v>
      </c>
      <c r="I67" s="195" t="str">
        <f>IF(AND(I$3&gt;=$D67,I$3&lt;=$E67),IF((I$3-$D67+1)*VLOOKUP($A67,presupuesto!$B:$Q,16,FALSE)&gt;=VLOOKUP($A67,informe!$A:$J,9,FALSE),"cg","c"),"n")</f>
        <v>n</v>
      </c>
      <c r="J67" s="195" t="str">
        <f>IF(AND(J$3&gt;=$D67,J$3&lt;=$E67),IF((J$3-$D67+1)*VLOOKUP($A67,presupuesto!$B:$Q,16,FALSE)&gt;=VLOOKUP($A67,informe!$A:$J,9,FALSE),"cg","c"),"n")</f>
        <v>n</v>
      </c>
      <c r="K67" s="195" t="str">
        <f>IF(AND(K$3&gt;=$D67,K$3&lt;=$E67),IF((K$3-$D67+1)*VLOOKUP($A67,presupuesto!$B:$Q,16,FALSE)&gt;=VLOOKUP($A67,informe!$A:$J,9,FALSE),"cg","c"),"n")</f>
        <v>n</v>
      </c>
      <c r="L67" s="195" t="str">
        <f>IF(AND(L$3&gt;=$D67,L$3&lt;=$E67),IF((L$3-$D67+1)*VLOOKUP($A67,presupuesto!$B:$Q,16,FALSE)&gt;=VLOOKUP($A67,informe!$A:$J,9,FALSE),"cg","c"),"n")</f>
        <v>n</v>
      </c>
      <c r="M67" s="195" t="str">
        <f>IF(AND(M$3&gt;=$D67,M$3&lt;=$E67),IF((M$3-$D67+1)*VLOOKUP($A67,presupuesto!$B:$Q,16,FALSE)&gt;=VLOOKUP($A67,informe!$A:$J,9,FALSE),"cg","c"),"n")</f>
        <v>n</v>
      </c>
      <c r="N67" s="195" t="str">
        <f>IF(AND(N$3&gt;=$D67,N$3&lt;=$E67),IF((N$3-$D67+1)*VLOOKUP($A67,presupuesto!$B:$Q,16,FALSE)&gt;=VLOOKUP($A67,informe!$A:$J,9,FALSE),"cg","c"),"n")</f>
        <v>n</v>
      </c>
      <c r="O67" s="195" t="str">
        <f>IF(AND(O$3&gt;=$D67,O$3&lt;=$E67),IF((O$3-$D67+1)*VLOOKUP($A67,presupuesto!$B:$Q,16,FALSE)&gt;=VLOOKUP($A67,informe!$A:$J,9,FALSE),"cg","c"),"n")</f>
        <v>n</v>
      </c>
      <c r="P67" s="195" t="str">
        <f>IF(AND(P$3&gt;=$D67,P$3&lt;=$E67),IF((P$3-$D67+1)*VLOOKUP($A67,presupuesto!$B:$Q,16,FALSE)&gt;=VLOOKUP($A67,informe!$A:$J,9,FALSE),"cg","c"),"n")</f>
        <v>n</v>
      </c>
      <c r="Q67" s="195" t="str">
        <f>IF(AND(Q$3&gt;=$D67,Q$3&lt;=$E67),IF((Q$3-$D67+1)*VLOOKUP($A67,presupuesto!$B:$Q,16,FALSE)&gt;=VLOOKUP($A67,informe!$A:$J,9,FALSE),"cg","c"),"n")</f>
        <v>n</v>
      </c>
      <c r="R67" s="195" t="str">
        <f>IF(AND(R$3&gt;=$D67,R$3&lt;=$E67),IF((R$3-$D67+1)*VLOOKUP($A67,presupuesto!$B:$Q,16,FALSE)&gt;=VLOOKUP($A67,informe!$A:$J,9,FALSE),"cg","c"),"n")</f>
        <v>n</v>
      </c>
      <c r="S67" s="195" t="str">
        <f>IF(AND(S$3&gt;=$D67,S$3&lt;=$E67),IF((S$3-$D67+1)*VLOOKUP($A67,presupuesto!$B:$Q,16,FALSE)&gt;=VLOOKUP($A67,informe!$A:$J,9,FALSE),"cg","c"),"n")</f>
        <v>n</v>
      </c>
      <c r="T67" s="195" t="str">
        <f>IF(AND(T$3&gt;=$D67,T$3&lt;=$E67),IF((T$3-$D67+1)*VLOOKUP($A67,presupuesto!$B:$Q,16,FALSE)&gt;=VLOOKUP($A67,informe!$A:$J,9,FALSE),"cg","c"),"n")</f>
        <v>n</v>
      </c>
      <c r="U67" s="195" t="str">
        <f>IF(AND(U$3&gt;=$D67,U$3&lt;=$E67),IF((U$3-$D67+1)*VLOOKUP($A67,presupuesto!$B:$Q,16,FALSE)&gt;=VLOOKUP($A67,informe!$A:$J,9,FALSE),"cg","c"),"n")</f>
        <v>n</v>
      </c>
      <c r="V67" s="195" t="str">
        <f>IF(AND(V$3&gt;=$D67,V$3&lt;=$E67),IF((V$3-$D67+1)*VLOOKUP($A67,presupuesto!$B:$Q,16,FALSE)&gt;=VLOOKUP($A67,informe!$A:$J,9,FALSE),"cg","c"),"n")</f>
        <v>n</v>
      </c>
      <c r="W67" s="195" t="str">
        <f>IF(AND(W$3&gt;=$D67,W$3&lt;=$E67),IF((W$3-$D67+1)*VLOOKUP($A67,presupuesto!$B:$Q,16,FALSE)&gt;=VLOOKUP($A67,informe!$A:$J,9,FALSE),"cg","c"),"n")</f>
        <v>n</v>
      </c>
      <c r="X67" s="195" t="str">
        <f>IF(AND(X$3&gt;=$D67,X$3&lt;=$E67),IF((X$3-$D67+1)*VLOOKUP($A67,presupuesto!$B:$Q,16,FALSE)&gt;=VLOOKUP($A67,informe!$A:$J,9,FALSE),"cg","c"),"n")</f>
        <v>n</v>
      </c>
      <c r="Y67" s="195" t="str">
        <f>IF(AND(Y$3&gt;=$D67,Y$3&lt;=$E67),IF((Y$3-$D67+1)*VLOOKUP($A67,presupuesto!$B:$Q,16,FALSE)&gt;=VLOOKUP($A67,informe!$A:$J,9,FALSE),"cg","c"),"n")</f>
        <v>n</v>
      </c>
      <c r="Z67" s="195" t="str">
        <f>IF(AND(Z$3&gt;=$D67,Z$3&lt;=$E67),IF((Z$3-$D67+1)*VLOOKUP($A67,presupuesto!$B:$Q,16,FALSE)&gt;=VLOOKUP($A67,informe!$A:$J,9,FALSE),"cg","c"),"n")</f>
        <v>n</v>
      </c>
      <c r="AA67" s="195" t="str">
        <f>IF(AND(AA$3&gt;=$D67,AA$3&lt;=$E67),IF((AA$3-$D67+1)*VLOOKUP($A67,presupuesto!$B:$Q,16,FALSE)&gt;=VLOOKUP($A67,informe!$A:$J,9,FALSE),"cg","c"),"n")</f>
        <v>n</v>
      </c>
      <c r="AB67" s="195" t="str">
        <f>IF(AND(AB$3&gt;=$D67,AB$3&lt;=$E67),IF((AB$3-$D67+1)*VLOOKUP($A67,presupuesto!$B:$Q,16,FALSE)&gt;=VLOOKUP($A67,informe!$A:$J,9,FALSE),"cg","c"),"n")</f>
        <v>n</v>
      </c>
      <c r="AC67" s="195" t="str">
        <f>IF(AND(AC$3&gt;=$D67,AC$3&lt;=$E67),IF((AC$3-$D67+1)*VLOOKUP($A67,presupuesto!$B:$Q,16,FALSE)&gt;=VLOOKUP($A67,informe!$A:$J,9,FALSE),"cg","c"),"n")</f>
        <v>n</v>
      </c>
      <c r="AD67" s="195" t="str">
        <f>IF(AND(AD$3&gt;=$D67,AD$3&lt;=$E67),IF((AD$3-$D67+1)*VLOOKUP($A67,presupuesto!$B:$Q,16,FALSE)&gt;=VLOOKUP($A67,informe!$A:$J,9,FALSE),"cg","c"),"n")</f>
        <v>n</v>
      </c>
      <c r="AE67" s="195" t="str">
        <f>IF(AND(AE$3&gt;=$D67,AE$3&lt;=$E67),IF((AE$3-$D67+1)*VLOOKUP($A67,presupuesto!$B:$Q,16,FALSE)&gt;=VLOOKUP($A67,informe!$A:$J,9,FALSE),"cg","c"),"n")</f>
        <v>n</v>
      </c>
      <c r="AF67" s="195" t="str">
        <f>IF(AND(AF$3&gt;=$D67,AF$3&lt;=$E67),IF((AF$3-$D67+1)*VLOOKUP($A67,presupuesto!$B:$Q,16,FALSE)&gt;=VLOOKUP($A67,informe!$A:$J,9,FALSE),"cg","c"),"n")</f>
        <v>n</v>
      </c>
      <c r="AG67" s="195" t="str">
        <f>IF(AND(AG$3&gt;=$D67,AG$3&lt;=$E67),IF((AG$3-$D67+1)*VLOOKUP($A67,presupuesto!$B:$Q,16,FALSE)&gt;=VLOOKUP($A67,informe!$A:$J,9,FALSE),"cg","c"),"n")</f>
        <v>n</v>
      </c>
      <c r="AH67" s="195" t="str">
        <f>IF(AND(AH$3&gt;=$D67,AH$3&lt;=$E67),IF((AH$3-$D67+1)*VLOOKUP($A67,presupuesto!$B:$Q,16,FALSE)&gt;=VLOOKUP($A67,informe!$A:$J,9,FALSE),"cg","c"),"n")</f>
        <v>n</v>
      </c>
      <c r="AI67" s="195" t="str">
        <f>IF(AND(AI$3&gt;=$D67,AI$3&lt;=$E67),IF((AI$3-$D67+1)*VLOOKUP($A67,presupuesto!$B:$Q,16,FALSE)&gt;=VLOOKUP($A67,informe!$A:$J,9,FALSE),"cg","c"),"n")</f>
        <v>n</v>
      </c>
      <c r="AJ67" s="195" t="str">
        <f>IF(AND(AJ$3&gt;=$D67,AJ$3&lt;=$E67),IF((AJ$3-$D67+1)*VLOOKUP($A67,presupuesto!$B:$Q,16,FALSE)&gt;=VLOOKUP($A67,informe!$A:$J,9,FALSE),"cg","c"),"n")</f>
        <v>n</v>
      </c>
      <c r="AK67" s="196" t="str">
        <f>IF(AND(AK$3&gt;=$D67,AK$3&lt;=$E67),IF((AK$3-$D67+1)*VLOOKUP($A67,presupuesto!$B:$Q,16,FALSE)&gt;=VLOOKUP($A67,informe!$A:$J,9,FALSE),"cg","c"),"n")</f>
        <v>n</v>
      </c>
    </row>
    <row r="68" spans="1:37" s="1" customFormat="1" ht="15" customHeight="1" x14ac:dyDescent="0.25">
      <c r="A68" s="197">
        <f>presupuesto!B67</f>
        <v>38</v>
      </c>
      <c r="B68" s="182" t="str">
        <f>presupuesto!C67</f>
        <v xml:space="preserve">            Piezas especiales de Fierro Fundido</v>
      </c>
      <c r="C68" s="174" t="str">
        <f>presupuesto!G67</f>
        <v>10 días</v>
      </c>
      <c r="D68" s="177">
        <f>presupuesto!N67</f>
        <v>45775</v>
      </c>
      <c r="E68" s="177">
        <f>presupuesto!O67</f>
        <v>45784</v>
      </c>
      <c r="F68" s="194" t="str">
        <f>IF(AK68="n",CONCATENATE(" - "),IF(AK68="cg",CONCATENATE(" - "),CONCATENATE(ROUND(IFERROR(VLOOKUP(A68,informe!A:J,9,FALSE)/VLOOKUP(A68,informe!A:J,5,FALSE),0)*100,2),"% ")))</f>
        <v xml:space="preserve"> - </v>
      </c>
      <c r="G68" s="195" t="str">
        <f>IF(AND(G$3&gt;=$D68,G$3&lt;=$E68),IF((G$3-$D68+1)*VLOOKUP($A68,presupuesto!$B:$Q,16,FALSE)&gt;=VLOOKUP($A68,informe!$A:$J,9,FALSE),"cg","c"),"n")</f>
        <v>n</v>
      </c>
      <c r="H68" s="195" t="str">
        <f>IF(AND(H$3&gt;=$D68,H$3&lt;=$E68),IF((H$3-$D68+1)*VLOOKUP($A68,presupuesto!$B:$Q,16,FALSE)&gt;=VLOOKUP($A68,informe!$A:$J,9,FALSE),"cg","c"),"n")</f>
        <v>n</v>
      </c>
      <c r="I68" s="195" t="str">
        <f>IF(AND(I$3&gt;=$D68,I$3&lt;=$E68),IF((I$3-$D68+1)*VLOOKUP($A68,presupuesto!$B:$Q,16,FALSE)&gt;=VLOOKUP($A68,informe!$A:$J,9,FALSE),"cg","c"),"n")</f>
        <v>n</v>
      </c>
      <c r="J68" s="195" t="str">
        <f>IF(AND(J$3&gt;=$D68,J$3&lt;=$E68),IF((J$3-$D68+1)*VLOOKUP($A68,presupuesto!$B:$Q,16,FALSE)&gt;=VLOOKUP($A68,informe!$A:$J,9,FALSE),"cg","c"),"n")</f>
        <v>n</v>
      </c>
      <c r="K68" s="195" t="str">
        <f>IF(AND(K$3&gt;=$D68,K$3&lt;=$E68),IF((K$3-$D68+1)*VLOOKUP($A68,presupuesto!$B:$Q,16,FALSE)&gt;=VLOOKUP($A68,informe!$A:$J,9,FALSE),"cg","c"),"n")</f>
        <v>n</v>
      </c>
      <c r="L68" s="195" t="str">
        <f>IF(AND(L$3&gt;=$D68,L$3&lt;=$E68),IF((L$3-$D68+1)*VLOOKUP($A68,presupuesto!$B:$Q,16,FALSE)&gt;=VLOOKUP($A68,informe!$A:$J,9,FALSE),"cg","c"),"n")</f>
        <v>n</v>
      </c>
      <c r="M68" s="195" t="str">
        <f>IF(AND(M$3&gt;=$D68,M$3&lt;=$E68),IF((M$3-$D68+1)*VLOOKUP($A68,presupuesto!$B:$Q,16,FALSE)&gt;=VLOOKUP($A68,informe!$A:$J,9,FALSE),"cg","c"),"n")</f>
        <v>n</v>
      </c>
      <c r="N68" s="195" t="str">
        <f>IF(AND(N$3&gt;=$D68,N$3&lt;=$E68),IF((N$3-$D68+1)*VLOOKUP($A68,presupuesto!$B:$Q,16,FALSE)&gt;=VLOOKUP($A68,informe!$A:$J,9,FALSE),"cg","c"),"n")</f>
        <v>n</v>
      </c>
      <c r="O68" s="195" t="str">
        <f>IF(AND(O$3&gt;=$D68,O$3&lt;=$E68),IF((O$3-$D68+1)*VLOOKUP($A68,presupuesto!$B:$Q,16,FALSE)&gt;=VLOOKUP($A68,informe!$A:$J,9,FALSE),"cg","c"),"n")</f>
        <v>n</v>
      </c>
      <c r="P68" s="195" t="str">
        <f>IF(AND(P$3&gt;=$D68,P$3&lt;=$E68),IF((P$3-$D68+1)*VLOOKUP($A68,presupuesto!$B:$Q,16,FALSE)&gt;=VLOOKUP($A68,informe!$A:$J,9,FALSE),"cg","c"),"n")</f>
        <v>n</v>
      </c>
      <c r="Q68" s="195" t="str">
        <f>IF(AND(Q$3&gt;=$D68,Q$3&lt;=$E68),IF((Q$3-$D68+1)*VLOOKUP($A68,presupuesto!$B:$Q,16,FALSE)&gt;=VLOOKUP($A68,informe!$A:$J,9,FALSE),"cg","c"),"n")</f>
        <v>n</v>
      </c>
      <c r="R68" s="195" t="str">
        <f>IF(AND(R$3&gt;=$D68,R$3&lt;=$E68),IF((R$3-$D68+1)*VLOOKUP($A68,presupuesto!$B:$Q,16,FALSE)&gt;=VLOOKUP($A68,informe!$A:$J,9,FALSE),"cg","c"),"n")</f>
        <v>n</v>
      </c>
      <c r="S68" s="195" t="str">
        <f>IF(AND(S$3&gt;=$D68,S$3&lt;=$E68),IF((S$3-$D68+1)*VLOOKUP($A68,presupuesto!$B:$Q,16,FALSE)&gt;=VLOOKUP($A68,informe!$A:$J,9,FALSE),"cg","c"),"n")</f>
        <v>n</v>
      </c>
      <c r="T68" s="195" t="str">
        <f>IF(AND(T$3&gt;=$D68,T$3&lt;=$E68),IF((T$3-$D68+1)*VLOOKUP($A68,presupuesto!$B:$Q,16,FALSE)&gt;=VLOOKUP($A68,informe!$A:$J,9,FALSE),"cg","c"),"n")</f>
        <v>n</v>
      </c>
      <c r="U68" s="195" t="str">
        <f>IF(AND(U$3&gt;=$D68,U$3&lt;=$E68),IF((U$3-$D68+1)*VLOOKUP($A68,presupuesto!$B:$Q,16,FALSE)&gt;=VLOOKUP($A68,informe!$A:$J,9,FALSE),"cg","c"),"n")</f>
        <v>n</v>
      </c>
      <c r="V68" s="195" t="str">
        <f>IF(AND(V$3&gt;=$D68,V$3&lt;=$E68),IF((V$3-$D68+1)*VLOOKUP($A68,presupuesto!$B:$Q,16,FALSE)&gt;=VLOOKUP($A68,informe!$A:$J,9,FALSE),"cg","c"),"n")</f>
        <v>n</v>
      </c>
      <c r="W68" s="195" t="str">
        <f>IF(AND(W$3&gt;=$D68,W$3&lt;=$E68),IF((W$3-$D68+1)*VLOOKUP($A68,presupuesto!$B:$Q,16,FALSE)&gt;=VLOOKUP($A68,informe!$A:$J,9,FALSE),"cg","c"),"n")</f>
        <v>n</v>
      </c>
      <c r="X68" s="195" t="str">
        <f>IF(AND(X$3&gt;=$D68,X$3&lt;=$E68),IF((X$3-$D68+1)*VLOOKUP($A68,presupuesto!$B:$Q,16,FALSE)&gt;=VLOOKUP($A68,informe!$A:$J,9,FALSE),"cg","c"),"n")</f>
        <v>n</v>
      </c>
      <c r="Y68" s="195" t="str">
        <f>IF(AND(Y$3&gt;=$D68,Y$3&lt;=$E68),IF((Y$3-$D68+1)*VLOOKUP($A68,presupuesto!$B:$Q,16,FALSE)&gt;=VLOOKUP($A68,informe!$A:$J,9,FALSE),"cg","c"),"n")</f>
        <v>n</v>
      </c>
      <c r="Z68" s="195" t="str">
        <f>IF(AND(Z$3&gt;=$D68,Z$3&lt;=$E68),IF((Z$3-$D68+1)*VLOOKUP($A68,presupuesto!$B:$Q,16,FALSE)&gt;=VLOOKUP($A68,informe!$A:$J,9,FALSE),"cg","c"),"n")</f>
        <v>n</v>
      </c>
      <c r="AA68" s="195" t="str">
        <f>IF(AND(AA$3&gt;=$D68,AA$3&lt;=$E68),IF((AA$3-$D68+1)*VLOOKUP($A68,presupuesto!$B:$Q,16,FALSE)&gt;=VLOOKUP($A68,informe!$A:$J,9,FALSE),"cg","c"),"n")</f>
        <v>n</v>
      </c>
      <c r="AB68" s="195" t="str">
        <f>IF(AND(AB$3&gt;=$D68,AB$3&lt;=$E68),IF((AB$3-$D68+1)*VLOOKUP($A68,presupuesto!$B:$Q,16,FALSE)&gt;=VLOOKUP($A68,informe!$A:$J,9,FALSE),"cg","c"),"n")</f>
        <v>n</v>
      </c>
      <c r="AC68" s="195" t="str">
        <f>IF(AND(AC$3&gt;=$D68,AC$3&lt;=$E68),IF((AC$3-$D68+1)*VLOOKUP($A68,presupuesto!$B:$Q,16,FALSE)&gt;=VLOOKUP($A68,informe!$A:$J,9,FALSE),"cg","c"),"n")</f>
        <v>n</v>
      </c>
      <c r="AD68" s="195" t="str">
        <f>IF(AND(AD$3&gt;=$D68,AD$3&lt;=$E68),IF((AD$3-$D68+1)*VLOOKUP($A68,presupuesto!$B:$Q,16,FALSE)&gt;=VLOOKUP($A68,informe!$A:$J,9,FALSE),"cg","c"),"n")</f>
        <v>n</v>
      </c>
      <c r="AE68" s="195" t="str">
        <f>IF(AND(AE$3&gt;=$D68,AE$3&lt;=$E68),IF((AE$3-$D68+1)*VLOOKUP($A68,presupuesto!$B:$Q,16,FALSE)&gt;=VLOOKUP($A68,informe!$A:$J,9,FALSE),"cg","c"),"n")</f>
        <v>n</v>
      </c>
      <c r="AF68" s="195" t="str">
        <f>IF(AND(AF$3&gt;=$D68,AF$3&lt;=$E68),IF((AF$3-$D68+1)*VLOOKUP($A68,presupuesto!$B:$Q,16,FALSE)&gt;=VLOOKUP($A68,informe!$A:$J,9,FALSE),"cg","c"),"n")</f>
        <v>n</v>
      </c>
      <c r="AG68" s="195" t="str">
        <f>IF(AND(AG$3&gt;=$D68,AG$3&lt;=$E68),IF((AG$3-$D68+1)*VLOOKUP($A68,presupuesto!$B:$Q,16,FALSE)&gt;=VLOOKUP($A68,informe!$A:$J,9,FALSE),"cg","c"),"n")</f>
        <v>n</v>
      </c>
      <c r="AH68" s="195" t="str">
        <f>IF(AND(AH$3&gt;=$D68,AH$3&lt;=$E68),IF((AH$3-$D68+1)*VLOOKUP($A68,presupuesto!$B:$Q,16,FALSE)&gt;=VLOOKUP($A68,informe!$A:$J,9,FALSE),"cg","c"),"n")</f>
        <v>n</v>
      </c>
      <c r="AI68" s="195" t="str">
        <f>IF(AND(AI$3&gt;=$D68,AI$3&lt;=$E68),IF((AI$3-$D68+1)*VLOOKUP($A68,presupuesto!$B:$Q,16,FALSE)&gt;=VLOOKUP($A68,informe!$A:$J,9,FALSE),"cg","c"),"n")</f>
        <v>n</v>
      </c>
      <c r="AJ68" s="195" t="str">
        <f>IF(AND(AJ$3&gt;=$D68,AJ$3&lt;=$E68),IF((AJ$3-$D68+1)*VLOOKUP($A68,presupuesto!$B:$Q,16,FALSE)&gt;=VLOOKUP($A68,informe!$A:$J,9,FALSE),"cg","c"),"n")</f>
        <v>n</v>
      </c>
      <c r="AK68" s="196" t="str">
        <f>IF(AND(AK$3&gt;=$D68,AK$3&lt;=$E68),IF((AK$3-$D68+1)*VLOOKUP($A68,presupuesto!$B:$Q,16,FALSE)&gt;=VLOOKUP($A68,informe!$A:$J,9,FALSE),"cg","c"),"n")</f>
        <v>n</v>
      </c>
    </row>
    <row r="69" spans="1:37" s="1" customFormat="1" ht="15" customHeight="1" x14ac:dyDescent="0.25">
      <c r="A69" s="193">
        <f>presupuesto!B68</f>
        <v>39</v>
      </c>
      <c r="B69" s="182" t="str">
        <f>presupuesto!C68</f>
        <v xml:space="preserve">            Piezas especiales de Acero</v>
      </c>
      <c r="C69" s="173" t="str">
        <f>presupuesto!G68</f>
        <v>3 días</v>
      </c>
      <c r="D69" s="176">
        <f>presupuesto!N68</f>
        <v>45780</v>
      </c>
      <c r="E69" s="176">
        <f>presupuesto!O68</f>
        <v>45782</v>
      </c>
      <c r="F69" s="194" t="str">
        <f>IF(AK69="n",CONCATENATE(" - "),IF(AK69="cg",CONCATENATE(" - "),CONCATENATE(ROUND(IFERROR(VLOOKUP(A69,informe!A:J,9,FALSE)/VLOOKUP(A69,informe!A:J,5,FALSE),0)*100,2),"% ")))</f>
        <v xml:space="preserve"> - </v>
      </c>
      <c r="G69" s="195" t="str">
        <f>IF(AND(G$3&gt;=$D69,G$3&lt;=$E69),IF((G$3-$D69+1)*VLOOKUP($A69,presupuesto!$B:$Q,16,FALSE)&gt;=VLOOKUP($A69,informe!$A:$J,9,FALSE),"cg","c"),"n")</f>
        <v>n</v>
      </c>
      <c r="H69" s="195" t="str">
        <f>IF(AND(H$3&gt;=$D69,H$3&lt;=$E69),IF((H$3-$D69+1)*VLOOKUP($A69,presupuesto!$B:$Q,16,FALSE)&gt;=VLOOKUP($A69,informe!$A:$J,9,FALSE),"cg","c"),"n")</f>
        <v>n</v>
      </c>
      <c r="I69" s="195" t="str">
        <f>IF(AND(I$3&gt;=$D69,I$3&lt;=$E69),IF((I$3-$D69+1)*VLOOKUP($A69,presupuesto!$B:$Q,16,FALSE)&gt;=VLOOKUP($A69,informe!$A:$J,9,FALSE),"cg","c"),"n")</f>
        <v>n</v>
      </c>
      <c r="J69" s="195" t="str">
        <f>IF(AND(J$3&gt;=$D69,J$3&lt;=$E69),IF((J$3-$D69+1)*VLOOKUP($A69,presupuesto!$B:$Q,16,FALSE)&gt;=VLOOKUP($A69,informe!$A:$J,9,FALSE),"cg","c"),"n")</f>
        <v>n</v>
      </c>
      <c r="K69" s="195" t="str">
        <f>IF(AND(K$3&gt;=$D69,K$3&lt;=$E69),IF((K$3-$D69+1)*VLOOKUP($A69,presupuesto!$B:$Q,16,FALSE)&gt;=VLOOKUP($A69,informe!$A:$J,9,FALSE),"cg","c"),"n")</f>
        <v>n</v>
      </c>
      <c r="L69" s="195" t="str">
        <f>IF(AND(L$3&gt;=$D69,L$3&lt;=$E69),IF((L$3-$D69+1)*VLOOKUP($A69,presupuesto!$B:$Q,16,FALSE)&gt;=VLOOKUP($A69,informe!$A:$J,9,FALSE),"cg","c"),"n")</f>
        <v>n</v>
      </c>
      <c r="M69" s="195" t="str">
        <f>IF(AND(M$3&gt;=$D69,M$3&lt;=$E69),IF((M$3-$D69+1)*VLOOKUP($A69,presupuesto!$B:$Q,16,FALSE)&gt;=VLOOKUP($A69,informe!$A:$J,9,FALSE),"cg","c"),"n")</f>
        <v>n</v>
      </c>
      <c r="N69" s="195" t="str">
        <f>IF(AND(N$3&gt;=$D69,N$3&lt;=$E69),IF((N$3-$D69+1)*VLOOKUP($A69,presupuesto!$B:$Q,16,FALSE)&gt;=VLOOKUP($A69,informe!$A:$J,9,FALSE),"cg","c"),"n")</f>
        <v>n</v>
      </c>
      <c r="O69" s="195" t="str">
        <f>IF(AND(O$3&gt;=$D69,O$3&lt;=$E69),IF((O$3-$D69+1)*VLOOKUP($A69,presupuesto!$B:$Q,16,FALSE)&gt;=VLOOKUP($A69,informe!$A:$J,9,FALSE),"cg","c"),"n")</f>
        <v>n</v>
      </c>
      <c r="P69" s="195" t="str">
        <f>IF(AND(P$3&gt;=$D69,P$3&lt;=$E69),IF((P$3-$D69+1)*VLOOKUP($A69,presupuesto!$B:$Q,16,FALSE)&gt;=VLOOKUP($A69,informe!$A:$J,9,FALSE),"cg","c"),"n")</f>
        <v>n</v>
      </c>
      <c r="Q69" s="195" t="str">
        <f>IF(AND(Q$3&gt;=$D69,Q$3&lt;=$E69),IF((Q$3-$D69+1)*VLOOKUP($A69,presupuesto!$B:$Q,16,FALSE)&gt;=VLOOKUP($A69,informe!$A:$J,9,FALSE),"cg","c"),"n")</f>
        <v>n</v>
      </c>
      <c r="R69" s="195" t="str">
        <f>IF(AND(R$3&gt;=$D69,R$3&lt;=$E69),IF((R$3-$D69+1)*VLOOKUP($A69,presupuesto!$B:$Q,16,FALSE)&gt;=VLOOKUP($A69,informe!$A:$J,9,FALSE),"cg","c"),"n")</f>
        <v>n</v>
      </c>
      <c r="S69" s="195" t="str">
        <f>IF(AND(S$3&gt;=$D69,S$3&lt;=$E69),IF((S$3-$D69+1)*VLOOKUP($A69,presupuesto!$B:$Q,16,FALSE)&gt;=VLOOKUP($A69,informe!$A:$J,9,FALSE),"cg","c"),"n")</f>
        <v>n</v>
      </c>
      <c r="T69" s="195" t="str">
        <f>IF(AND(T$3&gt;=$D69,T$3&lt;=$E69),IF((T$3-$D69+1)*VLOOKUP($A69,presupuesto!$B:$Q,16,FALSE)&gt;=VLOOKUP($A69,informe!$A:$J,9,FALSE),"cg","c"),"n")</f>
        <v>n</v>
      </c>
      <c r="U69" s="195" t="str">
        <f>IF(AND(U$3&gt;=$D69,U$3&lt;=$E69),IF((U$3-$D69+1)*VLOOKUP($A69,presupuesto!$B:$Q,16,FALSE)&gt;=VLOOKUP($A69,informe!$A:$J,9,FALSE),"cg","c"),"n")</f>
        <v>n</v>
      </c>
      <c r="V69" s="195" t="str">
        <f>IF(AND(V$3&gt;=$D69,V$3&lt;=$E69),IF((V$3-$D69+1)*VLOOKUP($A69,presupuesto!$B:$Q,16,FALSE)&gt;=VLOOKUP($A69,informe!$A:$J,9,FALSE),"cg","c"),"n")</f>
        <v>n</v>
      </c>
      <c r="W69" s="195" t="str">
        <f>IF(AND(W$3&gt;=$D69,W$3&lt;=$E69),IF((W$3-$D69+1)*VLOOKUP($A69,presupuesto!$B:$Q,16,FALSE)&gt;=VLOOKUP($A69,informe!$A:$J,9,FALSE),"cg","c"),"n")</f>
        <v>n</v>
      </c>
      <c r="X69" s="195" t="str">
        <f>IF(AND(X$3&gt;=$D69,X$3&lt;=$E69),IF((X$3-$D69+1)*VLOOKUP($A69,presupuesto!$B:$Q,16,FALSE)&gt;=VLOOKUP($A69,informe!$A:$J,9,FALSE),"cg","c"),"n")</f>
        <v>n</v>
      </c>
      <c r="Y69" s="195" t="str">
        <f>IF(AND(Y$3&gt;=$D69,Y$3&lt;=$E69),IF((Y$3-$D69+1)*VLOOKUP($A69,presupuesto!$B:$Q,16,FALSE)&gt;=VLOOKUP($A69,informe!$A:$J,9,FALSE),"cg","c"),"n")</f>
        <v>n</v>
      </c>
      <c r="Z69" s="195" t="str">
        <f>IF(AND(Z$3&gt;=$D69,Z$3&lt;=$E69),IF((Z$3-$D69+1)*VLOOKUP($A69,presupuesto!$B:$Q,16,FALSE)&gt;=VLOOKUP($A69,informe!$A:$J,9,FALSE),"cg","c"),"n")</f>
        <v>n</v>
      </c>
      <c r="AA69" s="195" t="str">
        <f>IF(AND(AA$3&gt;=$D69,AA$3&lt;=$E69),IF((AA$3-$D69+1)*VLOOKUP($A69,presupuesto!$B:$Q,16,FALSE)&gt;=VLOOKUP($A69,informe!$A:$J,9,FALSE),"cg","c"),"n")</f>
        <v>n</v>
      </c>
      <c r="AB69" s="195" t="str">
        <f>IF(AND(AB$3&gt;=$D69,AB$3&lt;=$E69),IF((AB$3-$D69+1)*VLOOKUP($A69,presupuesto!$B:$Q,16,FALSE)&gt;=VLOOKUP($A69,informe!$A:$J,9,FALSE),"cg","c"),"n")</f>
        <v>n</v>
      </c>
      <c r="AC69" s="195" t="str">
        <f>IF(AND(AC$3&gt;=$D69,AC$3&lt;=$E69),IF((AC$3-$D69+1)*VLOOKUP($A69,presupuesto!$B:$Q,16,FALSE)&gt;=VLOOKUP($A69,informe!$A:$J,9,FALSE),"cg","c"),"n")</f>
        <v>n</v>
      </c>
      <c r="AD69" s="195" t="str">
        <f>IF(AND(AD$3&gt;=$D69,AD$3&lt;=$E69),IF((AD$3-$D69+1)*VLOOKUP($A69,presupuesto!$B:$Q,16,FALSE)&gt;=VLOOKUP($A69,informe!$A:$J,9,FALSE),"cg","c"),"n")</f>
        <v>n</v>
      </c>
      <c r="AE69" s="195" t="str">
        <f>IF(AND(AE$3&gt;=$D69,AE$3&lt;=$E69),IF((AE$3-$D69+1)*VLOOKUP($A69,presupuesto!$B:$Q,16,FALSE)&gt;=VLOOKUP($A69,informe!$A:$J,9,FALSE),"cg","c"),"n")</f>
        <v>n</v>
      </c>
      <c r="AF69" s="195" t="str">
        <f>IF(AND(AF$3&gt;=$D69,AF$3&lt;=$E69),IF((AF$3-$D69+1)*VLOOKUP($A69,presupuesto!$B:$Q,16,FALSE)&gt;=VLOOKUP($A69,informe!$A:$J,9,FALSE),"cg","c"),"n")</f>
        <v>n</v>
      </c>
      <c r="AG69" s="195" t="str">
        <f>IF(AND(AG$3&gt;=$D69,AG$3&lt;=$E69),IF((AG$3-$D69+1)*VLOOKUP($A69,presupuesto!$B:$Q,16,FALSE)&gt;=VLOOKUP($A69,informe!$A:$J,9,FALSE),"cg","c"),"n")</f>
        <v>n</v>
      </c>
      <c r="AH69" s="195" t="str">
        <f>IF(AND(AH$3&gt;=$D69,AH$3&lt;=$E69),IF((AH$3-$D69+1)*VLOOKUP($A69,presupuesto!$B:$Q,16,FALSE)&gt;=VLOOKUP($A69,informe!$A:$J,9,FALSE),"cg","c"),"n")</f>
        <v>n</v>
      </c>
      <c r="AI69" s="195" t="str">
        <f>IF(AND(AI$3&gt;=$D69,AI$3&lt;=$E69),IF((AI$3-$D69+1)*VLOOKUP($A69,presupuesto!$B:$Q,16,FALSE)&gt;=VLOOKUP($A69,informe!$A:$J,9,FALSE),"cg","c"),"n")</f>
        <v>n</v>
      </c>
      <c r="AJ69" s="195" t="str">
        <f>IF(AND(AJ$3&gt;=$D69,AJ$3&lt;=$E69),IF((AJ$3-$D69+1)*VLOOKUP($A69,presupuesto!$B:$Q,16,FALSE)&gt;=VLOOKUP($A69,informe!$A:$J,9,FALSE),"cg","c"),"n")</f>
        <v>n</v>
      </c>
      <c r="AK69" s="196" t="str">
        <f>IF(AND(AK$3&gt;=$D69,AK$3&lt;=$E69),IF((AK$3-$D69+1)*VLOOKUP($A69,presupuesto!$B:$Q,16,FALSE)&gt;=VLOOKUP($A69,informe!$A:$J,9,FALSE),"cg","c"),"n")</f>
        <v>n</v>
      </c>
    </row>
    <row r="70" spans="1:37" s="1" customFormat="1" ht="15" customHeight="1" x14ac:dyDescent="0.25">
      <c r="A70" s="197">
        <f>presupuesto!B69</f>
        <v>40</v>
      </c>
      <c r="B70" s="182" t="str">
        <f>presupuesto!C69</f>
        <v xml:space="preserve">            Piezas especiales de Bronce</v>
      </c>
      <c r="C70" s="174" t="str">
        <f>presupuesto!G69</f>
        <v>1 día</v>
      </c>
      <c r="D70" s="177">
        <f>presupuesto!N69</f>
        <v>45779</v>
      </c>
      <c r="E70" s="177">
        <f>presupuesto!O69</f>
        <v>45779</v>
      </c>
      <c r="F70" s="194" t="str">
        <f>IF(AK70="n",CONCATENATE(" - "),IF(AK70="cg",CONCATENATE(" - "),CONCATENATE(ROUND(IFERROR(VLOOKUP(A70,informe!A:J,9,FALSE)/VLOOKUP(A70,informe!A:J,5,FALSE),0)*100,2),"% ")))</f>
        <v xml:space="preserve"> - </v>
      </c>
      <c r="G70" s="195" t="str">
        <f>IF(AND(G$3&gt;=$D70,G$3&lt;=$E70),IF((G$3-$D70+1)*VLOOKUP($A70,presupuesto!$B:$Q,16,FALSE)&gt;=VLOOKUP($A70,informe!$A:$J,9,FALSE),"cg","c"),"n")</f>
        <v>n</v>
      </c>
      <c r="H70" s="195" t="str">
        <f>IF(AND(H$3&gt;=$D70,H$3&lt;=$E70),IF((H$3-$D70+1)*VLOOKUP($A70,presupuesto!$B:$Q,16,FALSE)&gt;=VLOOKUP($A70,informe!$A:$J,9,FALSE),"cg","c"),"n")</f>
        <v>n</v>
      </c>
      <c r="I70" s="195" t="str">
        <f>IF(AND(I$3&gt;=$D70,I$3&lt;=$E70),IF((I$3-$D70+1)*VLOOKUP($A70,presupuesto!$B:$Q,16,FALSE)&gt;=VLOOKUP($A70,informe!$A:$J,9,FALSE),"cg","c"),"n")</f>
        <v>n</v>
      </c>
      <c r="J70" s="195" t="str">
        <f>IF(AND(J$3&gt;=$D70,J$3&lt;=$E70),IF((J$3-$D70+1)*VLOOKUP($A70,presupuesto!$B:$Q,16,FALSE)&gt;=VLOOKUP($A70,informe!$A:$J,9,FALSE),"cg","c"),"n")</f>
        <v>n</v>
      </c>
      <c r="K70" s="195" t="str">
        <f>IF(AND(K$3&gt;=$D70,K$3&lt;=$E70),IF((K$3-$D70+1)*VLOOKUP($A70,presupuesto!$B:$Q,16,FALSE)&gt;=VLOOKUP($A70,informe!$A:$J,9,FALSE),"cg","c"),"n")</f>
        <v>n</v>
      </c>
      <c r="L70" s="195" t="str">
        <f>IF(AND(L$3&gt;=$D70,L$3&lt;=$E70),IF((L$3-$D70+1)*VLOOKUP($A70,presupuesto!$B:$Q,16,FALSE)&gt;=VLOOKUP($A70,informe!$A:$J,9,FALSE),"cg","c"),"n")</f>
        <v>n</v>
      </c>
      <c r="M70" s="195" t="str">
        <f>IF(AND(M$3&gt;=$D70,M$3&lt;=$E70),IF((M$3-$D70+1)*VLOOKUP($A70,presupuesto!$B:$Q,16,FALSE)&gt;=VLOOKUP($A70,informe!$A:$J,9,FALSE),"cg","c"),"n")</f>
        <v>n</v>
      </c>
      <c r="N70" s="195" t="str">
        <f>IF(AND(N$3&gt;=$D70,N$3&lt;=$E70),IF((N$3-$D70+1)*VLOOKUP($A70,presupuesto!$B:$Q,16,FALSE)&gt;=VLOOKUP($A70,informe!$A:$J,9,FALSE),"cg","c"),"n")</f>
        <v>n</v>
      </c>
      <c r="O70" s="195" t="str">
        <f>IF(AND(O$3&gt;=$D70,O$3&lt;=$E70),IF((O$3-$D70+1)*VLOOKUP($A70,presupuesto!$B:$Q,16,FALSE)&gt;=VLOOKUP($A70,informe!$A:$J,9,FALSE),"cg","c"),"n")</f>
        <v>n</v>
      </c>
      <c r="P70" s="195" t="str">
        <f>IF(AND(P$3&gt;=$D70,P$3&lt;=$E70),IF((P$3-$D70+1)*VLOOKUP($A70,presupuesto!$B:$Q,16,FALSE)&gt;=VLOOKUP($A70,informe!$A:$J,9,FALSE),"cg","c"),"n")</f>
        <v>n</v>
      </c>
      <c r="Q70" s="195" t="str">
        <f>IF(AND(Q$3&gt;=$D70,Q$3&lt;=$E70),IF((Q$3-$D70+1)*VLOOKUP($A70,presupuesto!$B:$Q,16,FALSE)&gt;=VLOOKUP($A70,informe!$A:$J,9,FALSE),"cg","c"),"n")</f>
        <v>n</v>
      </c>
      <c r="R70" s="195" t="str">
        <f>IF(AND(R$3&gt;=$D70,R$3&lt;=$E70),IF((R$3-$D70+1)*VLOOKUP($A70,presupuesto!$B:$Q,16,FALSE)&gt;=VLOOKUP($A70,informe!$A:$J,9,FALSE),"cg","c"),"n")</f>
        <v>n</v>
      </c>
      <c r="S70" s="195" t="str">
        <f>IF(AND(S$3&gt;=$D70,S$3&lt;=$E70),IF((S$3-$D70+1)*VLOOKUP($A70,presupuesto!$B:$Q,16,FALSE)&gt;=VLOOKUP($A70,informe!$A:$J,9,FALSE),"cg","c"),"n")</f>
        <v>n</v>
      </c>
      <c r="T70" s="195" t="str">
        <f>IF(AND(T$3&gt;=$D70,T$3&lt;=$E70),IF((T$3-$D70+1)*VLOOKUP($A70,presupuesto!$B:$Q,16,FALSE)&gt;=VLOOKUP($A70,informe!$A:$J,9,FALSE),"cg","c"),"n")</f>
        <v>n</v>
      </c>
      <c r="U70" s="195" t="str">
        <f>IF(AND(U$3&gt;=$D70,U$3&lt;=$E70),IF((U$3-$D70+1)*VLOOKUP($A70,presupuesto!$B:$Q,16,FALSE)&gt;=VLOOKUP($A70,informe!$A:$J,9,FALSE),"cg","c"),"n")</f>
        <v>n</v>
      </c>
      <c r="V70" s="195" t="str">
        <f>IF(AND(V$3&gt;=$D70,V$3&lt;=$E70),IF((V$3-$D70+1)*VLOOKUP($A70,presupuesto!$B:$Q,16,FALSE)&gt;=VLOOKUP($A70,informe!$A:$J,9,FALSE),"cg","c"),"n")</f>
        <v>n</v>
      </c>
      <c r="W70" s="195" t="str">
        <f>IF(AND(W$3&gt;=$D70,W$3&lt;=$E70),IF((W$3-$D70+1)*VLOOKUP($A70,presupuesto!$B:$Q,16,FALSE)&gt;=VLOOKUP($A70,informe!$A:$J,9,FALSE),"cg","c"),"n")</f>
        <v>n</v>
      </c>
      <c r="X70" s="195" t="str">
        <f>IF(AND(X$3&gt;=$D70,X$3&lt;=$E70),IF((X$3-$D70+1)*VLOOKUP($A70,presupuesto!$B:$Q,16,FALSE)&gt;=VLOOKUP($A70,informe!$A:$J,9,FALSE),"cg","c"),"n")</f>
        <v>n</v>
      </c>
      <c r="Y70" s="195" t="str">
        <f>IF(AND(Y$3&gt;=$D70,Y$3&lt;=$E70),IF((Y$3-$D70+1)*VLOOKUP($A70,presupuesto!$B:$Q,16,FALSE)&gt;=VLOOKUP($A70,informe!$A:$J,9,FALSE),"cg","c"),"n")</f>
        <v>n</v>
      </c>
      <c r="Z70" s="195" t="str">
        <f>IF(AND(Z$3&gt;=$D70,Z$3&lt;=$E70),IF((Z$3-$D70+1)*VLOOKUP($A70,presupuesto!$B:$Q,16,FALSE)&gt;=VLOOKUP($A70,informe!$A:$J,9,FALSE),"cg","c"),"n")</f>
        <v>n</v>
      </c>
      <c r="AA70" s="195" t="str">
        <f>IF(AND(AA$3&gt;=$D70,AA$3&lt;=$E70),IF((AA$3-$D70+1)*VLOOKUP($A70,presupuesto!$B:$Q,16,FALSE)&gt;=VLOOKUP($A70,informe!$A:$J,9,FALSE),"cg","c"),"n")</f>
        <v>n</v>
      </c>
      <c r="AB70" s="195" t="str">
        <f>IF(AND(AB$3&gt;=$D70,AB$3&lt;=$E70),IF((AB$3-$D70+1)*VLOOKUP($A70,presupuesto!$B:$Q,16,FALSE)&gt;=VLOOKUP($A70,informe!$A:$J,9,FALSE),"cg","c"),"n")</f>
        <v>n</v>
      </c>
      <c r="AC70" s="195" t="str">
        <f>IF(AND(AC$3&gt;=$D70,AC$3&lt;=$E70),IF((AC$3-$D70+1)*VLOOKUP($A70,presupuesto!$B:$Q,16,FALSE)&gt;=VLOOKUP($A70,informe!$A:$J,9,FALSE),"cg","c"),"n")</f>
        <v>n</v>
      </c>
      <c r="AD70" s="195" t="str">
        <f>IF(AND(AD$3&gt;=$D70,AD$3&lt;=$E70),IF((AD$3-$D70+1)*VLOOKUP($A70,presupuesto!$B:$Q,16,FALSE)&gt;=VLOOKUP($A70,informe!$A:$J,9,FALSE),"cg","c"),"n")</f>
        <v>n</v>
      </c>
      <c r="AE70" s="195" t="str">
        <f>IF(AND(AE$3&gt;=$D70,AE$3&lt;=$E70),IF((AE$3-$D70+1)*VLOOKUP($A70,presupuesto!$B:$Q,16,FALSE)&gt;=VLOOKUP($A70,informe!$A:$J,9,FALSE),"cg","c"),"n")</f>
        <v>n</v>
      </c>
      <c r="AF70" s="195" t="str">
        <f>IF(AND(AF$3&gt;=$D70,AF$3&lt;=$E70),IF((AF$3-$D70+1)*VLOOKUP($A70,presupuesto!$B:$Q,16,FALSE)&gt;=VLOOKUP($A70,informe!$A:$J,9,FALSE),"cg","c"),"n")</f>
        <v>n</v>
      </c>
      <c r="AG70" s="195" t="str">
        <f>IF(AND(AG$3&gt;=$D70,AG$3&lt;=$E70),IF((AG$3-$D70+1)*VLOOKUP($A70,presupuesto!$B:$Q,16,FALSE)&gt;=VLOOKUP($A70,informe!$A:$J,9,FALSE),"cg","c"),"n")</f>
        <v>n</v>
      </c>
      <c r="AH70" s="195" t="str">
        <f>IF(AND(AH$3&gt;=$D70,AH$3&lt;=$E70),IF((AH$3-$D70+1)*VLOOKUP($A70,presupuesto!$B:$Q,16,FALSE)&gt;=VLOOKUP($A70,informe!$A:$J,9,FALSE),"cg","c"),"n")</f>
        <v>n</v>
      </c>
      <c r="AI70" s="195" t="str">
        <f>IF(AND(AI$3&gt;=$D70,AI$3&lt;=$E70),IF((AI$3-$D70+1)*VLOOKUP($A70,presupuesto!$B:$Q,16,FALSE)&gt;=VLOOKUP($A70,informe!$A:$J,9,FALSE),"cg","c"),"n")</f>
        <v>n</v>
      </c>
      <c r="AJ70" s="195" t="str">
        <f>IF(AND(AJ$3&gt;=$D70,AJ$3&lt;=$E70),IF((AJ$3-$D70+1)*VLOOKUP($A70,presupuesto!$B:$Q,16,FALSE)&gt;=VLOOKUP($A70,informe!$A:$J,9,FALSE),"cg","c"),"n")</f>
        <v>n</v>
      </c>
      <c r="AK70" s="196" t="str">
        <f>IF(AND(AK$3&gt;=$D70,AK$3&lt;=$E70),IF((AK$3-$D70+1)*VLOOKUP($A70,presupuesto!$B:$Q,16,FALSE)&gt;=VLOOKUP($A70,informe!$A:$J,9,FALSE),"cg","c"),"n")</f>
        <v>n</v>
      </c>
    </row>
    <row r="71" spans="1:37" s="1" customFormat="1" ht="15" customHeight="1" x14ac:dyDescent="0.25">
      <c r="A71" s="197">
        <f>presupuesto!B70</f>
        <v>41</v>
      </c>
      <c r="B71" s="182" t="str">
        <f>presupuesto!C70</f>
        <v xml:space="preserve">            Piezas especiales de Conduit</v>
      </c>
      <c r="C71" s="174" t="str">
        <f>presupuesto!G70</f>
        <v>10 días</v>
      </c>
      <c r="D71" s="177">
        <f>presupuesto!N70</f>
        <v>45770</v>
      </c>
      <c r="E71" s="177">
        <f>presupuesto!O70</f>
        <v>45779</v>
      </c>
      <c r="F71" s="194" t="str">
        <f>IF(AK71="n",CONCATENATE(" - "),IF(AK71="cg",CONCATENATE(" - "),CONCATENATE(ROUND(IFERROR(VLOOKUP(A71,informe!A:J,9,FALSE)/VLOOKUP(A71,informe!A:J,5,FALSE),0)*100,2),"% ")))</f>
        <v xml:space="preserve"> - </v>
      </c>
      <c r="G71" s="195" t="str">
        <f>IF(AND(G$3&gt;=$D71,G$3&lt;=$E71),IF((G$3-$D71+1)*VLOOKUP($A71,presupuesto!$B:$Q,16,FALSE)&gt;=VLOOKUP($A71,informe!$A:$J,9,FALSE),"cg","c"),"n")</f>
        <v>n</v>
      </c>
      <c r="H71" s="195" t="str">
        <f>IF(AND(H$3&gt;=$D71,H$3&lt;=$E71),IF((H$3-$D71+1)*VLOOKUP($A71,presupuesto!$B:$Q,16,FALSE)&gt;=VLOOKUP($A71,informe!$A:$J,9,FALSE),"cg","c"),"n")</f>
        <v>n</v>
      </c>
      <c r="I71" s="195" t="str">
        <f>IF(AND(I$3&gt;=$D71,I$3&lt;=$E71),IF((I$3-$D71+1)*VLOOKUP($A71,presupuesto!$B:$Q,16,FALSE)&gt;=VLOOKUP($A71,informe!$A:$J,9,FALSE),"cg","c"),"n")</f>
        <v>n</v>
      </c>
      <c r="J71" s="195" t="str">
        <f>IF(AND(J$3&gt;=$D71,J$3&lt;=$E71),IF((J$3-$D71+1)*VLOOKUP($A71,presupuesto!$B:$Q,16,FALSE)&gt;=VLOOKUP($A71,informe!$A:$J,9,FALSE),"cg","c"),"n")</f>
        <v>n</v>
      </c>
      <c r="K71" s="195" t="str">
        <f>IF(AND(K$3&gt;=$D71,K$3&lt;=$E71),IF((K$3-$D71+1)*VLOOKUP($A71,presupuesto!$B:$Q,16,FALSE)&gt;=VLOOKUP($A71,informe!$A:$J,9,FALSE),"cg","c"),"n")</f>
        <v>n</v>
      </c>
      <c r="L71" s="195" t="str">
        <f>IF(AND(L$3&gt;=$D71,L$3&lt;=$E71),IF((L$3-$D71+1)*VLOOKUP($A71,presupuesto!$B:$Q,16,FALSE)&gt;=VLOOKUP($A71,informe!$A:$J,9,FALSE),"cg","c"),"n")</f>
        <v>n</v>
      </c>
      <c r="M71" s="195" t="str">
        <f>IF(AND(M$3&gt;=$D71,M$3&lt;=$E71),IF((M$3-$D71+1)*VLOOKUP($A71,presupuesto!$B:$Q,16,FALSE)&gt;=VLOOKUP($A71,informe!$A:$J,9,FALSE),"cg","c"),"n")</f>
        <v>n</v>
      </c>
      <c r="N71" s="195" t="str">
        <f>IF(AND(N$3&gt;=$D71,N$3&lt;=$E71),IF((N$3-$D71+1)*VLOOKUP($A71,presupuesto!$B:$Q,16,FALSE)&gt;=VLOOKUP($A71,informe!$A:$J,9,FALSE),"cg","c"),"n")</f>
        <v>n</v>
      </c>
      <c r="O71" s="195" t="str">
        <f>IF(AND(O$3&gt;=$D71,O$3&lt;=$E71),IF((O$3-$D71+1)*VLOOKUP($A71,presupuesto!$B:$Q,16,FALSE)&gt;=VLOOKUP($A71,informe!$A:$J,9,FALSE),"cg","c"),"n")</f>
        <v>n</v>
      </c>
      <c r="P71" s="195" t="str">
        <f>IF(AND(P$3&gt;=$D71,P$3&lt;=$E71),IF((P$3-$D71+1)*VLOOKUP($A71,presupuesto!$B:$Q,16,FALSE)&gt;=VLOOKUP($A71,informe!$A:$J,9,FALSE),"cg","c"),"n")</f>
        <v>n</v>
      </c>
      <c r="Q71" s="195" t="str">
        <f>IF(AND(Q$3&gt;=$D71,Q$3&lt;=$E71),IF((Q$3-$D71+1)*VLOOKUP($A71,presupuesto!$B:$Q,16,FALSE)&gt;=VLOOKUP($A71,informe!$A:$J,9,FALSE),"cg","c"),"n")</f>
        <v>n</v>
      </c>
      <c r="R71" s="195" t="str">
        <f>IF(AND(R$3&gt;=$D71,R$3&lt;=$E71),IF((R$3-$D71+1)*VLOOKUP($A71,presupuesto!$B:$Q,16,FALSE)&gt;=VLOOKUP($A71,informe!$A:$J,9,FALSE),"cg","c"),"n")</f>
        <v>n</v>
      </c>
      <c r="S71" s="195" t="str">
        <f>IF(AND(S$3&gt;=$D71,S$3&lt;=$E71),IF((S$3-$D71+1)*VLOOKUP($A71,presupuesto!$B:$Q,16,FALSE)&gt;=VLOOKUP($A71,informe!$A:$J,9,FALSE),"cg","c"),"n")</f>
        <v>n</v>
      </c>
      <c r="T71" s="195" t="str">
        <f>IF(AND(T$3&gt;=$D71,T$3&lt;=$E71),IF((T$3-$D71+1)*VLOOKUP($A71,presupuesto!$B:$Q,16,FALSE)&gt;=VLOOKUP($A71,informe!$A:$J,9,FALSE),"cg","c"),"n")</f>
        <v>n</v>
      </c>
      <c r="U71" s="195" t="str">
        <f>IF(AND(U$3&gt;=$D71,U$3&lt;=$E71),IF((U$3-$D71+1)*VLOOKUP($A71,presupuesto!$B:$Q,16,FALSE)&gt;=VLOOKUP($A71,informe!$A:$J,9,FALSE),"cg","c"),"n")</f>
        <v>n</v>
      </c>
      <c r="V71" s="195" t="str">
        <f>IF(AND(V$3&gt;=$D71,V$3&lt;=$E71),IF((V$3-$D71+1)*VLOOKUP($A71,presupuesto!$B:$Q,16,FALSE)&gt;=VLOOKUP($A71,informe!$A:$J,9,FALSE),"cg","c"),"n")</f>
        <v>n</v>
      </c>
      <c r="W71" s="195" t="str">
        <f>IF(AND(W$3&gt;=$D71,W$3&lt;=$E71),IF((W$3-$D71+1)*VLOOKUP($A71,presupuesto!$B:$Q,16,FALSE)&gt;=VLOOKUP($A71,informe!$A:$J,9,FALSE),"cg","c"),"n")</f>
        <v>n</v>
      </c>
      <c r="X71" s="195" t="str">
        <f>IF(AND(X$3&gt;=$D71,X$3&lt;=$E71),IF((X$3-$D71+1)*VLOOKUP($A71,presupuesto!$B:$Q,16,FALSE)&gt;=VLOOKUP($A71,informe!$A:$J,9,FALSE),"cg","c"),"n")</f>
        <v>n</v>
      </c>
      <c r="Y71" s="195" t="str">
        <f>IF(AND(Y$3&gt;=$D71,Y$3&lt;=$E71),IF((Y$3-$D71+1)*VLOOKUP($A71,presupuesto!$B:$Q,16,FALSE)&gt;=VLOOKUP($A71,informe!$A:$J,9,FALSE),"cg","c"),"n")</f>
        <v>n</v>
      </c>
      <c r="Z71" s="195" t="str">
        <f>IF(AND(Z$3&gt;=$D71,Z$3&lt;=$E71),IF((Z$3-$D71+1)*VLOOKUP($A71,presupuesto!$B:$Q,16,FALSE)&gt;=VLOOKUP($A71,informe!$A:$J,9,FALSE),"cg","c"),"n")</f>
        <v>n</v>
      </c>
      <c r="AA71" s="195" t="str">
        <f>IF(AND(AA$3&gt;=$D71,AA$3&lt;=$E71),IF((AA$3-$D71+1)*VLOOKUP($A71,presupuesto!$B:$Q,16,FALSE)&gt;=VLOOKUP($A71,informe!$A:$J,9,FALSE),"cg","c"),"n")</f>
        <v>n</v>
      </c>
      <c r="AB71" s="195" t="str">
        <f>IF(AND(AB$3&gt;=$D71,AB$3&lt;=$E71),IF((AB$3-$D71+1)*VLOOKUP($A71,presupuesto!$B:$Q,16,FALSE)&gt;=VLOOKUP($A71,informe!$A:$J,9,FALSE),"cg","c"),"n")</f>
        <v>n</v>
      </c>
      <c r="AC71" s="195" t="str">
        <f>IF(AND(AC$3&gt;=$D71,AC$3&lt;=$E71),IF((AC$3-$D71+1)*VLOOKUP($A71,presupuesto!$B:$Q,16,FALSE)&gt;=VLOOKUP($A71,informe!$A:$J,9,FALSE),"cg","c"),"n")</f>
        <v>n</v>
      </c>
      <c r="AD71" s="195" t="str">
        <f>IF(AND(AD$3&gt;=$D71,AD$3&lt;=$E71),IF((AD$3-$D71+1)*VLOOKUP($A71,presupuesto!$B:$Q,16,FALSE)&gt;=VLOOKUP($A71,informe!$A:$J,9,FALSE),"cg","c"),"n")</f>
        <v>n</v>
      </c>
      <c r="AE71" s="195" t="str">
        <f>IF(AND(AE$3&gt;=$D71,AE$3&lt;=$E71),IF((AE$3-$D71+1)*VLOOKUP($A71,presupuesto!$B:$Q,16,FALSE)&gt;=VLOOKUP($A71,informe!$A:$J,9,FALSE),"cg","c"),"n")</f>
        <v>n</v>
      </c>
      <c r="AF71" s="195" t="str">
        <f>IF(AND(AF$3&gt;=$D71,AF$3&lt;=$E71),IF((AF$3-$D71+1)*VLOOKUP($A71,presupuesto!$B:$Q,16,FALSE)&gt;=VLOOKUP($A71,informe!$A:$J,9,FALSE),"cg","c"),"n")</f>
        <v>n</v>
      </c>
      <c r="AG71" s="195" t="str">
        <f>IF(AND(AG$3&gt;=$D71,AG$3&lt;=$E71),IF((AG$3-$D71+1)*VLOOKUP($A71,presupuesto!$B:$Q,16,FALSE)&gt;=VLOOKUP($A71,informe!$A:$J,9,FALSE),"cg","c"),"n")</f>
        <v>n</v>
      </c>
      <c r="AH71" s="195" t="str">
        <f>IF(AND(AH$3&gt;=$D71,AH$3&lt;=$E71),IF((AH$3-$D71+1)*VLOOKUP($A71,presupuesto!$B:$Q,16,FALSE)&gt;=VLOOKUP($A71,informe!$A:$J,9,FALSE),"cg","c"),"n")</f>
        <v>n</v>
      </c>
      <c r="AI71" s="195" t="str">
        <f>IF(AND(AI$3&gt;=$D71,AI$3&lt;=$E71),IF((AI$3-$D71+1)*VLOOKUP($A71,presupuesto!$B:$Q,16,FALSE)&gt;=VLOOKUP($A71,informe!$A:$J,9,FALSE),"cg","c"),"n")</f>
        <v>n</v>
      </c>
      <c r="AJ71" s="195" t="str">
        <f>IF(AND(AJ$3&gt;=$D71,AJ$3&lt;=$E71),IF((AJ$3-$D71+1)*VLOOKUP($A71,presupuesto!$B:$Q,16,FALSE)&gt;=VLOOKUP($A71,informe!$A:$J,9,FALSE),"cg","c"),"n")</f>
        <v>n</v>
      </c>
      <c r="AK71" s="196" t="str">
        <f>IF(AND(AK$3&gt;=$D71,AK$3&lt;=$E71),IF((AK$3-$D71+1)*VLOOKUP($A71,presupuesto!$B:$Q,16,FALSE)&gt;=VLOOKUP($A71,informe!$A:$J,9,FALSE),"cg","c"),"n")</f>
        <v>n</v>
      </c>
    </row>
    <row r="72" spans="1:37" s="1" customFormat="1" ht="14.25" customHeight="1" x14ac:dyDescent="0.25">
      <c r="A72" s="193">
        <f>presupuesto!B71</f>
        <v>42</v>
      </c>
      <c r="B72" s="182" t="str">
        <f>presupuesto!C71</f>
        <v xml:space="preserve">            Piezas Especiales con mecanismo</v>
      </c>
      <c r="C72" s="173" t="str">
        <f>presupuesto!G71</f>
        <v>10 días</v>
      </c>
      <c r="D72" s="176">
        <f>presupuesto!N71</f>
        <v>45775</v>
      </c>
      <c r="E72" s="176">
        <f>presupuesto!O71</f>
        <v>45784</v>
      </c>
      <c r="F72" s="194" t="str">
        <f>IF(AK72="n",CONCATENATE(" - "),IF(AK72="cg",CONCATENATE(" - "),CONCATENATE(ROUND(IFERROR(VLOOKUP(A72,informe!A:J,9,FALSE)/VLOOKUP(A72,informe!A:J,5,FALSE),0)*100,2),"% ")))</f>
        <v xml:space="preserve"> - </v>
      </c>
      <c r="G72" s="195" t="str">
        <f>IF(AND(G$3&gt;=$D72,G$3&lt;=$E72),IF((G$3-$D72+1)*VLOOKUP($A72,presupuesto!$B:$Q,16,FALSE)&gt;=VLOOKUP($A72,informe!$A:$J,9,FALSE),"cg","c"),"n")</f>
        <v>n</v>
      </c>
      <c r="H72" s="195" t="str">
        <f>IF(AND(H$3&gt;=$D72,H$3&lt;=$E72),IF((H$3-$D72+1)*VLOOKUP($A72,presupuesto!$B:$Q,16,FALSE)&gt;=VLOOKUP($A72,informe!$A:$J,9,FALSE),"cg","c"),"n")</f>
        <v>n</v>
      </c>
      <c r="I72" s="195" t="str">
        <f>IF(AND(I$3&gt;=$D72,I$3&lt;=$E72),IF((I$3-$D72+1)*VLOOKUP($A72,presupuesto!$B:$Q,16,FALSE)&gt;=VLOOKUP($A72,informe!$A:$J,9,FALSE),"cg","c"),"n")</f>
        <v>n</v>
      </c>
      <c r="J72" s="195" t="str">
        <f>IF(AND(J$3&gt;=$D72,J$3&lt;=$E72),IF((J$3-$D72+1)*VLOOKUP($A72,presupuesto!$B:$Q,16,FALSE)&gt;=VLOOKUP($A72,informe!$A:$J,9,FALSE),"cg","c"),"n")</f>
        <v>n</v>
      </c>
      <c r="K72" s="195" t="str">
        <f>IF(AND(K$3&gt;=$D72,K$3&lt;=$E72),IF((K$3-$D72+1)*VLOOKUP($A72,presupuesto!$B:$Q,16,FALSE)&gt;=VLOOKUP($A72,informe!$A:$J,9,FALSE),"cg","c"),"n")</f>
        <v>n</v>
      </c>
      <c r="L72" s="195" t="str">
        <f>IF(AND(L$3&gt;=$D72,L$3&lt;=$E72),IF((L$3-$D72+1)*VLOOKUP($A72,presupuesto!$B:$Q,16,FALSE)&gt;=VLOOKUP($A72,informe!$A:$J,9,FALSE),"cg","c"),"n")</f>
        <v>n</v>
      </c>
      <c r="M72" s="195" t="str">
        <f>IF(AND(M$3&gt;=$D72,M$3&lt;=$E72),IF((M$3-$D72+1)*VLOOKUP($A72,presupuesto!$B:$Q,16,FALSE)&gt;=VLOOKUP($A72,informe!$A:$J,9,FALSE),"cg","c"),"n")</f>
        <v>n</v>
      </c>
      <c r="N72" s="195" t="str">
        <f>IF(AND(N$3&gt;=$D72,N$3&lt;=$E72),IF((N$3-$D72+1)*VLOOKUP($A72,presupuesto!$B:$Q,16,FALSE)&gt;=VLOOKUP($A72,informe!$A:$J,9,FALSE),"cg","c"),"n")</f>
        <v>n</v>
      </c>
      <c r="O72" s="195" t="str">
        <f>IF(AND(O$3&gt;=$D72,O$3&lt;=$E72),IF((O$3-$D72+1)*VLOOKUP($A72,presupuesto!$B:$Q,16,FALSE)&gt;=VLOOKUP($A72,informe!$A:$J,9,FALSE),"cg","c"),"n")</f>
        <v>n</v>
      </c>
      <c r="P72" s="195" t="str">
        <f>IF(AND(P$3&gt;=$D72,P$3&lt;=$E72),IF((P$3-$D72+1)*VLOOKUP($A72,presupuesto!$B:$Q,16,FALSE)&gt;=VLOOKUP($A72,informe!$A:$J,9,FALSE),"cg","c"),"n")</f>
        <v>n</v>
      </c>
      <c r="Q72" s="195" t="str">
        <f>IF(AND(Q$3&gt;=$D72,Q$3&lt;=$E72),IF((Q$3-$D72+1)*VLOOKUP($A72,presupuesto!$B:$Q,16,FALSE)&gt;=VLOOKUP($A72,informe!$A:$J,9,FALSE),"cg","c"),"n")</f>
        <v>n</v>
      </c>
      <c r="R72" s="195" t="str">
        <f>IF(AND(R$3&gt;=$D72,R$3&lt;=$E72),IF((R$3-$D72+1)*VLOOKUP($A72,presupuesto!$B:$Q,16,FALSE)&gt;=VLOOKUP($A72,informe!$A:$J,9,FALSE),"cg","c"),"n")</f>
        <v>n</v>
      </c>
      <c r="S72" s="195" t="str">
        <f>IF(AND(S$3&gt;=$D72,S$3&lt;=$E72),IF((S$3-$D72+1)*VLOOKUP($A72,presupuesto!$B:$Q,16,FALSE)&gt;=VLOOKUP($A72,informe!$A:$J,9,FALSE),"cg","c"),"n")</f>
        <v>n</v>
      </c>
      <c r="T72" s="195" t="str">
        <f>IF(AND(T$3&gt;=$D72,T$3&lt;=$E72),IF((T$3-$D72+1)*VLOOKUP($A72,presupuesto!$B:$Q,16,FALSE)&gt;=VLOOKUP($A72,informe!$A:$J,9,FALSE),"cg","c"),"n")</f>
        <v>n</v>
      </c>
      <c r="U72" s="195" t="str">
        <f>IF(AND(U$3&gt;=$D72,U$3&lt;=$E72),IF((U$3-$D72+1)*VLOOKUP($A72,presupuesto!$B:$Q,16,FALSE)&gt;=VLOOKUP($A72,informe!$A:$J,9,FALSE),"cg","c"),"n")</f>
        <v>n</v>
      </c>
      <c r="V72" s="195" t="str">
        <f>IF(AND(V$3&gt;=$D72,V$3&lt;=$E72),IF((V$3-$D72+1)*VLOOKUP($A72,presupuesto!$B:$Q,16,FALSE)&gt;=VLOOKUP($A72,informe!$A:$J,9,FALSE),"cg","c"),"n")</f>
        <v>n</v>
      </c>
      <c r="W72" s="195" t="str">
        <f>IF(AND(W$3&gt;=$D72,W$3&lt;=$E72),IF((W$3-$D72+1)*VLOOKUP($A72,presupuesto!$B:$Q,16,FALSE)&gt;=VLOOKUP($A72,informe!$A:$J,9,FALSE),"cg","c"),"n")</f>
        <v>n</v>
      </c>
      <c r="X72" s="195" t="str">
        <f>IF(AND(X$3&gt;=$D72,X$3&lt;=$E72),IF((X$3-$D72+1)*VLOOKUP($A72,presupuesto!$B:$Q,16,FALSE)&gt;=VLOOKUP($A72,informe!$A:$J,9,FALSE),"cg","c"),"n")</f>
        <v>n</v>
      </c>
      <c r="Y72" s="195" t="str">
        <f>IF(AND(Y$3&gt;=$D72,Y$3&lt;=$E72),IF((Y$3-$D72+1)*VLOOKUP($A72,presupuesto!$B:$Q,16,FALSE)&gt;=VLOOKUP($A72,informe!$A:$J,9,FALSE),"cg","c"),"n")</f>
        <v>n</v>
      </c>
      <c r="Z72" s="195" t="str">
        <f>IF(AND(Z$3&gt;=$D72,Z$3&lt;=$E72),IF((Z$3-$D72+1)*VLOOKUP($A72,presupuesto!$B:$Q,16,FALSE)&gt;=VLOOKUP($A72,informe!$A:$J,9,FALSE),"cg","c"),"n")</f>
        <v>n</v>
      </c>
      <c r="AA72" s="195" t="str">
        <f>IF(AND(AA$3&gt;=$D72,AA$3&lt;=$E72),IF((AA$3-$D72+1)*VLOOKUP($A72,presupuesto!$B:$Q,16,FALSE)&gt;=VLOOKUP($A72,informe!$A:$J,9,FALSE),"cg","c"),"n")</f>
        <v>n</v>
      </c>
      <c r="AB72" s="195" t="str">
        <f>IF(AND(AB$3&gt;=$D72,AB$3&lt;=$E72),IF((AB$3-$D72+1)*VLOOKUP($A72,presupuesto!$B:$Q,16,FALSE)&gt;=VLOOKUP($A72,informe!$A:$J,9,FALSE),"cg","c"),"n")</f>
        <v>n</v>
      </c>
      <c r="AC72" s="195" t="str">
        <f>IF(AND(AC$3&gt;=$D72,AC$3&lt;=$E72),IF((AC$3-$D72+1)*VLOOKUP($A72,presupuesto!$B:$Q,16,FALSE)&gt;=VLOOKUP($A72,informe!$A:$J,9,FALSE),"cg","c"),"n")</f>
        <v>n</v>
      </c>
      <c r="AD72" s="195" t="str">
        <f>IF(AND(AD$3&gt;=$D72,AD$3&lt;=$E72),IF((AD$3-$D72+1)*VLOOKUP($A72,presupuesto!$B:$Q,16,FALSE)&gt;=VLOOKUP($A72,informe!$A:$J,9,FALSE),"cg","c"),"n")</f>
        <v>n</v>
      </c>
      <c r="AE72" s="195" t="str">
        <f>IF(AND(AE$3&gt;=$D72,AE$3&lt;=$E72),IF((AE$3-$D72+1)*VLOOKUP($A72,presupuesto!$B:$Q,16,FALSE)&gt;=VLOOKUP($A72,informe!$A:$J,9,FALSE),"cg","c"),"n")</f>
        <v>n</v>
      </c>
      <c r="AF72" s="195" t="str">
        <f>IF(AND(AF$3&gt;=$D72,AF$3&lt;=$E72),IF((AF$3-$D72+1)*VLOOKUP($A72,presupuesto!$B:$Q,16,FALSE)&gt;=VLOOKUP($A72,informe!$A:$J,9,FALSE),"cg","c"),"n")</f>
        <v>n</v>
      </c>
      <c r="AG72" s="195" t="str">
        <f>IF(AND(AG$3&gt;=$D72,AG$3&lt;=$E72),IF((AG$3-$D72+1)*VLOOKUP($A72,presupuesto!$B:$Q,16,FALSE)&gt;=VLOOKUP($A72,informe!$A:$J,9,FALSE),"cg","c"),"n")</f>
        <v>n</v>
      </c>
      <c r="AH72" s="195" t="str">
        <f>IF(AND(AH$3&gt;=$D72,AH$3&lt;=$E72),IF((AH$3-$D72+1)*VLOOKUP($A72,presupuesto!$B:$Q,16,FALSE)&gt;=VLOOKUP($A72,informe!$A:$J,9,FALSE),"cg","c"),"n")</f>
        <v>n</v>
      </c>
      <c r="AI72" s="195" t="str">
        <f>IF(AND(AI$3&gt;=$D72,AI$3&lt;=$E72),IF((AI$3-$D72+1)*VLOOKUP($A72,presupuesto!$B:$Q,16,FALSE)&gt;=VLOOKUP($A72,informe!$A:$J,9,FALSE),"cg","c"),"n")</f>
        <v>n</v>
      </c>
      <c r="AJ72" s="195" t="str">
        <f>IF(AND(AJ$3&gt;=$D72,AJ$3&lt;=$E72),IF((AJ$3-$D72+1)*VLOOKUP($A72,presupuesto!$B:$Q,16,FALSE)&gt;=VLOOKUP($A72,informe!$A:$J,9,FALSE),"cg","c"),"n")</f>
        <v>n</v>
      </c>
      <c r="AK72" s="196" t="str">
        <f>IF(AND(AK$3&gt;=$D72,AK$3&lt;=$E72),IF((AK$3-$D72+1)*VLOOKUP($A72,presupuesto!$B:$Q,16,FALSE)&gt;=VLOOKUP($A72,informe!$A:$J,9,FALSE),"cg","c"),"n")</f>
        <v>n</v>
      </c>
    </row>
    <row r="73" spans="1:37" s="1" customFormat="1" x14ac:dyDescent="0.25">
      <c r="A73" s="197">
        <f>presupuesto!B72</f>
        <v>43</v>
      </c>
      <c r="B73" s="182" t="str">
        <f>presupuesto!C72</f>
        <v xml:space="preserve">            Macromedidor con camara de protección</v>
      </c>
      <c r="C73" s="174" t="str">
        <f>presupuesto!G72</f>
        <v>7 días</v>
      </c>
      <c r="D73" s="177">
        <f>presupuesto!N72</f>
        <v>45778</v>
      </c>
      <c r="E73" s="177">
        <f>presupuesto!O72</f>
        <v>45784</v>
      </c>
      <c r="F73" s="194" t="str">
        <f>IF(AK73="n",CONCATENATE(" - "),IF(AK73="cg",CONCATENATE(" - "),CONCATENATE(ROUND(IFERROR(VLOOKUP(A73,informe!A:J,9,FALSE)/VLOOKUP(A73,informe!A:J,5,FALSE),0)*100,2),"% ")))</f>
        <v xml:space="preserve"> - </v>
      </c>
      <c r="G73" s="195" t="str">
        <f>IF(AND(G$3&gt;=$D73,G$3&lt;=$E73),IF((G$3-$D73+1)*VLOOKUP($A73,presupuesto!$B:$Q,16,FALSE)&gt;=VLOOKUP($A73,informe!$A:$J,9,FALSE),"cg","c"),"n")</f>
        <v>n</v>
      </c>
      <c r="H73" s="195" t="str">
        <f>IF(AND(H$3&gt;=$D73,H$3&lt;=$E73),IF((H$3-$D73+1)*VLOOKUP($A73,presupuesto!$B:$Q,16,FALSE)&gt;=VLOOKUP($A73,informe!$A:$J,9,FALSE),"cg","c"),"n")</f>
        <v>n</v>
      </c>
      <c r="I73" s="195" t="str">
        <f>IF(AND(I$3&gt;=$D73,I$3&lt;=$E73),IF((I$3-$D73+1)*VLOOKUP($A73,presupuesto!$B:$Q,16,FALSE)&gt;=VLOOKUP($A73,informe!$A:$J,9,FALSE),"cg","c"),"n")</f>
        <v>n</v>
      </c>
      <c r="J73" s="195" t="str">
        <f>IF(AND(J$3&gt;=$D73,J$3&lt;=$E73),IF((J$3-$D73+1)*VLOOKUP($A73,presupuesto!$B:$Q,16,FALSE)&gt;=VLOOKUP($A73,informe!$A:$J,9,FALSE),"cg","c"),"n")</f>
        <v>n</v>
      </c>
      <c r="K73" s="195" t="str">
        <f>IF(AND(K$3&gt;=$D73,K$3&lt;=$E73),IF((K$3-$D73+1)*VLOOKUP($A73,presupuesto!$B:$Q,16,FALSE)&gt;=VLOOKUP($A73,informe!$A:$J,9,FALSE),"cg","c"),"n")</f>
        <v>n</v>
      </c>
      <c r="L73" s="195" t="str">
        <f>IF(AND(L$3&gt;=$D73,L$3&lt;=$E73),IF((L$3-$D73+1)*VLOOKUP($A73,presupuesto!$B:$Q,16,FALSE)&gt;=VLOOKUP($A73,informe!$A:$J,9,FALSE),"cg","c"),"n")</f>
        <v>n</v>
      </c>
      <c r="M73" s="195" t="str">
        <f>IF(AND(M$3&gt;=$D73,M$3&lt;=$E73),IF((M$3-$D73+1)*VLOOKUP($A73,presupuesto!$B:$Q,16,FALSE)&gt;=VLOOKUP($A73,informe!$A:$J,9,FALSE),"cg","c"),"n")</f>
        <v>n</v>
      </c>
      <c r="N73" s="195" t="str">
        <f>IF(AND(N$3&gt;=$D73,N$3&lt;=$E73),IF((N$3-$D73+1)*VLOOKUP($A73,presupuesto!$B:$Q,16,FALSE)&gt;=VLOOKUP($A73,informe!$A:$J,9,FALSE),"cg","c"),"n")</f>
        <v>n</v>
      </c>
      <c r="O73" s="195" t="str">
        <f>IF(AND(O$3&gt;=$D73,O$3&lt;=$E73),IF((O$3-$D73+1)*VLOOKUP($A73,presupuesto!$B:$Q,16,FALSE)&gt;=VLOOKUP($A73,informe!$A:$J,9,FALSE),"cg","c"),"n")</f>
        <v>n</v>
      </c>
      <c r="P73" s="195" t="str">
        <f>IF(AND(P$3&gt;=$D73,P$3&lt;=$E73),IF((P$3-$D73+1)*VLOOKUP($A73,presupuesto!$B:$Q,16,FALSE)&gt;=VLOOKUP($A73,informe!$A:$J,9,FALSE),"cg","c"),"n")</f>
        <v>n</v>
      </c>
      <c r="Q73" s="195" t="str">
        <f>IF(AND(Q$3&gt;=$D73,Q$3&lt;=$E73),IF((Q$3-$D73+1)*VLOOKUP($A73,presupuesto!$B:$Q,16,FALSE)&gt;=VLOOKUP($A73,informe!$A:$J,9,FALSE),"cg","c"),"n")</f>
        <v>n</v>
      </c>
      <c r="R73" s="195" t="str">
        <f>IF(AND(R$3&gt;=$D73,R$3&lt;=$E73),IF((R$3-$D73+1)*VLOOKUP($A73,presupuesto!$B:$Q,16,FALSE)&gt;=VLOOKUP($A73,informe!$A:$J,9,FALSE),"cg","c"),"n")</f>
        <v>n</v>
      </c>
      <c r="S73" s="195" t="str">
        <f>IF(AND(S$3&gt;=$D73,S$3&lt;=$E73),IF((S$3-$D73+1)*VLOOKUP($A73,presupuesto!$B:$Q,16,FALSE)&gt;=VLOOKUP($A73,informe!$A:$J,9,FALSE),"cg","c"),"n")</f>
        <v>n</v>
      </c>
      <c r="T73" s="195" t="str">
        <f>IF(AND(T$3&gt;=$D73,T$3&lt;=$E73),IF((T$3-$D73+1)*VLOOKUP($A73,presupuesto!$B:$Q,16,FALSE)&gt;=VLOOKUP($A73,informe!$A:$J,9,FALSE),"cg","c"),"n")</f>
        <v>n</v>
      </c>
      <c r="U73" s="195" t="str">
        <f>IF(AND(U$3&gt;=$D73,U$3&lt;=$E73),IF((U$3-$D73+1)*VLOOKUP($A73,presupuesto!$B:$Q,16,FALSE)&gt;=VLOOKUP($A73,informe!$A:$J,9,FALSE),"cg","c"),"n")</f>
        <v>n</v>
      </c>
      <c r="V73" s="195" t="str">
        <f>IF(AND(V$3&gt;=$D73,V$3&lt;=$E73),IF((V$3-$D73+1)*VLOOKUP($A73,presupuesto!$B:$Q,16,FALSE)&gt;=VLOOKUP($A73,informe!$A:$J,9,FALSE),"cg","c"),"n")</f>
        <v>n</v>
      </c>
      <c r="W73" s="195" t="str">
        <f>IF(AND(W$3&gt;=$D73,W$3&lt;=$E73),IF((W$3-$D73+1)*VLOOKUP($A73,presupuesto!$B:$Q,16,FALSE)&gt;=VLOOKUP($A73,informe!$A:$J,9,FALSE),"cg","c"),"n")</f>
        <v>n</v>
      </c>
      <c r="X73" s="195" t="str">
        <f>IF(AND(X$3&gt;=$D73,X$3&lt;=$E73),IF((X$3-$D73+1)*VLOOKUP($A73,presupuesto!$B:$Q,16,FALSE)&gt;=VLOOKUP($A73,informe!$A:$J,9,FALSE),"cg","c"),"n")</f>
        <v>n</v>
      </c>
      <c r="Y73" s="195" t="str">
        <f>IF(AND(Y$3&gt;=$D73,Y$3&lt;=$E73),IF((Y$3-$D73+1)*VLOOKUP($A73,presupuesto!$B:$Q,16,FALSE)&gt;=VLOOKUP($A73,informe!$A:$J,9,FALSE),"cg","c"),"n")</f>
        <v>n</v>
      </c>
      <c r="Z73" s="195" t="str">
        <f>IF(AND(Z$3&gt;=$D73,Z$3&lt;=$E73),IF((Z$3-$D73+1)*VLOOKUP($A73,presupuesto!$B:$Q,16,FALSE)&gt;=VLOOKUP($A73,informe!$A:$J,9,FALSE),"cg","c"),"n")</f>
        <v>n</v>
      </c>
      <c r="AA73" s="195" t="str">
        <f>IF(AND(AA$3&gt;=$D73,AA$3&lt;=$E73),IF((AA$3-$D73+1)*VLOOKUP($A73,presupuesto!$B:$Q,16,FALSE)&gt;=VLOOKUP($A73,informe!$A:$J,9,FALSE),"cg","c"),"n")</f>
        <v>n</v>
      </c>
      <c r="AB73" s="195" t="str">
        <f>IF(AND(AB$3&gt;=$D73,AB$3&lt;=$E73),IF((AB$3-$D73+1)*VLOOKUP($A73,presupuesto!$B:$Q,16,FALSE)&gt;=VLOOKUP($A73,informe!$A:$J,9,FALSE),"cg","c"),"n")</f>
        <v>n</v>
      </c>
      <c r="AC73" s="195" t="str">
        <f>IF(AND(AC$3&gt;=$D73,AC$3&lt;=$E73),IF((AC$3-$D73+1)*VLOOKUP($A73,presupuesto!$B:$Q,16,FALSE)&gt;=VLOOKUP($A73,informe!$A:$J,9,FALSE),"cg","c"),"n")</f>
        <v>n</v>
      </c>
      <c r="AD73" s="195" t="str">
        <f>IF(AND(AD$3&gt;=$D73,AD$3&lt;=$E73),IF((AD$3-$D73+1)*VLOOKUP($A73,presupuesto!$B:$Q,16,FALSE)&gt;=VLOOKUP($A73,informe!$A:$J,9,FALSE),"cg","c"),"n")</f>
        <v>n</v>
      </c>
      <c r="AE73" s="195" t="str">
        <f>IF(AND(AE$3&gt;=$D73,AE$3&lt;=$E73),IF((AE$3-$D73+1)*VLOOKUP($A73,presupuesto!$B:$Q,16,FALSE)&gt;=VLOOKUP($A73,informe!$A:$J,9,FALSE),"cg","c"),"n")</f>
        <v>n</v>
      </c>
      <c r="AF73" s="195" t="str">
        <f>IF(AND(AF$3&gt;=$D73,AF$3&lt;=$E73),IF((AF$3-$D73+1)*VLOOKUP($A73,presupuesto!$B:$Q,16,FALSE)&gt;=VLOOKUP($A73,informe!$A:$J,9,FALSE),"cg","c"),"n")</f>
        <v>n</v>
      </c>
      <c r="AG73" s="195" t="str">
        <f>IF(AND(AG$3&gt;=$D73,AG$3&lt;=$E73),IF((AG$3-$D73+1)*VLOOKUP($A73,presupuesto!$B:$Q,16,FALSE)&gt;=VLOOKUP($A73,informe!$A:$J,9,FALSE),"cg","c"),"n")</f>
        <v>n</v>
      </c>
      <c r="AH73" s="195" t="str">
        <f>IF(AND(AH$3&gt;=$D73,AH$3&lt;=$E73),IF((AH$3-$D73+1)*VLOOKUP($A73,presupuesto!$B:$Q,16,FALSE)&gt;=VLOOKUP($A73,informe!$A:$J,9,FALSE),"cg","c"),"n")</f>
        <v>n</v>
      </c>
      <c r="AI73" s="195" t="str">
        <f>IF(AND(AI$3&gt;=$D73,AI$3&lt;=$E73),IF((AI$3-$D73+1)*VLOOKUP($A73,presupuesto!$B:$Q,16,FALSE)&gt;=VLOOKUP($A73,informe!$A:$J,9,FALSE),"cg","c"),"n")</f>
        <v>n</v>
      </c>
      <c r="AJ73" s="195" t="str">
        <f>IF(AND(AJ$3&gt;=$D73,AJ$3&lt;=$E73),IF((AJ$3-$D73+1)*VLOOKUP($A73,presupuesto!$B:$Q,16,FALSE)&gt;=VLOOKUP($A73,informe!$A:$J,9,FALSE),"cg","c"),"n")</f>
        <v>n</v>
      </c>
      <c r="AK73" s="196" t="str">
        <f>IF(AND(AK$3&gt;=$D73,AK$3&lt;=$E73),IF((AK$3-$D73+1)*VLOOKUP($A73,presupuesto!$B:$Q,16,FALSE)&gt;=VLOOKUP($A73,informe!$A:$J,9,FALSE),"cg","c"),"n")</f>
        <v>n</v>
      </c>
    </row>
    <row r="74" spans="1:37" s="1" customFormat="1" ht="14.25" customHeight="1" x14ac:dyDescent="0.3">
      <c r="A74" s="197" t="str">
        <f>presupuesto!B73</f>
        <v>D.-</v>
      </c>
      <c r="B74" s="181" t="str">
        <f>presupuesto!C73</f>
        <v xml:space="preserve">      OBRAS DE HORMIGÓN</v>
      </c>
      <c r="C74" s="174" t="str">
        <f>presupuesto!G73</f>
        <v>73 días</v>
      </c>
      <c r="D74" s="177">
        <f>presupuesto!N73</f>
        <v>45722</v>
      </c>
      <c r="E74" s="177">
        <f>presupuesto!O73</f>
        <v>45794</v>
      </c>
      <c r="F74" s="194" t="str">
        <f>IF(AK74="n",CONCATENATE(" - "),IF(AK74="cg",CONCATENATE(" - "),CONCATENATE(ROUND(IFERROR(VLOOKUP(A74,informe!A:J,9,FALSE)/VLOOKUP(A74,informe!A:J,5,FALSE),0)*100,2),"% ")))</f>
        <v xml:space="preserve"> - </v>
      </c>
      <c r="G74" s="195" t="str">
        <f>IF(AND(G$3&gt;=$D74,G$3&lt;=$E74),IF((G$3-$D74+1)*VLOOKUP($A74,presupuesto!$B:$Q,16,FALSE)&gt;=VLOOKUP($A74,informe!$A:$J,9,FALSE),"cg","c"),"n")</f>
        <v>n</v>
      </c>
      <c r="H74" s="195" t="str">
        <f>IF(AND(H$3&gt;=$D74,H$3&lt;=$E74),IF((H$3-$D74+1)*VLOOKUP($A74,presupuesto!$B:$Q,16,FALSE)&gt;=VLOOKUP($A74,informe!$A:$J,9,FALSE),"cg","c"),"n")</f>
        <v>n</v>
      </c>
      <c r="I74" s="195" t="str">
        <f>IF(AND(I$3&gt;=$D74,I$3&lt;=$E74),IF((I$3-$D74+1)*VLOOKUP($A74,presupuesto!$B:$Q,16,FALSE)&gt;=VLOOKUP($A74,informe!$A:$J,9,FALSE),"cg","c"),"n")</f>
        <v>n</v>
      </c>
      <c r="J74" s="195" t="str">
        <f>IF(AND(J$3&gt;=$D74,J$3&lt;=$E74),IF((J$3-$D74+1)*VLOOKUP($A74,presupuesto!$B:$Q,16,FALSE)&gt;=VLOOKUP($A74,informe!$A:$J,9,FALSE),"cg","c"),"n")</f>
        <v>n</v>
      </c>
      <c r="K74" s="195" t="str">
        <f>IF(AND(K$3&gt;=$D74,K$3&lt;=$E74),IF((K$3-$D74+1)*VLOOKUP($A74,presupuesto!$B:$Q,16,FALSE)&gt;=VLOOKUP($A74,informe!$A:$J,9,FALSE),"cg","c"),"n")</f>
        <v>n</v>
      </c>
      <c r="L74" s="195" t="str">
        <f>IF(AND(L$3&gt;=$D74,L$3&lt;=$E74),IF((L$3-$D74+1)*VLOOKUP($A74,presupuesto!$B:$Q,16,FALSE)&gt;=VLOOKUP($A74,informe!$A:$J,9,FALSE),"cg","c"),"n")</f>
        <v>n</v>
      </c>
      <c r="M74" s="195" t="str">
        <f>IF(AND(M$3&gt;=$D74,M$3&lt;=$E74),IF((M$3-$D74+1)*VLOOKUP($A74,presupuesto!$B:$Q,16,FALSE)&gt;=VLOOKUP($A74,informe!$A:$J,9,FALSE),"cg","c"),"n")</f>
        <v>n</v>
      </c>
      <c r="N74" s="195" t="str">
        <f>IF(AND(N$3&gt;=$D74,N$3&lt;=$E74),IF((N$3-$D74+1)*VLOOKUP($A74,presupuesto!$B:$Q,16,FALSE)&gt;=VLOOKUP($A74,informe!$A:$J,9,FALSE),"cg","c"),"n")</f>
        <v>n</v>
      </c>
      <c r="O74" s="195" t="str">
        <f>IF(AND(O$3&gt;=$D74,O$3&lt;=$E74),IF((O$3-$D74+1)*VLOOKUP($A74,presupuesto!$B:$Q,16,FALSE)&gt;=VLOOKUP($A74,informe!$A:$J,9,FALSE),"cg","c"),"n")</f>
        <v>n</v>
      </c>
      <c r="P74" s="195" t="str">
        <f>IF(AND(P$3&gt;=$D74,P$3&lt;=$E74),IF((P$3-$D74+1)*VLOOKUP($A74,presupuesto!$B:$Q,16,FALSE)&gt;=VLOOKUP($A74,informe!$A:$J,9,FALSE),"cg","c"),"n")</f>
        <v>n</v>
      </c>
      <c r="Q74" s="195" t="str">
        <f>IF(AND(Q$3&gt;=$D74,Q$3&lt;=$E74),IF((Q$3-$D74+1)*VLOOKUP($A74,presupuesto!$B:$Q,16,FALSE)&gt;=VLOOKUP($A74,informe!$A:$J,9,FALSE),"cg","c"),"n")</f>
        <v>n</v>
      </c>
      <c r="R74" s="195" t="str">
        <f>IF(AND(R$3&gt;=$D74,R$3&lt;=$E74),IF((R$3-$D74+1)*VLOOKUP($A74,presupuesto!$B:$Q,16,FALSE)&gt;=VLOOKUP($A74,informe!$A:$J,9,FALSE),"cg","c"),"n")</f>
        <v>n</v>
      </c>
      <c r="S74" s="195" t="str">
        <f>IF(AND(S$3&gt;=$D74,S$3&lt;=$E74),IF((S$3-$D74+1)*VLOOKUP($A74,presupuesto!$B:$Q,16,FALSE)&gt;=VLOOKUP($A74,informe!$A:$J,9,FALSE),"cg","c"),"n")</f>
        <v>n</v>
      </c>
      <c r="T74" s="195" t="str">
        <f>IF(AND(T$3&gt;=$D74,T$3&lt;=$E74),IF((T$3-$D74+1)*VLOOKUP($A74,presupuesto!$B:$Q,16,FALSE)&gt;=VLOOKUP($A74,informe!$A:$J,9,FALSE),"cg","c"),"n")</f>
        <v>n</v>
      </c>
      <c r="U74" s="195" t="str">
        <f>IF(AND(U$3&gt;=$D74,U$3&lt;=$E74),IF((U$3-$D74+1)*VLOOKUP($A74,presupuesto!$B:$Q,16,FALSE)&gt;=VLOOKUP($A74,informe!$A:$J,9,FALSE),"cg","c"),"n")</f>
        <v>n</v>
      </c>
      <c r="V74" s="195" t="str">
        <f>IF(AND(V$3&gt;=$D74,V$3&lt;=$E74),IF((V$3-$D74+1)*VLOOKUP($A74,presupuesto!$B:$Q,16,FALSE)&gt;=VLOOKUP($A74,informe!$A:$J,9,FALSE),"cg","c"),"n")</f>
        <v>n</v>
      </c>
      <c r="W74" s="195" t="str">
        <f>IF(AND(W$3&gt;=$D74,W$3&lt;=$E74),IF((W$3-$D74+1)*VLOOKUP($A74,presupuesto!$B:$Q,16,FALSE)&gt;=VLOOKUP($A74,informe!$A:$J,9,FALSE),"cg","c"),"n")</f>
        <v>n</v>
      </c>
      <c r="X74" s="195" t="str">
        <f>IF(AND(X$3&gt;=$D74,X$3&lt;=$E74),IF((X$3-$D74+1)*VLOOKUP($A74,presupuesto!$B:$Q,16,FALSE)&gt;=VLOOKUP($A74,informe!$A:$J,9,FALSE),"cg","c"),"n")</f>
        <v>n</v>
      </c>
      <c r="Y74" s="195" t="str">
        <f>IF(AND(Y$3&gt;=$D74,Y$3&lt;=$E74),IF((Y$3-$D74+1)*VLOOKUP($A74,presupuesto!$B:$Q,16,FALSE)&gt;=VLOOKUP($A74,informe!$A:$J,9,FALSE),"cg","c"),"n")</f>
        <v>n</v>
      </c>
      <c r="Z74" s="195" t="str">
        <f>IF(AND(Z$3&gt;=$D74,Z$3&lt;=$E74),IF((Z$3-$D74+1)*VLOOKUP($A74,presupuesto!$B:$Q,16,FALSE)&gt;=VLOOKUP($A74,informe!$A:$J,9,FALSE),"cg","c"),"n")</f>
        <v>n</v>
      </c>
      <c r="AA74" s="195" t="str">
        <f>IF(AND(AA$3&gt;=$D74,AA$3&lt;=$E74),IF((AA$3-$D74+1)*VLOOKUP($A74,presupuesto!$B:$Q,16,FALSE)&gt;=VLOOKUP($A74,informe!$A:$J,9,FALSE),"cg","c"),"n")</f>
        <v>n</v>
      </c>
      <c r="AB74" s="195" t="str">
        <f>IF(AND(AB$3&gt;=$D74,AB$3&lt;=$E74),IF((AB$3-$D74+1)*VLOOKUP($A74,presupuesto!$B:$Q,16,FALSE)&gt;=VLOOKUP($A74,informe!$A:$J,9,FALSE),"cg","c"),"n")</f>
        <v>n</v>
      </c>
      <c r="AC74" s="195" t="str">
        <f>IF(AND(AC$3&gt;=$D74,AC$3&lt;=$E74),IF((AC$3-$D74+1)*VLOOKUP($A74,presupuesto!$B:$Q,16,FALSE)&gt;=VLOOKUP($A74,informe!$A:$J,9,FALSE),"cg","c"),"n")</f>
        <v>n</v>
      </c>
      <c r="AD74" s="195" t="str">
        <f>IF(AND(AD$3&gt;=$D74,AD$3&lt;=$E74),IF((AD$3-$D74+1)*VLOOKUP($A74,presupuesto!$B:$Q,16,FALSE)&gt;=VLOOKUP($A74,informe!$A:$J,9,FALSE),"cg","c"),"n")</f>
        <v>n</v>
      </c>
      <c r="AE74" s="195" t="str">
        <f>IF(AND(AE$3&gt;=$D74,AE$3&lt;=$E74),IF((AE$3-$D74+1)*VLOOKUP($A74,presupuesto!$B:$Q,16,FALSE)&gt;=VLOOKUP($A74,informe!$A:$J,9,FALSE),"cg","c"),"n")</f>
        <v>n</v>
      </c>
      <c r="AF74" s="195" t="str">
        <f>IF(AND(AF$3&gt;=$D74,AF$3&lt;=$E74),IF((AF$3-$D74+1)*VLOOKUP($A74,presupuesto!$B:$Q,16,FALSE)&gt;=VLOOKUP($A74,informe!$A:$J,9,FALSE),"cg","c"),"n")</f>
        <v>n</v>
      </c>
      <c r="AG74" s="195" t="str">
        <f>IF(AND(AG$3&gt;=$D74,AG$3&lt;=$E74),IF((AG$3-$D74+1)*VLOOKUP($A74,presupuesto!$B:$Q,16,FALSE)&gt;=VLOOKUP($A74,informe!$A:$J,9,FALSE),"cg","c"),"n")</f>
        <v>n</v>
      </c>
      <c r="AH74" s="195" t="str">
        <f>IF(AND(AH$3&gt;=$D74,AH$3&lt;=$E74),IF((AH$3-$D74+1)*VLOOKUP($A74,presupuesto!$B:$Q,16,FALSE)&gt;=VLOOKUP($A74,informe!$A:$J,9,FALSE),"cg","c"),"n")</f>
        <v>n</v>
      </c>
      <c r="AI74" s="195" t="str">
        <f>IF(AND(AI$3&gt;=$D74,AI$3&lt;=$E74),IF((AI$3-$D74+1)*VLOOKUP($A74,presupuesto!$B:$Q,16,FALSE)&gt;=VLOOKUP($A74,informe!$A:$J,9,FALSE),"cg","c"),"n")</f>
        <v>n</v>
      </c>
      <c r="AJ74" s="195" t="str">
        <f>IF(AND(AJ$3&gt;=$D74,AJ$3&lt;=$E74),IF((AJ$3-$D74+1)*VLOOKUP($A74,presupuesto!$B:$Q,16,FALSE)&gt;=VLOOKUP($A74,informe!$A:$J,9,FALSE),"cg","c"),"n")</f>
        <v>n</v>
      </c>
      <c r="AK74" s="196" t="str">
        <f>IF(AND(AK$3&gt;=$D74,AK$3&lt;=$E74),IF((AK$3-$D74+1)*VLOOKUP($A74,presupuesto!$B:$Q,16,FALSE)&gt;=VLOOKUP($A74,informe!$A:$J,9,FALSE),"cg","c"),"n")</f>
        <v>n</v>
      </c>
    </row>
    <row r="75" spans="1:37" s="1" customFormat="1" ht="14.25" customHeight="1" x14ac:dyDescent="0.25">
      <c r="A75" s="197">
        <f>presupuesto!B74</f>
        <v>44</v>
      </c>
      <c r="B75" s="182" t="str">
        <f>presupuesto!C74</f>
        <v xml:space="preserve">         Machones de anclaje y apoyo</v>
      </c>
      <c r="C75" s="174" t="str">
        <f>presupuesto!G74</f>
        <v>10 días</v>
      </c>
      <c r="D75" s="177">
        <f>presupuesto!N74</f>
        <v>45785</v>
      </c>
      <c r="E75" s="177">
        <f>presupuesto!O74</f>
        <v>45794</v>
      </c>
      <c r="F75" s="194" t="str">
        <f>IF(AK75="n",CONCATENATE(" - "),IF(AK75="cg",CONCATENATE(" - "),CONCATENATE(ROUND(IFERROR(VLOOKUP(A75,informe!A:J,9,FALSE)/VLOOKUP(A75,informe!A:J,5,FALSE),0)*100,2),"% ")))</f>
        <v xml:space="preserve"> - </v>
      </c>
      <c r="G75" s="195" t="str">
        <f>IF(AND(G$3&gt;=$D75,G$3&lt;=$E75),IF((G$3-$D75+1)*VLOOKUP($A75,presupuesto!$B:$Q,16,FALSE)&gt;=VLOOKUP($A75,informe!$A:$J,9,FALSE),"cg","c"),"n")</f>
        <v>n</v>
      </c>
      <c r="H75" s="195" t="str">
        <f>IF(AND(H$3&gt;=$D75,H$3&lt;=$E75),IF((H$3-$D75+1)*VLOOKUP($A75,presupuesto!$B:$Q,16,FALSE)&gt;=VLOOKUP($A75,informe!$A:$J,9,FALSE),"cg","c"),"n")</f>
        <v>n</v>
      </c>
      <c r="I75" s="195" t="str">
        <f>IF(AND(I$3&gt;=$D75,I$3&lt;=$E75),IF((I$3-$D75+1)*VLOOKUP($A75,presupuesto!$B:$Q,16,FALSE)&gt;=VLOOKUP($A75,informe!$A:$J,9,FALSE),"cg","c"),"n")</f>
        <v>n</v>
      </c>
      <c r="J75" s="195" t="str">
        <f>IF(AND(J$3&gt;=$D75,J$3&lt;=$E75),IF((J$3-$D75+1)*VLOOKUP($A75,presupuesto!$B:$Q,16,FALSE)&gt;=VLOOKUP($A75,informe!$A:$J,9,FALSE),"cg","c"),"n")</f>
        <v>n</v>
      </c>
      <c r="K75" s="195" t="str">
        <f>IF(AND(K$3&gt;=$D75,K$3&lt;=$E75),IF((K$3-$D75+1)*VLOOKUP($A75,presupuesto!$B:$Q,16,FALSE)&gt;=VLOOKUP($A75,informe!$A:$J,9,FALSE),"cg","c"),"n")</f>
        <v>n</v>
      </c>
      <c r="L75" s="195" t="str">
        <f>IF(AND(L$3&gt;=$D75,L$3&lt;=$E75),IF((L$3-$D75+1)*VLOOKUP($A75,presupuesto!$B:$Q,16,FALSE)&gt;=VLOOKUP($A75,informe!$A:$J,9,FALSE),"cg","c"),"n")</f>
        <v>n</v>
      </c>
      <c r="M75" s="195" t="str">
        <f>IF(AND(M$3&gt;=$D75,M$3&lt;=$E75),IF((M$3-$D75+1)*VLOOKUP($A75,presupuesto!$B:$Q,16,FALSE)&gt;=VLOOKUP($A75,informe!$A:$J,9,FALSE),"cg","c"),"n")</f>
        <v>n</v>
      </c>
      <c r="N75" s="195" t="str">
        <f>IF(AND(N$3&gt;=$D75,N$3&lt;=$E75),IF((N$3-$D75+1)*VLOOKUP($A75,presupuesto!$B:$Q,16,FALSE)&gt;=VLOOKUP($A75,informe!$A:$J,9,FALSE),"cg","c"),"n")</f>
        <v>n</v>
      </c>
      <c r="O75" s="195" t="str">
        <f>IF(AND(O$3&gt;=$D75,O$3&lt;=$E75),IF((O$3-$D75+1)*VLOOKUP($A75,presupuesto!$B:$Q,16,FALSE)&gt;=VLOOKUP($A75,informe!$A:$J,9,FALSE),"cg","c"),"n")</f>
        <v>n</v>
      </c>
      <c r="P75" s="195" t="str">
        <f>IF(AND(P$3&gt;=$D75,P$3&lt;=$E75),IF((P$3-$D75+1)*VLOOKUP($A75,presupuesto!$B:$Q,16,FALSE)&gt;=VLOOKUP($A75,informe!$A:$J,9,FALSE),"cg","c"),"n")</f>
        <v>n</v>
      </c>
      <c r="Q75" s="195" t="str">
        <f>IF(AND(Q$3&gt;=$D75,Q$3&lt;=$E75),IF((Q$3-$D75+1)*VLOOKUP($A75,presupuesto!$B:$Q,16,FALSE)&gt;=VLOOKUP($A75,informe!$A:$J,9,FALSE),"cg","c"),"n")</f>
        <v>n</v>
      </c>
      <c r="R75" s="195" t="str">
        <f>IF(AND(R$3&gt;=$D75,R$3&lt;=$E75),IF((R$3-$D75+1)*VLOOKUP($A75,presupuesto!$B:$Q,16,FALSE)&gt;=VLOOKUP($A75,informe!$A:$J,9,FALSE),"cg","c"),"n")</f>
        <v>n</v>
      </c>
      <c r="S75" s="195" t="str">
        <f>IF(AND(S$3&gt;=$D75,S$3&lt;=$E75),IF((S$3-$D75+1)*VLOOKUP($A75,presupuesto!$B:$Q,16,FALSE)&gt;=VLOOKUP($A75,informe!$A:$J,9,FALSE),"cg","c"),"n")</f>
        <v>n</v>
      </c>
      <c r="T75" s="195" t="str">
        <f>IF(AND(T$3&gt;=$D75,T$3&lt;=$E75),IF((T$3-$D75+1)*VLOOKUP($A75,presupuesto!$B:$Q,16,FALSE)&gt;=VLOOKUP($A75,informe!$A:$J,9,FALSE),"cg","c"),"n")</f>
        <v>n</v>
      </c>
      <c r="U75" s="195" t="str">
        <f>IF(AND(U$3&gt;=$D75,U$3&lt;=$E75),IF((U$3-$D75+1)*VLOOKUP($A75,presupuesto!$B:$Q,16,FALSE)&gt;=VLOOKUP($A75,informe!$A:$J,9,FALSE),"cg","c"),"n")</f>
        <v>n</v>
      </c>
      <c r="V75" s="195" t="str">
        <f>IF(AND(V$3&gt;=$D75,V$3&lt;=$E75),IF((V$3-$D75+1)*VLOOKUP($A75,presupuesto!$B:$Q,16,FALSE)&gt;=VLOOKUP($A75,informe!$A:$J,9,FALSE),"cg","c"),"n")</f>
        <v>n</v>
      </c>
      <c r="W75" s="195" t="str">
        <f>IF(AND(W$3&gt;=$D75,W$3&lt;=$E75),IF((W$3-$D75+1)*VLOOKUP($A75,presupuesto!$B:$Q,16,FALSE)&gt;=VLOOKUP($A75,informe!$A:$J,9,FALSE),"cg","c"),"n")</f>
        <v>n</v>
      </c>
      <c r="X75" s="195" t="str">
        <f>IF(AND(X$3&gt;=$D75,X$3&lt;=$E75),IF((X$3-$D75+1)*VLOOKUP($A75,presupuesto!$B:$Q,16,FALSE)&gt;=VLOOKUP($A75,informe!$A:$J,9,FALSE),"cg","c"),"n")</f>
        <v>n</v>
      </c>
      <c r="Y75" s="195" t="str">
        <f>IF(AND(Y$3&gt;=$D75,Y$3&lt;=$E75),IF((Y$3-$D75+1)*VLOOKUP($A75,presupuesto!$B:$Q,16,FALSE)&gt;=VLOOKUP($A75,informe!$A:$J,9,FALSE),"cg","c"),"n")</f>
        <v>n</v>
      </c>
      <c r="Z75" s="195" t="str">
        <f>IF(AND(Z$3&gt;=$D75,Z$3&lt;=$E75),IF((Z$3-$D75+1)*VLOOKUP($A75,presupuesto!$B:$Q,16,FALSE)&gt;=VLOOKUP($A75,informe!$A:$J,9,FALSE),"cg","c"),"n")</f>
        <v>n</v>
      </c>
      <c r="AA75" s="195" t="str">
        <f>IF(AND(AA$3&gt;=$D75,AA$3&lt;=$E75),IF((AA$3-$D75+1)*VLOOKUP($A75,presupuesto!$B:$Q,16,FALSE)&gt;=VLOOKUP($A75,informe!$A:$J,9,FALSE),"cg","c"),"n")</f>
        <v>n</v>
      </c>
      <c r="AB75" s="195" t="str">
        <f>IF(AND(AB$3&gt;=$D75,AB$3&lt;=$E75),IF((AB$3-$D75+1)*VLOOKUP($A75,presupuesto!$B:$Q,16,FALSE)&gt;=VLOOKUP($A75,informe!$A:$J,9,FALSE),"cg","c"),"n")</f>
        <v>n</v>
      </c>
      <c r="AC75" s="195" t="str">
        <f>IF(AND(AC$3&gt;=$D75,AC$3&lt;=$E75),IF((AC$3-$D75+1)*VLOOKUP($A75,presupuesto!$B:$Q,16,FALSE)&gt;=VLOOKUP($A75,informe!$A:$J,9,FALSE),"cg","c"),"n")</f>
        <v>n</v>
      </c>
      <c r="AD75" s="195" t="str">
        <f>IF(AND(AD$3&gt;=$D75,AD$3&lt;=$E75),IF((AD$3-$D75+1)*VLOOKUP($A75,presupuesto!$B:$Q,16,FALSE)&gt;=VLOOKUP($A75,informe!$A:$J,9,FALSE),"cg","c"),"n")</f>
        <v>n</v>
      </c>
      <c r="AE75" s="195" t="str">
        <f>IF(AND(AE$3&gt;=$D75,AE$3&lt;=$E75),IF((AE$3-$D75+1)*VLOOKUP($A75,presupuesto!$B:$Q,16,FALSE)&gt;=VLOOKUP($A75,informe!$A:$J,9,FALSE),"cg","c"),"n")</f>
        <v>n</v>
      </c>
      <c r="AF75" s="195" t="str">
        <f>IF(AND(AF$3&gt;=$D75,AF$3&lt;=$E75),IF((AF$3-$D75+1)*VLOOKUP($A75,presupuesto!$B:$Q,16,FALSE)&gt;=VLOOKUP($A75,informe!$A:$J,9,FALSE),"cg","c"),"n")</f>
        <v>n</v>
      </c>
      <c r="AG75" s="195" t="str">
        <f>IF(AND(AG$3&gt;=$D75,AG$3&lt;=$E75),IF((AG$3-$D75+1)*VLOOKUP($A75,presupuesto!$B:$Q,16,FALSE)&gt;=VLOOKUP($A75,informe!$A:$J,9,FALSE),"cg","c"),"n")</f>
        <v>n</v>
      </c>
      <c r="AH75" s="195" t="str">
        <f>IF(AND(AH$3&gt;=$D75,AH$3&lt;=$E75),IF((AH$3-$D75+1)*VLOOKUP($A75,presupuesto!$B:$Q,16,FALSE)&gt;=VLOOKUP($A75,informe!$A:$J,9,FALSE),"cg","c"),"n")</f>
        <v>n</v>
      </c>
      <c r="AI75" s="195" t="str">
        <f>IF(AND(AI$3&gt;=$D75,AI$3&lt;=$E75),IF((AI$3-$D75+1)*VLOOKUP($A75,presupuesto!$B:$Q,16,FALSE)&gt;=VLOOKUP($A75,informe!$A:$J,9,FALSE),"cg","c"),"n")</f>
        <v>n</v>
      </c>
      <c r="AJ75" s="195" t="str">
        <f>IF(AND(AJ$3&gt;=$D75,AJ$3&lt;=$E75),IF((AJ$3-$D75+1)*VLOOKUP($A75,presupuesto!$B:$Q,16,FALSE)&gt;=VLOOKUP($A75,informe!$A:$J,9,FALSE),"cg","c"),"n")</f>
        <v>n</v>
      </c>
      <c r="AK75" s="196" t="str">
        <f>IF(AND(AK$3&gt;=$D75,AK$3&lt;=$E75),IF((AK$3-$D75+1)*VLOOKUP($A75,presupuesto!$B:$Q,16,FALSE)&gt;=VLOOKUP($A75,informe!$A:$J,9,FALSE),"cg","c"),"n")</f>
        <v>n</v>
      </c>
    </row>
    <row r="76" spans="1:37" s="1" customFormat="1" ht="14.25" customHeight="1" x14ac:dyDescent="0.25">
      <c r="A76" s="193">
        <f>presupuesto!B75</f>
        <v>45</v>
      </c>
      <c r="B76" s="182" t="str">
        <f>presupuesto!C75</f>
        <v xml:space="preserve">         Radier para equipos</v>
      </c>
      <c r="C76" s="173" t="str">
        <f>presupuesto!G75</f>
        <v>15 días</v>
      </c>
      <c r="D76" s="176">
        <f>presupuesto!N75</f>
        <v>45722</v>
      </c>
      <c r="E76" s="176">
        <f>presupuesto!O75</f>
        <v>45736</v>
      </c>
      <c r="F76" s="194" t="str">
        <f>IF(AK76="n",CONCATENATE(" - "),IF(AK76="cg",CONCATENATE(" - "),CONCATENATE(ROUND(IFERROR(VLOOKUP(A76,informe!A:J,9,FALSE)/VLOOKUP(A76,informe!A:J,5,FALSE),0)*100,2),"% ")))</f>
        <v xml:space="preserve"> - </v>
      </c>
      <c r="G76" s="195" t="str">
        <f>IF(AND(G$3&gt;=$D76,G$3&lt;=$E76),IF((G$3-$D76+1)*VLOOKUP($A76,presupuesto!$B:$Q,16,FALSE)&gt;=VLOOKUP($A76,informe!$A:$J,9,FALSE),"cg","c"),"n")</f>
        <v>n</v>
      </c>
      <c r="H76" s="195" t="str">
        <f>IF(AND(H$3&gt;=$D76,H$3&lt;=$E76),IF((H$3-$D76+1)*VLOOKUP($A76,presupuesto!$B:$Q,16,FALSE)&gt;=VLOOKUP($A76,informe!$A:$J,9,FALSE),"cg","c"),"n")</f>
        <v>n</v>
      </c>
      <c r="I76" s="195" t="str">
        <f>IF(AND(I$3&gt;=$D76,I$3&lt;=$E76),IF((I$3-$D76+1)*VLOOKUP($A76,presupuesto!$B:$Q,16,FALSE)&gt;=VLOOKUP($A76,informe!$A:$J,9,FALSE),"cg","c"),"n")</f>
        <v>n</v>
      </c>
      <c r="J76" s="195" t="str">
        <f>IF(AND(J$3&gt;=$D76,J$3&lt;=$E76),IF((J$3-$D76+1)*VLOOKUP($A76,presupuesto!$B:$Q,16,FALSE)&gt;=VLOOKUP($A76,informe!$A:$J,9,FALSE),"cg","c"),"n")</f>
        <v>n</v>
      </c>
      <c r="K76" s="195" t="str">
        <f>IF(AND(K$3&gt;=$D76,K$3&lt;=$E76),IF((K$3-$D76+1)*VLOOKUP($A76,presupuesto!$B:$Q,16,FALSE)&gt;=VLOOKUP($A76,informe!$A:$J,9,FALSE),"cg","c"),"n")</f>
        <v>n</v>
      </c>
      <c r="L76" s="195" t="str">
        <f>IF(AND(L$3&gt;=$D76,L$3&lt;=$E76),IF((L$3-$D76+1)*VLOOKUP($A76,presupuesto!$B:$Q,16,FALSE)&gt;=VLOOKUP($A76,informe!$A:$J,9,FALSE),"cg","c"),"n")</f>
        <v>n</v>
      </c>
      <c r="M76" s="195" t="str">
        <f>IF(AND(M$3&gt;=$D76,M$3&lt;=$E76),IF((M$3-$D76+1)*VLOOKUP($A76,presupuesto!$B:$Q,16,FALSE)&gt;=VLOOKUP($A76,informe!$A:$J,9,FALSE),"cg","c"),"n")</f>
        <v>n</v>
      </c>
      <c r="N76" s="195" t="str">
        <f>IF(AND(N$3&gt;=$D76,N$3&lt;=$E76),IF((N$3-$D76+1)*VLOOKUP($A76,presupuesto!$B:$Q,16,FALSE)&gt;=VLOOKUP($A76,informe!$A:$J,9,FALSE),"cg","c"),"n")</f>
        <v>n</v>
      </c>
      <c r="O76" s="195" t="str">
        <f>IF(AND(O$3&gt;=$D76,O$3&lt;=$E76),IF((O$3-$D76+1)*VLOOKUP($A76,presupuesto!$B:$Q,16,FALSE)&gt;=VLOOKUP($A76,informe!$A:$J,9,FALSE),"cg","c"),"n")</f>
        <v>n</v>
      </c>
      <c r="P76" s="195" t="str">
        <f>IF(AND(P$3&gt;=$D76,P$3&lt;=$E76),IF((P$3-$D76+1)*VLOOKUP($A76,presupuesto!$B:$Q,16,FALSE)&gt;=VLOOKUP($A76,informe!$A:$J,9,FALSE),"cg","c"),"n")</f>
        <v>n</v>
      </c>
      <c r="Q76" s="195" t="str">
        <f>IF(AND(Q$3&gt;=$D76,Q$3&lt;=$E76),IF((Q$3-$D76+1)*VLOOKUP($A76,presupuesto!$B:$Q,16,FALSE)&gt;=VLOOKUP($A76,informe!$A:$J,9,FALSE),"cg","c"),"n")</f>
        <v>n</v>
      </c>
      <c r="R76" s="195" t="str">
        <f>IF(AND(R$3&gt;=$D76,R$3&lt;=$E76),IF((R$3-$D76+1)*VLOOKUP($A76,presupuesto!$B:$Q,16,FALSE)&gt;=VLOOKUP($A76,informe!$A:$J,9,FALSE),"cg","c"),"n")</f>
        <v>n</v>
      </c>
      <c r="S76" s="195" t="str">
        <f>IF(AND(S$3&gt;=$D76,S$3&lt;=$E76),IF((S$3-$D76+1)*VLOOKUP($A76,presupuesto!$B:$Q,16,FALSE)&gt;=VLOOKUP($A76,informe!$A:$J,9,FALSE),"cg","c"),"n")</f>
        <v>n</v>
      </c>
      <c r="T76" s="195" t="str">
        <f>IF(AND(T$3&gt;=$D76,T$3&lt;=$E76),IF((T$3-$D76+1)*VLOOKUP($A76,presupuesto!$B:$Q,16,FALSE)&gt;=VLOOKUP($A76,informe!$A:$J,9,FALSE),"cg","c"),"n")</f>
        <v>n</v>
      </c>
      <c r="U76" s="195" t="str">
        <f>IF(AND(U$3&gt;=$D76,U$3&lt;=$E76),IF((U$3-$D76+1)*VLOOKUP($A76,presupuesto!$B:$Q,16,FALSE)&gt;=VLOOKUP($A76,informe!$A:$J,9,FALSE),"cg","c"),"n")</f>
        <v>n</v>
      </c>
      <c r="V76" s="195" t="str">
        <f>IF(AND(V$3&gt;=$D76,V$3&lt;=$E76),IF((V$3-$D76+1)*VLOOKUP($A76,presupuesto!$B:$Q,16,FALSE)&gt;=VLOOKUP($A76,informe!$A:$J,9,FALSE),"cg","c"),"n")</f>
        <v>n</v>
      </c>
      <c r="W76" s="195" t="str">
        <f>IF(AND(W$3&gt;=$D76,W$3&lt;=$E76),IF((W$3-$D76+1)*VLOOKUP($A76,presupuesto!$B:$Q,16,FALSE)&gt;=VLOOKUP($A76,informe!$A:$J,9,FALSE),"cg","c"),"n")</f>
        <v>n</v>
      </c>
      <c r="X76" s="195" t="str">
        <f>IF(AND(X$3&gt;=$D76,X$3&lt;=$E76),IF((X$3-$D76+1)*VLOOKUP($A76,presupuesto!$B:$Q,16,FALSE)&gt;=VLOOKUP($A76,informe!$A:$J,9,FALSE),"cg","c"),"n")</f>
        <v>n</v>
      </c>
      <c r="Y76" s="195" t="str">
        <f>IF(AND(Y$3&gt;=$D76,Y$3&lt;=$E76),IF((Y$3-$D76+1)*VLOOKUP($A76,presupuesto!$B:$Q,16,FALSE)&gt;=VLOOKUP($A76,informe!$A:$J,9,FALSE),"cg","c"),"n")</f>
        <v>n</v>
      </c>
      <c r="Z76" s="195" t="str">
        <f>IF(AND(Z$3&gt;=$D76,Z$3&lt;=$E76),IF((Z$3-$D76+1)*VLOOKUP($A76,presupuesto!$B:$Q,16,FALSE)&gt;=VLOOKUP($A76,informe!$A:$J,9,FALSE),"cg","c"),"n")</f>
        <v>n</v>
      </c>
      <c r="AA76" s="195" t="str">
        <f>IF(AND(AA$3&gt;=$D76,AA$3&lt;=$E76),IF((AA$3-$D76+1)*VLOOKUP($A76,presupuesto!$B:$Q,16,FALSE)&gt;=VLOOKUP($A76,informe!$A:$J,9,FALSE),"cg","c"),"n")</f>
        <v>n</v>
      </c>
      <c r="AB76" s="195" t="str">
        <f>IF(AND(AB$3&gt;=$D76,AB$3&lt;=$E76),IF((AB$3-$D76+1)*VLOOKUP($A76,presupuesto!$B:$Q,16,FALSE)&gt;=VLOOKUP($A76,informe!$A:$J,9,FALSE),"cg","c"),"n")</f>
        <v>n</v>
      </c>
      <c r="AC76" s="195" t="str">
        <f>IF(AND(AC$3&gt;=$D76,AC$3&lt;=$E76),IF((AC$3-$D76+1)*VLOOKUP($A76,presupuesto!$B:$Q,16,FALSE)&gt;=VLOOKUP($A76,informe!$A:$J,9,FALSE),"cg","c"),"n")</f>
        <v>n</v>
      </c>
      <c r="AD76" s="195" t="str">
        <f>IF(AND(AD$3&gt;=$D76,AD$3&lt;=$E76),IF((AD$3-$D76+1)*VLOOKUP($A76,presupuesto!$B:$Q,16,FALSE)&gt;=VLOOKUP($A76,informe!$A:$J,9,FALSE),"cg","c"),"n")</f>
        <v>n</v>
      </c>
      <c r="AE76" s="195" t="str">
        <f>IF(AND(AE$3&gt;=$D76,AE$3&lt;=$E76),IF((AE$3-$D76+1)*VLOOKUP($A76,presupuesto!$B:$Q,16,FALSE)&gt;=VLOOKUP($A76,informe!$A:$J,9,FALSE),"cg","c"),"n")</f>
        <v>n</v>
      </c>
      <c r="AF76" s="195" t="str">
        <f>IF(AND(AF$3&gt;=$D76,AF$3&lt;=$E76),IF((AF$3-$D76+1)*VLOOKUP($A76,presupuesto!$B:$Q,16,FALSE)&gt;=VLOOKUP($A76,informe!$A:$J,9,FALSE),"cg","c"),"n")</f>
        <v>n</v>
      </c>
      <c r="AG76" s="195" t="str">
        <f>IF(AND(AG$3&gt;=$D76,AG$3&lt;=$E76),IF((AG$3-$D76+1)*VLOOKUP($A76,presupuesto!$B:$Q,16,FALSE)&gt;=VLOOKUP($A76,informe!$A:$J,9,FALSE),"cg","c"),"n")</f>
        <v>n</v>
      </c>
      <c r="AH76" s="195" t="str">
        <f>IF(AND(AH$3&gt;=$D76,AH$3&lt;=$E76),IF((AH$3-$D76+1)*VLOOKUP($A76,presupuesto!$B:$Q,16,FALSE)&gt;=VLOOKUP($A76,informe!$A:$J,9,FALSE),"cg","c"),"n")</f>
        <v>n</v>
      </c>
      <c r="AI76" s="195" t="str">
        <f>IF(AND(AI$3&gt;=$D76,AI$3&lt;=$E76),IF((AI$3-$D76+1)*VLOOKUP($A76,presupuesto!$B:$Q,16,FALSE)&gt;=VLOOKUP($A76,informe!$A:$J,9,FALSE),"cg","c"),"n")</f>
        <v>n</v>
      </c>
      <c r="AJ76" s="195" t="str">
        <f>IF(AND(AJ$3&gt;=$D76,AJ$3&lt;=$E76),IF((AJ$3-$D76+1)*VLOOKUP($A76,presupuesto!$B:$Q,16,FALSE)&gt;=VLOOKUP($A76,informe!$A:$J,9,FALSE),"cg","c"),"n")</f>
        <v>n</v>
      </c>
      <c r="AK76" s="196" t="str">
        <f>IF(AND(AK$3&gt;=$D76,AK$3&lt;=$E76),IF((AK$3-$D76+1)*VLOOKUP($A76,presupuesto!$B:$Q,16,FALSE)&gt;=VLOOKUP($A76,informe!$A:$J,9,FALSE),"cg","c"),"n")</f>
        <v>n</v>
      </c>
    </row>
    <row r="77" spans="1:37" s="1" customFormat="1" ht="14.25" customHeight="1" x14ac:dyDescent="0.3">
      <c r="A77" s="197">
        <f>presupuesto!B76</f>
        <v>0</v>
      </c>
      <c r="B77" s="181" t="str">
        <f>presupuesto!C76</f>
        <v xml:space="preserve">   CAPÍTULO IV: SISTEMA DE REGULACIÓN ESTANQUE METALICO ELEVADO</v>
      </c>
      <c r="C77" s="174" t="str">
        <f>presupuesto!G76</f>
        <v>272 días</v>
      </c>
      <c r="D77" s="177">
        <f>presupuesto!N76</f>
        <v>45630</v>
      </c>
      <c r="E77" s="177">
        <f>presupuesto!O76</f>
        <v>45901</v>
      </c>
      <c r="F77" s="194" t="str">
        <f>IF(AK77="n",CONCATENATE(" - "),IF(AK77="cg",CONCATENATE(" - "),CONCATENATE(ROUND(IFERROR(VLOOKUP(A77,informe!A:J,9,FALSE)/VLOOKUP(A77,informe!A:J,5,FALSE),0)*100,2),"% ")))</f>
        <v xml:space="preserve"> - </v>
      </c>
      <c r="G77" s="195" t="str">
        <f>IF(AND(G$3&gt;=$D77,G$3&lt;=$E77),IF((G$3-$D77+1)*VLOOKUP($A77,presupuesto!$B:$Q,16,FALSE)&gt;=VLOOKUP($A77,informe!$A:$J,9,FALSE),"cg","c"),"n")</f>
        <v>n</v>
      </c>
      <c r="H77" s="195" t="str">
        <f>IF(AND(H$3&gt;=$D77,H$3&lt;=$E77),IF((H$3-$D77+1)*VLOOKUP($A77,presupuesto!$B:$Q,16,FALSE)&gt;=VLOOKUP($A77,informe!$A:$J,9,FALSE),"cg","c"),"n")</f>
        <v>n</v>
      </c>
      <c r="I77" s="195" t="str">
        <f>IF(AND(I$3&gt;=$D77,I$3&lt;=$E77),IF((I$3-$D77+1)*VLOOKUP($A77,presupuesto!$B:$Q,16,FALSE)&gt;=VLOOKUP($A77,informe!$A:$J,9,FALSE),"cg","c"),"n")</f>
        <v>n</v>
      </c>
      <c r="J77" s="195" t="str">
        <f>IF(AND(J$3&gt;=$D77,J$3&lt;=$E77),IF((J$3-$D77+1)*VLOOKUP($A77,presupuesto!$B:$Q,16,FALSE)&gt;=VLOOKUP($A77,informe!$A:$J,9,FALSE),"cg","c"),"n")</f>
        <v>cg</v>
      </c>
      <c r="K77" s="195" t="str">
        <f>IF(AND(K$3&gt;=$D77,K$3&lt;=$E77),IF((K$3-$D77+1)*VLOOKUP($A77,presupuesto!$B:$Q,16,FALSE)&gt;=VLOOKUP($A77,informe!$A:$J,9,FALSE),"cg","c"),"n")</f>
        <v>cg</v>
      </c>
      <c r="L77" s="195" t="str">
        <f>IF(AND(L$3&gt;=$D77,L$3&lt;=$E77),IF((L$3-$D77+1)*VLOOKUP($A77,presupuesto!$B:$Q,16,FALSE)&gt;=VLOOKUP($A77,informe!$A:$J,9,FALSE),"cg","c"),"n")</f>
        <v>cg</v>
      </c>
      <c r="M77" s="195" t="str">
        <f>IF(AND(M$3&gt;=$D77,M$3&lt;=$E77),IF((M$3-$D77+1)*VLOOKUP($A77,presupuesto!$B:$Q,16,FALSE)&gt;=VLOOKUP($A77,informe!$A:$J,9,FALSE),"cg","c"),"n")</f>
        <v>cg</v>
      </c>
      <c r="N77" s="195" t="str">
        <f>IF(AND(N$3&gt;=$D77,N$3&lt;=$E77),IF((N$3-$D77+1)*VLOOKUP($A77,presupuesto!$B:$Q,16,FALSE)&gt;=VLOOKUP($A77,informe!$A:$J,9,FALSE),"cg","c"),"n")</f>
        <v>cg</v>
      </c>
      <c r="O77" s="195" t="str">
        <f>IF(AND(O$3&gt;=$D77,O$3&lt;=$E77),IF((O$3-$D77+1)*VLOOKUP($A77,presupuesto!$B:$Q,16,FALSE)&gt;=VLOOKUP($A77,informe!$A:$J,9,FALSE),"cg","c"),"n")</f>
        <v>cg</v>
      </c>
      <c r="P77" s="195" t="str">
        <f>IF(AND(P$3&gt;=$D77,P$3&lt;=$E77),IF((P$3-$D77+1)*VLOOKUP($A77,presupuesto!$B:$Q,16,FALSE)&gt;=VLOOKUP($A77,informe!$A:$J,9,FALSE),"cg","c"),"n")</f>
        <v>cg</v>
      </c>
      <c r="Q77" s="195" t="str">
        <f>IF(AND(Q$3&gt;=$D77,Q$3&lt;=$E77),IF((Q$3-$D77+1)*VLOOKUP($A77,presupuesto!$B:$Q,16,FALSE)&gt;=VLOOKUP($A77,informe!$A:$J,9,FALSE),"cg","c"),"n")</f>
        <v>cg</v>
      </c>
      <c r="R77" s="195" t="str">
        <f>IF(AND(R$3&gt;=$D77,R$3&lt;=$E77),IF((R$3-$D77+1)*VLOOKUP($A77,presupuesto!$B:$Q,16,FALSE)&gt;=VLOOKUP($A77,informe!$A:$J,9,FALSE),"cg","c"),"n")</f>
        <v>cg</v>
      </c>
      <c r="S77" s="195" t="str">
        <f>IF(AND(S$3&gt;=$D77,S$3&lt;=$E77),IF((S$3-$D77+1)*VLOOKUP($A77,presupuesto!$B:$Q,16,FALSE)&gt;=VLOOKUP($A77,informe!$A:$J,9,FALSE),"cg","c"),"n")</f>
        <v>cg</v>
      </c>
      <c r="T77" s="195" t="str">
        <f>IF(AND(T$3&gt;=$D77,T$3&lt;=$E77),IF((T$3-$D77+1)*VLOOKUP($A77,presupuesto!$B:$Q,16,FALSE)&gt;=VLOOKUP($A77,informe!$A:$J,9,FALSE),"cg","c"),"n")</f>
        <v>cg</v>
      </c>
      <c r="U77" s="195" t="str">
        <f>IF(AND(U$3&gt;=$D77,U$3&lt;=$E77),IF((U$3-$D77+1)*VLOOKUP($A77,presupuesto!$B:$Q,16,FALSE)&gt;=VLOOKUP($A77,informe!$A:$J,9,FALSE),"cg","c"),"n")</f>
        <v>cg</v>
      </c>
      <c r="V77" s="195" t="str">
        <f>IF(AND(V$3&gt;=$D77,V$3&lt;=$E77),IF((V$3-$D77+1)*VLOOKUP($A77,presupuesto!$B:$Q,16,FALSE)&gt;=VLOOKUP($A77,informe!$A:$J,9,FALSE),"cg","c"),"n")</f>
        <v>cg</v>
      </c>
      <c r="W77" s="195" t="str">
        <f>IF(AND(W$3&gt;=$D77,W$3&lt;=$E77),IF((W$3-$D77+1)*VLOOKUP($A77,presupuesto!$B:$Q,16,FALSE)&gt;=VLOOKUP($A77,informe!$A:$J,9,FALSE),"cg","c"),"n")</f>
        <v>cg</v>
      </c>
      <c r="X77" s="195" t="str">
        <f>IF(AND(X$3&gt;=$D77,X$3&lt;=$E77),IF((X$3-$D77+1)*VLOOKUP($A77,presupuesto!$B:$Q,16,FALSE)&gt;=VLOOKUP($A77,informe!$A:$J,9,FALSE),"cg","c"),"n")</f>
        <v>cg</v>
      </c>
      <c r="Y77" s="195" t="str">
        <f>IF(AND(Y$3&gt;=$D77,Y$3&lt;=$E77),IF((Y$3-$D77+1)*VLOOKUP($A77,presupuesto!$B:$Q,16,FALSE)&gt;=VLOOKUP($A77,informe!$A:$J,9,FALSE),"cg","c"),"n")</f>
        <v>cg</v>
      </c>
      <c r="Z77" s="195" t="str">
        <f>IF(AND(Z$3&gt;=$D77,Z$3&lt;=$E77),IF((Z$3-$D77+1)*VLOOKUP($A77,presupuesto!$B:$Q,16,FALSE)&gt;=VLOOKUP($A77,informe!$A:$J,9,FALSE),"cg","c"),"n")</f>
        <v>cg</v>
      </c>
      <c r="AA77" s="195" t="str">
        <f>IF(AND(AA$3&gt;=$D77,AA$3&lt;=$E77),IF((AA$3-$D77+1)*VLOOKUP($A77,presupuesto!$B:$Q,16,FALSE)&gt;=VLOOKUP($A77,informe!$A:$J,9,FALSE),"cg","c"),"n")</f>
        <v>cg</v>
      </c>
      <c r="AB77" s="195" t="str">
        <f>IF(AND(AB$3&gt;=$D77,AB$3&lt;=$E77),IF((AB$3-$D77+1)*VLOOKUP($A77,presupuesto!$B:$Q,16,FALSE)&gt;=VLOOKUP($A77,informe!$A:$J,9,FALSE),"cg","c"),"n")</f>
        <v>cg</v>
      </c>
      <c r="AC77" s="195" t="str">
        <f>IF(AND(AC$3&gt;=$D77,AC$3&lt;=$E77),IF((AC$3-$D77+1)*VLOOKUP($A77,presupuesto!$B:$Q,16,FALSE)&gt;=VLOOKUP($A77,informe!$A:$J,9,FALSE),"cg","c"),"n")</f>
        <v>cg</v>
      </c>
      <c r="AD77" s="195" t="str">
        <f>IF(AND(AD$3&gt;=$D77,AD$3&lt;=$E77),IF((AD$3-$D77+1)*VLOOKUP($A77,presupuesto!$B:$Q,16,FALSE)&gt;=VLOOKUP($A77,informe!$A:$J,9,FALSE),"cg","c"),"n")</f>
        <v>cg</v>
      </c>
      <c r="AE77" s="195" t="str">
        <f>IF(AND(AE$3&gt;=$D77,AE$3&lt;=$E77),IF((AE$3-$D77+1)*VLOOKUP($A77,presupuesto!$B:$Q,16,FALSE)&gt;=VLOOKUP($A77,informe!$A:$J,9,FALSE),"cg","c"),"n")</f>
        <v>cg</v>
      </c>
      <c r="AF77" s="195" t="str">
        <f>IF(AND(AF$3&gt;=$D77,AF$3&lt;=$E77),IF((AF$3-$D77+1)*VLOOKUP($A77,presupuesto!$B:$Q,16,FALSE)&gt;=VLOOKUP($A77,informe!$A:$J,9,FALSE),"cg","c"),"n")</f>
        <v>cg</v>
      </c>
      <c r="AG77" s="195" t="str">
        <f>IF(AND(AG$3&gt;=$D77,AG$3&lt;=$E77),IF((AG$3-$D77+1)*VLOOKUP($A77,presupuesto!$B:$Q,16,FALSE)&gt;=VLOOKUP($A77,informe!$A:$J,9,FALSE),"cg","c"),"n")</f>
        <v>cg</v>
      </c>
      <c r="AH77" s="195" t="str">
        <f>IF(AND(AH$3&gt;=$D77,AH$3&lt;=$E77),IF((AH$3-$D77+1)*VLOOKUP($A77,presupuesto!$B:$Q,16,FALSE)&gt;=VLOOKUP($A77,informe!$A:$J,9,FALSE),"cg","c"),"n")</f>
        <v>cg</v>
      </c>
      <c r="AI77" s="195" t="str">
        <f>IF(AND(AI$3&gt;=$D77,AI$3&lt;=$E77),IF((AI$3-$D77+1)*VLOOKUP($A77,presupuesto!$B:$Q,16,FALSE)&gt;=VLOOKUP($A77,informe!$A:$J,9,FALSE),"cg","c"),"n")</f>
        <v>cg</v>
      </c>
      <c r="AJ77" s="195" t="str">
        <f>IF(AND(AJ$3&gt;=$D77,AJ$3&lt;=$E77),IF((AJ$3-$D77+1)*VLOOKUP($A77,presupuesto!$B:$Q,16,FALSE)&gt;=VLOOKUP($A77,informe!$A:$J,9,FALSE),"cg","c"),"n")</f>
        <v>cg</v>
      </c>
      <c r="AK77" s="196" t="str">
        <f>IF(AND(AK$3&gt;=$D77,AK$3&lt;=$E77),IF((AK$3-$D77+1)*VLOOKUP($A77,presupuesto!$B:$Q,16,FALSE)&gt;=VLOOKUP($A77,informe!$A:$J,9,FALSE),"cg","c"),"n")</f>
        <v>cg</v>
      </c>
    </row>
    <row r="78" spans="1:37" s="1" customFormat="1" ht="14.25" customHeight="1" x14ac:dyDescent="0.25">
      <c r="A78" s="197">
        <f>presupuesto!B77</f>
        <v>46</v>
      </c>
      <c r="B78" s="182" t="str">
        <f>presupuesto!C77</f>
        <v xml:space="preserve">      Demolición estanque existente</v>
      </c>
      <c r="C78" s="174" t="str">
        <f>presupuesto!G77</f>
        <v>20 días</v>
      </c>
      <c r="D78" s="177">
        <f>presupuesto!N77</f>
        <v>45882</v>
      </c>
      <c r="E78" s="177">
        <f>presupuesto!O77</f>
        <v>45901</v>
      </c>
      <c r="F78" s="194" t="str">
        <f>IF(AK78="n",CONCATENATE(" - "),IF(AK78="cg",CONCATENATE(" - "),CONCATENATE(ROUND(IFERROR(VLOOKUP(A78,informe!A:J,9,FALSE)/VLOOKUP(A78,informe!A:J,5,FALSE),0)*100,2),"% ")))</f>
        <v xml:space="preserve"> - </v>
      </c>
      <c r="G78" s="195" t="str">
        <f>IF(AND(G$3&gt;=$D78,G$3&lt;=$E78),IF((G$3-$D78+1)*VLOOKUP($A78,presupuesto!$B:$Q,16,FALSE)&gt;=VLOOKUP($A78,informe!$A:$J,9,FALSE),"cg","c"),"n")</f>
        <v>n</v>
      </c>
      <c r="H78" s="195" t="str">
        <f>IF(AND(H$3&gt;=$D78,H$3&lt;=$E78),IF((H$3-$D78+1)*VLOOKUP($A78,presupuesto!$B:$Q,16,FALSE)&gt;=VLOOKUP($A78,informe!$A:$J,9,FALSE),"cg","c"),"n")</f>
        <v>n</v>
      </c>
      <c r="I78" s="195" t="str">
        <f>IF(AND(I$3&gt;=$D78,I$3&lt;=$E78),IF((I$3-$D78+1)*VLOOKUP($A78,presupuesto!$B:$Q,16,FALSE)&gt;=VLOOKUP($A78,informe!$A:$J,9,FALSE),"cg","c"),"n")</f>
        <v>n</v>
      </c>
      <c r="J78" s="195" t="str">
        <f>IF(AND(J$3&gt;=$D78,J$3&lt;=$E78),IF((J$3-$D78+1)*VLOOKUP($A78,presupuesto!$B:$Q,16,FALSE)&gt;=VLOOKUP($A78,informe!$A:$J,9,FALSE),"cg","c"),"n")</f>
        <v>n</v>
      </c>
      <c r="K78" s="195" t="str">
        <f>IF(AND(K$3&gt;=$D78,K$3&lt;=$E78),IF((K$3-$D78+1)*VLOOKUP($A78,presupuesto!$B:$Q,16,FALSE)&gt;=VLOOKUP($A78,informe!$A:$J,9,FALSE),"cg","c"),"n")</f>
        <v>n</v>
      </c>
      <c r="L78" s="195" t="str">
        <f>IF(AND(L$3&gt;=$D78,L$3&lt;=$E78),IF((L$3-$D78+1)*VLOOKUP($A78,presupuesto!$B:$Q,16,FALSE)&gt;=VLOOKUP($A78,informe!$A:$J,9,FALSE),"cg","c"),"n")</f>
        <v>n</v>
      </c>
      <c r="M78" s="195" t="str">
        <f>IF(AND(M$3&gt;=$D78,M$3&lt;=$E78),IF((M$3-$D78+1)*VLOOKUP($A78,presupuesto!$B:$Q,16,FALSE)&gt;=VLOOKUP($A78,informe!$A:$J,9,FALSE),"cg","c"),"n")</f>
        <v>n</v>
      </c>
      <c r="N78" s="195" t="str">
        <f>IF(AND(N$3&gt;=$D78,N$3&lt;=$E78),IF((N$3-$D78+1)*VLOOKUP($A78,presupuesto!$B:$Q,16,FALSE)&gt;=VLOOKUP($A78,informe!$A:$J,9,FALSE),"cg","c"),"n")</f>
        <v>n</v>
      </c>
      <c r="O78" s="195" t="str">
        <f>IF(AND(O$3&gt;=$D78,O$3&lt;=$E78),IF((O$3-$D78+1)*VLOOKUP($A78,presupuesto!$B:$Q,16,FALSE)&gt;=VLOOKUP($A78,informe!$A:$J,9,FALSE),"cg","c"),"n")</f>
        <v>n</v>
      </c>
      <c r="P78" s="195" t="str">
        <f>IF(AND(P$3&gt;=$D78,P$3&lt;=$E78),IF((P$3-$D78+1)*VLOOKUP($A78,presupuesto!$B:$Q,16,FALSE)&gt;=VLOOKUP($A78,informe!$A:$J,9,FALSE),"cg","c"),"n")</f>
        <v>n</v>
      </c>
      <c r="Q78" s="195" t="str">
        <f>IF(AND(Q$3&gt;=$D78,Q$3&lt;=$E78),IF((Q$3-$D78+1)*VLOOKUP($A78,presupuesto!$B:$Q,16,FALSE)&gt;=VLOOKUP($A78,informe!$A:$J,9,FALSE),"cg","c"),"n")</f>
        <v>n</v>
      </c>
      <c r="R78" s="195" t="str">
        <f>IF(AND(R$3&gt;=$D78,R$3&lt;=$E78),IF((R$3-$D78+1)*VLOOKUP($A78,presupuesto!$B:$Q,16,FALSE)&gt;=VLOOKUP($A78,informe!$A:$J,9,FALSE),"cg","c"),"n")</f>
        <v>n</v>
      </c>
      <c r="S78" s="195" t="str">
        <f>IF(AND(S$3&gt;=$D78,S$3&lt;=$E78),IF((S$3-$D78+1)*VLOOKUP($A78,presupuesto!$B:$Q,16,FALSE)&gt;=VLOOKUP($A78,informe!$A:$J,9,FALSE),"cg","c"),"n")</f>
        <v>n</v>
      </c>
      <c r="T78" s="195" t="str">
        <f>IF(AND(T$3&gt;=$D78,T$3&lt;=$E78),IF((T$3-$D78+1)*VLOOKUP($A78,presupuesto!$B:$Q,16,FALSE)&gt;=VLOOKUP($A78,informe!$A:$J,9,FALSE),"cg","c"),"n")</f>
        <v>n</v>
      </c>
      <c r="U78" s="195" t="str">
        <f>IF(AND(U$3&gt;=$D78,U$3&lt;=$E78),IF((U$3-$D78+1)*VLOOKUP($A78,presupuesto!$B:$Q,16,FALSE)&gt;=VLOOKUP($A78,informe!$A:$J,9,FALSE),"cg","c"),"n")</f>
        <v>n</v>
      </c>
      <c r="V78" s="195" t="str">
        <f>IF(AND(V$3&gt;=$D78,V$3&lt;=$E78),IF((V$3-$D78+1)*VLOOKUP($A78,presupuesto!$B:$Q,16,FALSE)&gt;=VLOOKUP($A78,informe!$A:$J,9,FALSE),"cg","c"),"n")</f>
        <v>n</v>
      </c>
      <c r="W78" s="195" t="str">
        <f>IF(AND(W$3&gt;=$D78,W$3&lt;=$E78),IF((W$3-$D78+1)*VLOOKUP($A78,presupuesto!$B:$Q,16,FALSE)&gt;=VLOOKUP($A78,informe!$A:$J,9,FALSE),"cg","c"),"n")</f>
        <v>n</v>
      </c>
      <c r="X78" s="195" t="str">
        <f>IF(AND(X$3&gt;=$D78,X$3&lt;=$E78),IF((X$3-$D78+1)*VLOOKUP($A78,presupuesto!$B:$Q,16,FALSE)&gt;=VLOOKUP($A78,informe!$A:$J,9,FALSE),"cg","c"),"n")</f>
        <v>n</v>
      </c>
      <c r="Y78" s="195" t="str">
        <f>IF(AND(Y$3&gt;=$D78,Y$3&lt;=$E78),IF((Y$3-$D78+1)*VLOOKUP($A78,presupuesto!$B:$Q,16,FALSE)&gt;=VLOOKUP($A78,informe!$A:$J,9,FALSE),"cg","c"),"n")</f>
        <v>n</v>
      </c>
      <c r="Z78" s="195" t="str">
        <f>IF(AND(Z$3&gt;=$D78,Z$3&lt;=$E78),IF((Z$3-$D78+1)*VLOOKUP($A78,presupuesto!$B:$Q,16,FALSE)&gt;=VLOOKUP($A78,informe!$A:$J,9,FALSE),"cg","c"),"n")</f>
        <v>n</v>
      </c>
      <c r="AA78" s="195" t="str">
        <f>IF(AND(AA$3&gt;=$D78,AA$3&lt;=$E78),IF((AA$3-$D78+1)*VLOOKUP($A78,presupuesto!$B:$Q,16,FALSE)&gt;=VLOOKUP($A78,informe!$A:$J,9,FALSE),"cg","c"),"n")</f>
        <v>n</v>
      </c>
      <c r="AB78" s="195" t="str">
        <f>IF(AND(AB$3&gt;=$D78,AB$3&lt;=$E78),IF((AB$3-$D78+1)*VLOOKUP($A78,presupuesto!$B:$Q,16,FALSE)&gt;=VLOOKUP($A78,informe!$A:$J,9,FALSE),"cg","c"),"n")</f>
        <v>n</v>
      </c>
      <c r="AC78" s="195" t="str">
        <f>IF(AND(AC$3&gt;=$D78,AC$3&lt;=$E78),IF((AC$3-$D78+1)*VLOOKUP($A78,presupuesto!$B:$Q,16,FALSE)&gt;=VLOOKUP($A78,informe!$A:$J,9,FALSE),"cg","c"),"n")</f>
        <v>n</v>
      </c>
      <c r="AD78" s="195" t="str">
        <f>IF(AND(AD$3&gt;=$D78,AD$3&lt;=$E78),IF((AD$3-$D78+1)*VLOOKUP($A78,presupuesto!$B:$Q,16,FALSE)&gt;=VLOOKUP($A78,informe!$A:$J,9,FALSE),"cg","c"),"n")</f>
        <v>n</v>
      </c>
      <c r="AE78" s="195" t="str">
        <f>IF(AND(AE$3&gt;=$D78,AE$3&lt;=$E78),IF((AE$3-$D78+1)*VLOOKUP($A78,presupuesto!$B:$Q,16,FALSE)&gt;=VLOOKUP($A78,informe!$A:$J,9,FALSE),"cg","c"),"n")</f>
        <v>n</v>
      </c>
      <c r="AF78" s="195" t="str">
        <f>IF(AND(AF$3&gt;=$D78,AF$3&lt;=$E78),IF((AF$3-$D78+1)*VLOOKUP($A78,presupuesto!$B:$Q,16,FALSE)&gt;=VLOOKUP($A78,informe!$A:$J,9,FALSE),"cg","c"),"n")</f>
        <v>n</v>
      </c>
      <c r="AG78" s="195" t="str">
        <f>IF(AND(AG$3&gt;=$D78,AG$3&lt;=$E78),IF((AG$3-$D78+1)*VLOOKUP($A78,presupuesto!$B:$Q,16,FALSE)&gt;=VLOOKUP($A78,informe!$A:$J,9,FALSE),"cg","c"),"n")</f>
        <v>n</v>
      </c>
      <c r="AH78" s="195" t="str">
        <f>IF(AND(AH$3&gt;=$D78,AH$3&lt;=$E78),IF((AH$3-$D78+1)*VLOOKUP($A78,presupuesto!$B:$Q,16,FALSE)&gt;=VLOOKUP($A78,informe!$A:$J,9,FALSE),"cg","c"),"n")</f>
        <v>n</v>
      </c>
      <c r="AI78" s="195" t="str">
        <f>IF(AND(AI$3&gt;=$D78,AI$3&lt;=$E78),IF((AI$3-$D78+1)*VLOOKUP($A78,presupuesto!$B:$Q,16,FALSE)&gt;=VLOOKUP($A78,informe!$A:$J,9,FALSE),"cg","c"),"n")</f>
        <v>n</v>
      </c>
      <c r="AJ78" s="195" t="str">
        <f>IF(AND(AJ$3&gt;=$D78,AJ$3&lt;=$E78),IF((AJ$3-$D78+1)*VLOOKUP($A78,presupuesto!$B:$Q,16,FALSE)&gt;=VLOOKUP($A78,informe!$A:$J,9,FALSE),"cg","c"),"n")</f>
        <v>n</v>
      </c>
      <c r="AK78" s="196" t="str">
        <f>IF(AND(AK$3&gt;=$D78,AK$3&lt;=$E78),IF((AK$3-$D78+1)*VLOOKUP($A78,presupuesto!$B:$Q,16,FALSE)&gt;=VLOOKUP($A78,informe!$A:$J,9,FALSE),"cg","c"),"n")</f>
        <v>n</v>
      </c>
    </row>
    <row r="79" spans="1:37" s="1" customFormat="1" ht="14.25" customHeight="1" x14ac:dyDescent="0.3">
      <c r="A79" s="197" t="str">
        <f>presupuesto!B78</f>
        <v>A.-</v>
      </c>
      <c r="B79" s="181" t="str">
        <f>presupuesto!C78</f>
        <v xml:space="preserve">      MOVIMIENTO DE TIERRAS</v>
      </c>
      <c r="C79" s="174" t="str">
        <f>presupuesto!G78</f>
        <v>120 días</v>
      </c>
      <c r="D79" s="177">
        <f>presupuesto!N78</f>
        <v>45630</v>
      </c>
      <c r="E79" s="177">
        <f>presupuesto!O78</f>
        <v>45749</v>
      </c>
      <c r="F79" s="194" t="str">
        <f>IF(AK79="n",CONCATENATE(" - "),IF(AK79="cg",CONCATENATE(" - "),CONCATENATE(ROUND(IFERROR(VLOOKUP(A79,informe!A:J,9,FALSE)/VLOOKUP(A79,informe!A:J,5,FALSE),0)*100,2),"% ")))</f>
        <v xml:space="preserve"> - </v>
      </c>
      <c r="G79" s="195" t="str">
        <f>IF(AND(G$3&gt;=$D79,G$3&lt;=$E79),IF((G$3-$D79+1)*VLOOKUP($A79,presupuesto!$B:$Q,16,FALSE)&gt;=VLOOKUP($A79,informe!$A:$J,9,FALSE),"cg","c"),"n")</f>
        <v>n</v>
      </c>
      <c r="H79" s="195" t="str">
        <f>IF(AND(H$3&gt;=$D79,H$3&lt;=$E79),IF((H$3-$D79+1)*VLOOKUP($A79,presupuesto!$B:$Q,16,FALSE)&gt;=VLOOKUP($A79,informe!$A:$J,9,FALSE),"cg","c"),"n")</f>
        <v>n</v>
      </c>
      <c r="I79" s="195" t="str">
        <f>IF(AND(I$3&gt;=$D79,I$3&lt;=$E79),IF((I$3-$D79+1)*VLOOKUP($A79,presupuesto!$B:$Q,16,FALSE)&gt;=VLOOKUP($A79,informe!$A:$J,9,FALSE),"cg","c"),"n")</f>
        <v>n</v>
      </c>
      <c r="J79" s="195" t="str">
        <f>IF(AND(J$3&gt;=$D79,J$3&lt;=$E79),IF((J$3-$D79+1)*VLOOKUP($A79,presupuesto!$B:$Q,16,FALSE)&gt;=VLOOKUP($A79,informe!$A:$J,9,FALSE),"cg","c"),"n")</f>
        <v>cg</v>
      </c>
      <c r="K79" s="195" t="str">
        <f>IF(AND(K$3&gt;=$D79,K$3&lt;=$E79),IF((K$3-$D79+1)*VLOOKUP($A79,presupuesto!$B:$Q,16,FALSE)&gt;=VLOOKUP($A79,informe!$A:$J,9,FALSE),"cg","c"),"n")</f>
        <v>cg</v>
      </c>
      <c r="L79" s="195" t="str">
        <f>IF(AND(L$3&gt;=$D79,L$3&lt;=$E79),IF((L$3-$D79+1)*VLOOKUP($A79,presupuesto!$B:$Q,16,FALSE)&gt;=VLOOKUP($A79,informe!$A:$J,9,FALSE),"cg","c"),"n")</f>
        <v>cg</v>
      </c>
      <c r="M79" s="195" t="str">
        <f>IF(AND(M$3&gt;=$D79,M$3&lt;=$E79),IF((M$3-$D79+1)*VLOOKUP($A79,presupuesto!$B:$Q,16,FALSE)&gt;=VLOOKUP($A79,informe!$A:$J,9,FALSE),"cg","c"),"n")</f>
        <v>cg</v>
      </c>
      <c r="N79" s="195" t="str">
        <f>IF(AND(N$3&gt;=$D79,N$3&lt;=$E79),IF((N$3-$D79+1)*VLOOKUP($A79,presupuesto!$B:$Q,16,FALSE)&gt;=VLOOKUP($A79,informe!$A:$J,9,FALSE),"cg","c"),"n")</f>
        <v>cg</v>
      </c>
      <c r="O79" s="195" t="str">
        <f>IF(AND(O$3&gt;=$D79,O$3&lt;=$E79),IF((O$3-$D79+1)*VLOOKUP($A79,presupuesto!$B:$Q,16,FALSE)&gt;=VLOOKUP($A79,informe!$A:$J,9,FALSE),"cg","c"),"n")</f>
        <v>cg</v>
      </c>
      <c r="P79" s="195" t="str">
        <f>IF(AND(P$3&gt;=$D79,P$3&lt;=$E79),IF((P$3-$D79+1)*VLOOKUP($A79,presupuesto!$B:$Q,16,FALSE)&gt;=VLOOKUP($A79,informe!$A:$J,9,FALSE),"cg","c"),"n")</f>
        <v>cg</v>
      </c>
      <c r="Q79" s="195" t="str">
        <f>IF(AND(Q$3&gt;=$D79,Q$3&lt;=$E79),IF((Q$3-$D79+1)*VLOOKUP($A79,presupuesto!$B:$Q,16,FALSE)&gt;=VLOOKUP($A79,informe!$A:$J,9,FALSE),"cg","c"),"n")</f>
        <v>cg</v>
      </c>
      <c r="R79" s="195" t="str">
        <f>IF(AND(R$3&gt;=$D79,R$3&lt;=$E79),IF((R$3-$D79+1)*VLOOKUP($A79,presupuesto!$B:$Q,16,FALSE)&gt;=VLOOKUP($A79,informe!$A:$J,9,FALSE),"cg","c"),"n")</f>
        <v>cg</v>
      </c>
      <c r="S79" s="195" t="str">
        <f>IF(AND(S$3&gt;=$D79,S$3&lt;=$E79),IF((S$3-$D79+1)*VLOOKUP($A79,presupuesto!$B:$Q,16,FALSE)&gt;=VLOOKUP($A79,informe!$A:$J,9,FALSE),"cg","c"),"n")</f>
        <v>cg</v>
      </c>
      <c r="T79" s="195" t="str">
        <f>IF(AND(T$3&gt;=$D79,T$3&lt;=$E79),IF((T$3-$D79+1)*VLOOKUP($A79,presupuesto!$B:$Q,16,FALSE)&gt;=VLOOKUP($A79,informe!$A:$J,9,FALSE),"cg","c"),"n")</f>
        <v>cg</v>
      </c>
      <c r="U79" s="195" t="str">
        <f>IF(AND(U$3&gt;=$D79,U$3&lt;=$E79),IF((U$3-$D79+1)*VLOOKUP($A79,presupuesto!$B:$Q,16,FALSE)&gt;=VLOOKUP($A79,informe!$A:$J,9,FALSE),"cg","c"),"n")</f>
        <v>cg</v>
      </c>
      <c r="V79" s="195" t="str">
        <f>IF(AND(V$3&gt;=$D79,V$3&lt;=$E79),IF((V$3-$D79+1)*VLOOKUP($A79,presupuesto!$B:$Q,16,FALSE)&gt;=VLOOKUP($A79,informe!$A:$J,9,FALSE),"cg","c"),"n")</f>
        <v>cg</v>
      </c>
      <c r="W79" s="195" t="str">
        <f>IF(AND(W$3&gt;=$D79,W$3&lt;=$E79),IF((W$3-$D79+1)*VLOOKUP($A79,presupuesto!$B:$Q,16,FALSE)&gt;=VLOOKUP($A79,informe!$A:$J,9,FALSE),"cg","c"),"n")</f>
        <v>cg</v>
      </c>
      <c r="X79" s="195" t="str">
        <f>IF(AND(X$3&gt;=$D79,X$3&lt;=$E79),IF((X$3-$D79+1)*VLOOKUP($A79,presupuesto!$B:$Q,16,FALSE)&gt;=VLOOKUP($A79,informe!$A:$J,9,FALSE),"cg","c"),"n")</f>
        <v>cg</v>
      </c>
      <c r="Y79" s="195" t="str">
        <f>IF(AND(Y$3&gt;=$D79,Y$3&lt;=$E79),IF((Y$3-$D79+1)*VLOOKUP($A79,presupuesto!$B:$Q,16,FALSE)&gt;=VLOOKUP($A79,informe!$A:$J,9,FALSE),"cg","c"),"n")</f>
        <v>cg</v>
      </c>
      <c r="Z79" s="195" t="str">
        <f>IF(AND(Z$3&gt;=$D79,Z$3&lt;=$E79),IF((Z$3-$D79+1)*VLOOKUP($A79,presupuesto!$B:$Q,16,FALSE)&gt;=VLOOKUP($A79,informe!$A:$J,9,FALSE),"cg","c"),"n")</f>
        <v>cg</v>
      </c>
      <c r="AA79" s="195" t="str">
        <f>IF(AND(AA$3&gt;=$D79,AA$3&lt;=$E79),IF((AA$3-$D79+1)*VLOOKUP($A79,presupuesto!$B:$Q,16,FALSE)&gt;=VLOOKUP($A79,informe!$A:$J,9,FALSE),"cg","c"),"n")</f>
        <v>cg</v>
      </c>
      <c r="AB79" s="195" t="str">
        <f>IF(AND(AB$3&gt;=$D79,AB$3&lt;=$E79),IF((AB$3-$D79+1)*VLOOKUP($A79,presupuesto!$B:$Q,16,FALSE)&gt;=VLOOKUP($A79,informe!$A:$J,9,FALSE),"cg","c"),"n")</f>
        <v>cg</v>
      </c>
      <c r="AC79" s="195" t="str">
        <f>IF(AND(AC$3&gt;=$D79,AC$3&lt;=$E79),IF((AC$3-$D79+1)*VLOOKUP($A79,presupuesto!$B:$Q,16,FALSE)&gt;=VLOOKUP($A79,informe!$A:$J,9,FALSE),"cg","c"),"n")</f>
        <v>cg</v>
      </c>
      <c r="AD79" s="195" t="str">
        <f>IF(AND(AD$3&gt;=$D79,AD$3&lt;=$E79),IF((AD$3-$D79+1)*VLOOKUP($A79,presupuesto!$B:$Q,16,FALSE)&gt;=VLOOKUP($A79,informe!$A:$J,9,FALSE),"cg","c"),"n")</f>
        <v>cg</v>
      </c>
      <c r="AE79" s="195" t="str">
        <f>IF(AND(AE$3&gt;=$D79,AE$3&lt;=$E79),IF((AE$3-$D79+1)*VLOOKUP($A79,presupuesto!$B:$Q,16,FALSE)&gt;=VLOOKUP($A79,informe!$A:$J,9,FALSE),"cg","c"),"n")</f>
        <v>cg</v>
      </c>
      <c r="AF79" s="195" t="str">
        <f>IF(AND(AF$3&gt;=$D79,AF$3&lt;=$E79),IF((AF$3-$D79+1)*VLOOKUP($A79,presupuesto!$B:$Q,16,FALSE)&gt;=VLOOKUP($A79,informe!$A:$J,9,FALSE),"cg","c"),"n")</f>
        <v>cg</v>
      </c>
      <c r="AG79" s="195" t="str">
        <f>IF(AND(AG$3&gt;=$D79,AG$3&lt;=$E79),IF((AG$3-$D79+1)*VLOOKUP($A79,presupuesto!$B:$Q,16,FALSE)&gt;=VLOOKUP($A79,informe!$A:$J,9,FALSE),"cg","c"),"n")</f>
        <v>cg</v>
      </c>
      <c r="AH79" s="195" t="str">
        <f>IF(AND(AH$3&gt;=$D79,AH$3&lt;=$E79),IF((AH$3-$D79+1)*VLOOKUP($A79,presupuesto!$B:$Q,16,FALSE)&gt;=VLOOKUP($A79,informe!$A:$J,9,FALSE),"cg","c"),"n")</f>
        <v>cg</v>
      </c>
      <c r="AI79" s="195" t="str">
        <f>IF(AND(AI$3&gt;=$D79,AI$3&lt;=$E79),IF((AI$3-$D79+1)*VLOOKUP($A79,presupuesto!$B:$Q,16,FALSE)&gt;=VLOOKUP($A79,informe!$A:$J,9,FALSE),"cg","c"),"n")</f>
        <v>cg</v>
      </c>
      <c r="AJ79" s="195" t="str">
        <f>IF(AND(AJ$3&gt;=$D79,AJ$3&lt;=$E79),IF((AJ$3-$D79+1)*VLOOKUP($A79,presupuesto!$B:$Q,16,FALSE)&gt;=VLOOKUP($A79,informe!$A:$J,9,FALSE),"cg","c"),"n")</f>
        <v>cg</v>
      </c>
      <c r="AK79" s="196" t="str">
        <f>IF(AND(AK$3&gt;=$D79,AK$3&lt;=$E79),IF((AK$3-$D79+1)*VLOOKUP($A79,presupuesto!$B:$Q,16,FALSE)&gt;=VLOOKUP($A79,informe!$A:$J,9,FALSE),"cg","c"),"n")</f>
        <v>cg</v>
      </c>
    </row>
    <row r="80" spans="1:37" s="1" customFormat="1" ht="14.25" customHeight="1" x14ac:dyDescent="0.25">
      <c r="A80" s="197">
        <f>presupuesto!B79</f>
        <v>47</v>
      </c>
      <c r="B80" s="182" t="str">
        <f>presupuesto!C79</f>
        <v xml:space="preserve">         Excavación para fundación</v>
      </c>
      <c r="C80" s="174" t="str">
        <f>presupuesto!G79</f>
        <v>18 días</v>
      </c>
      <c r="D80" s="177">
        <f>presupuesto!N79</f>
        <v>45630</v>
      </c>
      <c r="E80" s="177">
        <f>presupuesto!O79</f>
        <v>45647</v>
      </c>
      <c r="F80" s="194" t="str">
        <f>IF(AK80="n",CONCATENATE(" - "),IF(AK80="cg",CONCATENATE(" - "),CONCATENATE(ROUND(IFERROR(VLOOKUP(A80,informe!A:J,9,FALSE)/VLOOKUP(A80,informe!A:J,5,FALSE),0)*100,2),"% ")))</f>
        <v xml:space="preserve"> - </v>
      </c>
      <c r="G80" s="195" t="str">
        <f>IF(AND(G$3&gt;=$D80,G$3&lt;=$E80),IF((G$3-$D80+1)*VLOOKUP($A80,presupuesto!$B:$Q,16,FALSE)&gt;=VLOOKUP($A80,informe!$A:$J,9,FALSE),"cg","c"),"n")</f>
        <v>n</v>
      </c>
      <c r="H80" s="195" t="str">
        <f>IF(AND(H$3&gt;=$D80,H$3&lt;=$E80),IF((H$3-$D80+1)*VLOOKUP($A80,presupuesto!$B:$Q,16,FALSE)&gt;=VLOOKUP($A80,informe!$A:$J,9,FALSE),"cg","c"),"n")</f>
        <v>n</v>
      </c>
      <c r="I80" s="195" t="str">
        <f>IF(AND(I$3&gt;=$D80,I$3&lt;=$E80),IF((I$3-$D80+1)*VLOOKUP($A80,presupuesto!$B:$Q,16,FALSE)&gt;=VLOOKUP($A80,informe!$A:$J,9,FALSE),"cg","c"),"n")</f>
        <v>n</v>
      </c>
      <c r="J80" s="195" t="str">
        <f>IF(AND(J$3&gt;=$D80,J$3&lt;=$E80),IF((J$3-$D80+1)*VLOOKUP($A80,presupuesto!$B:$Q,16,FALSE)&gt;=VLOOKUP($A80,informe!$A:$J,9,FALSE),"cg","c"),"n")</f>
        <v>cg</v>
      </c>
      <c r="K80" s="195" t="str">
        <f>IF(AND(K$3&gt;=$D80,K$3&lt;=$E80),IF((K$3-$D80+1)*VLOOKUP($A80,presupuesto!$B:$Q,16,FALSE)&gt;=VLOOKUP($A80,informe!$A:$J,9,FALSE),"cg","c"),"n")</f>
        <v>cg</v>
      </c>
      <c r="L80" s="195" t="str">
        <f>IF(AND(L$3&gt;=$D80,L$3&lt;=$E80),IF((L$3-$D80+1)*VLOOKUP($A80,presupuesto!$B:$Q,16,FALSE)&gt;=VLOOKUP($A80,informe!$A:$J,9,FALSE),"cg","c"),"n")</f>
        <v>cg</v>
      </c>
      <c r="M80" s="195" t="str">
        <f>IF(AND(M$3&gt;=$D80,M$3&lt;=$E80),IF((M$3-$D80+1)*VLOOKUP($A80,presupuesto!$B:$Q,16,FALSE)&gt;=VLOOKUP($A80,informe!$A:$J,9,FALSE),"cg","c"),"n")</f>
        <v>cg</v>
      </c>
      <c r="N80" s="195" t="str">
        <f>IF(AND(N$3&gt;=$D80,N$3&lt;=$E80),IF((N$3-$D80+1)*VLOOKUP($A80,presupuesto!$B:$Q,16,FALSE)&gt;=VLOOKUP($A80,informe!$A:$J,9,FALSE),"cg","c"),"n")</f>
        <v>cg</v>
      </c>
      <c r="O80" s="195" t="str">
        <f>IF(AND(O$3&gt;=$D80,O$3&lt;=$E80),IF((O$3-$D80+1)*VLOOKUP($A80,presupuesto!$B:$Q,16,FALSE)&gt;=VLOOKUP($A80,informe!$A:$J,9,FALSE),"cg","c"),"n")</f>
        <v>cg</v>
      </c>
      <c r="P80" s="195" t="str">
        <f>IF(AND(P$3&gt;=$D80,P$3&lt;=$E80),IF((P$3-$D80+1)*VLOOKUP($A80,presupuesto!$B:$Q,16,FALSE)&gt;=VLOOKUP($A80,informe!$A:$J,9,FALSE),"cg","c"),"n")</f>
        <v>cg</v>
      </c>
      <c r="Q80" s="195" t="str">
        <f>IF(AND(Q$3&gt;=$D80,Q$3&lt;=$E80),IF((Q$3-$D80+1)*VLOOKUP($A80,presupuesto!$B:$Q,16,FALSE)&gt;=VLOOKUP($A80,informe!$A:$J,9,FALSE),"cg","c"),"n")</f>
        <v>cg</v>
      </c>
      <c r="R80" s="195" t="str">
        <f>IF(AND(R$3&gt;=$D80,R$3&lt;=$E80),IF((R$3-$D80+1)*VLOOKUP($A80,presupuesto!$B:$Q,16,FALSE)&gt;=VLOOKUP($A80,informe!$A:$J,9,FALSE),"cg","c"),"n")</f>
        <v>cg</v>
      </c>
      <c r="S80" s="195" t="str">
        <f>IF(AND(S$3&gt;=$D80,S$3&lt;=$E80),IF((S$3-$D80+1)*VLOOKUP($A80,presupuesto!$B:$Q,16,FALSE)&gt;=VLOOKUP($A80,informe!$A:$J,9,FALSE),"cg","c"),"n")</f>
        <v>cg</v>
      </c>
      <c r="T80" s="195" t="str">
        <f>IF(AND(T$3&gt;=$D80,T$3&lt;=$E80),IF((T$3-$D80+1)*VLOOKUP($A80,presupuesto!$B:$Q,16,FALSE)&gt;=VLOOKUP($A80,informe!$A:$J,9,FALSE),"cg","c"),"n")</f>
        <v>cg</v>
      </c>
      <c r="U80" s="195" t="str">
        <f>IF(AND(U$3&gt;=$D80,U$3&lt;=$E80),IF((U$3-$D80+1)*VLOOKUP($A80,presupuesto!$B:$Q,16,FALSE)&gt;=VLOOKUP($A80,informe!$A:$J,9,FALSE),"cg","c"),"n")</f>
        <v>cg</v>
      </c>
      <c r="V80" s="195" t="str">
        <f>IF(AND(V$3&gt;=$D80,V$3&lt;=$E80),IF((V$3-$D80+1)*VLOOKUP($A80,presupuesto!$B:$Q,16,FALSE)&gt;=VLOOKUP($A80,informe!$A:$J,9,FALSE),"cg","c"),"n")</f>
        <v>cg</v>
      </c>
      <c r="W80" s="195" t="str">
        <f>IF(AND(W$3&gt;=$D80,W$3&lt;=$E80),IF((W$3-$D80+1)*VLOOKUP($A80,presupuesto!$B:$Q,16,FALSE)&gt;=VLOOKUP($A80,informe!$A:$J,9,FALSE),"cg","c"),"n")</f>
        <v>cg</v>
      </c>
      <c r="X80" s="195" t="str">
        <f>IF(AND(X$3&gt;=$D80,X$3&lt;=$E80),IF((X$3-$D80+1)*VLOOKUP($A80,presupuesto!$B:$Q,16,FALSE)&gt;=VLOOKUP($A80,informe!$A:$J,9,FALSE),"cg","c"),"n")</f>
        <v>cg</v>
      </c>
      <c r="Y80" s="195" t="str">
        <f>IF(AND(Y$3&gt;=$D80,Y$3&lt;=$E80),IF((Y$3-$D80+1)*VLOOKUP($A80,presupuesto!$B:$Q,16,FALSE)&gt;=VLOOKUP($A80,informe!$A:$J,9,FALSE),"cg","c"),"n")</f>
        <v>cg</v>
      </c>
      <c r="Z80" s="195" t="str">
        <f>IF(AND(Z$3&gt;=$D80,Z$3&lt;=$E80),IF((Z$3-$D80+1)*VLOOKUP($A80,presupuesto!$B:$Q,16,FALSE)&gt;=VLOOKUP($A80,informe!$A:$J,9,FALSE),"cg","c"),"n")</f>
        <v>cg</v>
      </c>
      <c r="AA80" s="195" t="str">
        <f>IF(AND(AA$3&gt;=$D80,AA$3&lt;=$E80),IF((AA$3-$D80+1)*VLOOKUP($A80,presupuesto!$B:$Q,16,FALSE)&gt;=VLOOKUP($A80,informe!$A:$J,9,FALSE),"cg","c"),"n")</f>
        <v>cg</v>
      </c>
      <c r="AB80" s="195" t="str">
        <f>IF(AND(AB$3&gt;=$D80,AB$3&lt;=$E80),IF((AB$3-$D80+1)*VLOOKUP($A80,presupuesto!$B:$Q,16,FALSE)&gt;=VLOOKUP($A80,informe!$A:$J,9,FALSE),"cg","c"),"n")</f>
        <v>n</v>
      </c>
      <c r="AC80" s="195" t="str">
        <f>IF(AND(AC$3&gt;=$D80,AC$3&lt;=$E80),IF((AC$3-$D80+1)*VLOOKUP($A80,presupuesto!$B:$Q,16,FALSE)&gt;=VLOOKUP($A80,informe!$A:$J,9,FALSE),"cg","c"),"n")</f>
        <v>n</v>
      </c>
      <c r="AD80" s="195" t="str">
        <f>IF(AND(AD$3&gt;=$D80,AD$3&lt;=$E80),IF((AD$3-$D80+1)*VLOOKUP($A80,presupuesto!$B:$Q,16,FALSE)&gt;=VLOOKUP($A80,informe!$A:$J,9,FALSE),"cg","c"),"n")</f>
        <v>n</v>
      </c>
      <c r="AE80" s="195" t="str">
        <f>IF(AND(AE$3&gt;=$D80,AE$3&lt;=$E80),IF((AE$3-$D80+1)*VLOOKUP($A80,presupuesto!$B:$Q,16,FALSE)&gt;=VLOOKUP($A80,informe!$A:$J,9,FALSE),"cg","c"),"n")</f>
        <v>n</v>
      </c>
      <c r="AF80" s="195" t="str">
        <f>IF(AND(AF$3&gt;=$D80,AF$3&lt;=$E80),IF((AF$3-$D80+1)*VLOOKUP($A80,presupuesto!$B:$Q,16,FALSE)&gt;=VLOOKUP($A80,informe!$A:$J,9,FALSE),"cg","c"),"n")</f>
        <v>n</v>
      </c>
      <c r="AG80" s="195" t="str">
        <f>IF(AND(AG$3&gt;=$D80,AG$3&lt;=$E80),IF((AG$3-$D80+1)*VLOOKUP($A80,presupuesto!$B:$Q,16,FALSE)&gt;=VLOOKUP($A80,informe!$A:$J,9,FALSE),"cg","c"),"n")</f>
        <v>n</v>
      </c>
      <c r="AH80" s="195" t="str">
        <f>IF(AND(AH$3&gt;=$D80,AH$3&lt;=$E80),IF((AH$3-$D80+1)*VLOOKUP($A80,presupuesto!$B:$Q,16,FALSE)&gt;=VLOOKUP($A80,informe!$A:$J,9,FALSE),"cg","c"),"n")</f>
        <v>n</v>
      </c>
      <c r="AI80" s="195" t="str">
        <f>IF(AND(AI$3&gt;=$D80,AI$3&lt;=$E80),IF((AI$3-$D80+1)*VLOOKUP($A80,presupuesto!$B:$Q,16,FALSE)&gt;=VLOOKUP($A80,informe!$A:$J,9,FALSE),"cg","c"),"n")</f>
        <v>n</v>
      </c>
      <c r="AJ80" s="195" t="str">
        <f>IF(AND(AJ$3&gt;=$D80,AJ$3&lt;=$E80),IF((AJ$3-$D80+1)*VLOOKUP($A80,presupuesto!$B:$Q,16,FALSE)&gt;=VLOOKUP($A80,informe!$A:$J,9,FALSE),"cg","c"),"n")</f>
        <v>n</v>
      </c>
      <c r="AK80" s="196" t="str">
        <f>IF(AND(AK$3&gt;=$D80,AK$3&lt;=$E80),IF((AK$3-$D80+1)*VLOOKUP($A80,presupuesto!$B:$Q,16,FALSE)&gt;=VLOOKUP($A80,informe!$A:$J,9,FALSE),"cg","c"),"n")</f>
        <v>n</v>
      </c>
    </row>
    <row r="81" spans="1:37" s="1" customFormat="1" ht="14.25" customHeight="1" x14ac:dyDescent="0.25">
      <c r="A81" s="193">
        <f>presupuesto!B80</f>
        <v>48</v>
      </c>
      <c r="B81" s="182" t="str">
        <f>presupuesto!C80</f>
        <v xml:space="preserve">         Relleno Estructural para mejoramiento suelo de fundación</v>
      </c>
      <c r="C81" s="173" t="str">
        <f>presupuesto!G80</f>
        <v>18 días</v>
      </c>
      <c r="D81" s="176">
        <f>presupuesto!N80</f>
        <v>45664</v>
      </c>
      <c r="E81" s="176">
        <f>presupuesto!O80</f>
        <v>45681</v>
      </c>
      <c r="F81" s="194" t="str">
        <f>IF(AK81="n",CONCATENATE(" - "),IF(AK81="cg",CONCATENATE(" - "),CONCATENATE(ROUND(IFERROR(VLOOKUP(A81,informe!A:J,9,FALSE)/VLOOKUP(A81,informe!A:J,5,FALSE),0)*100,2),"% ")))</f>
        <v xml:space="preserve"> - </v>
      </c>
      <c r="G81" s="195" t="str">
        <f>IF(AND(G$3&gt;=$D81,G$3&lt;=$E81),IF((G$3-$D81+1)*VLOOKUP($A81,presupuesto!$B:$Q,16,FALSE)&gt;=VLOOKUP($A81,informe!$A:$J,9,FALSE),"cg","c"),"n")</f>
        <v>n</v>
      </c>
      <c r="H81" s="195" t="str">
        <f>IF(AND(H$3&gt;=$D81,H$3&lt;=$E81),IF((H$3-$D81+1)*VLOOKUP($A81,presupuesto!$B:$Q,16,FALSE)&gt;=VLOOKUP($A81,informe!$A:$J,9,FALSE),"cg","c"),"n")</f>
        <v>n</v>
      </c>
      <c r="I81" s="195" t="str">
        <f>IF(AND(I$3&gt;=$D81,I$3&lt;=$E81),IF((I$3-$D81+1)*VLOOKUP($A81,presupuesto!$B:$Q,16,FALSE)&gt;=VLOOKUP($A81,informe!$A:$J,9,FALSE),"cg","c"),"n")</f>
        <v>n</v>
      </c>
      <c r="J81" s="195" t="str">
        <f>IF(AND(J$3&gt;=$D81,J$3&lt;=$E81),IF((J$3-$D81+1)*VLOOKUP($A81,presupuesto!$B:$Q,16,FALSE)&gt;=VLOOKUP($A81,informe!$A:$J,9,FALSE),"cg","c"),"n")</f>
        <v>n</v>
      </c>
      <c r="K81" s="195" t="str">
        <f>IF(AND(K$3&gt;=$D81,K$3&lt;=$E81),IF((K$3-$D81+1)*VLOOKUP($A81,presupuesto!$B:$Q,16,FALSE)&gt;=VLOOKUP($A81,informe!$A:$J,9,FALSE),"cg","c"),"n")</f>
        <v>n</v>
      </c>
      <c r="L81" s="195" t="str">
        <f>IF(AND(L$3&gt;=$D81,L$3&lt;=$E81),IF((L$3-$D81+1)*VLOOKUP($A81,presupuesto!$B:$Q,16,FALSE)&gt;=VLOOKUP($A81,informe!$A:$J,9,FALSE),"cg","c"),"n")</f>
        <v>n</v>
      </c>
      <c r="M81" s="195" t="str">
        <f>IF(AND(M$3&gt;=$D81,M$3&lt;=$E81),IF((M$3-$D81+1)*VLOOKUP($A81,presupuesto!$B:$Q,16,FALSE)&gt;=VLOOKUP($A81,informe!$A:$J,9,FALSE),"cg","c"),"n")</f>
        <v>n</v>
      </c>
      <c r="N81" s="195" t="str">
        <f>IF(AND(N$3&gt;=$D81,N$3&lt;=$E81),IF((N$3-$D81+1)*VLOOKUP($A81,presupuesto!$B:$Q,16,FALSE)&gt;=VLOOKUP($A81,informe!$A:$J,9,FALSE),"cg","c"),"n")</f>
        <v>n</v>
      </c>
      <c r="O81" s="195" t="str">
        <f>IF(AND(O$3&gt;=$D81,O$3&lt;=$E81),IF((O$3-$D81+1)*VLOOKUP($A81,presupuesto!$B:$Q,16,FALSE)&gt;=VLOOKUP($A81,informe!$A:$J,9,FALSE),"cg","c"),"n")</f>
        <v>n</v>
      </c>
      <c r="P81" s="195" t="str">
        <f>IF(AND(P$3&gt;=$D81,P$3&lt;=$E81),IF((P$3-$D81+1)*VLOOKUP($A81,presupuesto!$B:$Q,16,FALSE)&gt;=VLOOKUP($A81,informe!$A:$J,9,FALSE),"cg","c"),"n")</f>
        <v>n</v>
      </c>
      <c r="Q81" s="195" t="str">
        <f>IF(AND(Q$3&gt;=$D81,Q$3&lt;=$E81),IF((Q$3-$D81+1)*VLOOKUP($A81,presupuesto!$B:$Q,16,FALSE)&gt;=VLOOKUP($A81,informe!$A:$J,9,FALSE),"cg","c"),"n")</f>
        <v>n</v>
      </c>
      <c r="R81" s="195" t="str">
        <f>IF(AND(R$3&gt;=$D81,R$3&lt;=$E81),IF((R$3-$D81+1)*VLOOKUP($A81,presupuesto!$B:$Q,16,FALSE)&gt;=VLOOKUP($A81,informe!$A:$J,9,FALSE),"cg","c"),"n")</f>
        <v>n</v>
      </c>
      <c r="S81" s="195" t="str">
        <f>IF(AND(S$3&gt;=$D81,S$3&lt;=$E81),IF((S$3-$D81+1)*VLOOKUP($A81,presupuesto!$B:$Q,16,FALSE)&gt;=VLOOKUP($A81,informe!$A:$J,9,FALSE),"cg","c"),"n")</f>
        <v>n</v>
      </c>
      <c r="T81" s="195" t="str">
        <f>IF(AND(T$3&gt;=$D81,T$3&lt;=$E81),IF((T$3-$D81+1)*VLOOKUP($A81,presupuesto!$B:$Q,16,FALSE)&gt;=VLOOKUP($A81,informe!$A:$J,9,FALSE),"cg","c"),"n")</f>
        <v>n</v>
      </c>
      <c r="U81" s="195" t="str">
        <f>IF(AND(U$3&gt;=$D81,U$3&lt;=$E81),IF((U$3-$D81+1)*VLOOKUP($A81,presupuesto!$B:$Q,16,FALSE)&gt;=VLOOKUP($A81,informe!$A:$J,9,FALSE),"cg","c"),"n")</f>
        <v>n</v>
      </c>
      <c r="V81" s="195" t="str">
        <f>IF(AND(V$3&gt;=$D81,V$3&lt;=$E81),IF((V$3-$D81+1)*VLOOKUP($A81,presupuesto!$B:$Q,16,FALSE)&gt;=VLOOKUP($A81,informe!$A:$J,9,FALSE),"cg","c"),"n")</f>
        <v>n</v>
      </c>
      <c r="W81" s="195" t="str">
        <f>IF(AND(W$3&gt;=$D81,W$3&lt;=$E81),IF((W$3-$D81+1)*VLOOKUP($A81,presupuesto!$B:$Q,16,FALSE)&gt;=VLOOKUP($A81,informe!$A:$J,9,FALSE),"cg","c"),"n")</f>
        <v>n</v>
      </c>
      <c r="X81" s="195" t="str">
        <f>IF(AND(X$3&gt;=$D81,X$3&lt;=$E81),IF((X$3-$D81+1)*VLOOKUP($A81,presupuesto!$B:$Q,16,FALSE)&gt;=VLOOKUP($A81,informe!$A:$J,9,FALSE),"cg","c"),"n")</f>
        <v>n</v>
      </c>
      <c r="Y81" s="195" t="str">
        <f>IF(AND(Y$3&gt;=$D81,Y$3&lt;=$E81),IF((Y$3-$D81+1)*VLOOKUP($A81,presupuesto!$B:$Q,16,FALSE)&gt;=VLOOKUP($A81,informe!$A:$J,9,FALSE),"cg","c"),"n")</f>
        <v>n</v>
      </c>
      <c r="Z81" s="195" t="str">
        <f>IF(AND(Z$3&gt;=$D81,Z$3&lt;=$E81),IF((Z$3-$D81+1)*VLOOKUP($A81,presupuesto!$B:$Q,16,FALSE)&gt;=VLOOKUP($A81,informe!$A:$J,9,FALSE),"cg","c"),"n")</f>
        <v>n</v>
      </c>
      <c r="AA81" s="195" t="str">
        <f>IF(AND(AA$3&gt;=$D81,AA$3&lt;=$E81),IF((AA$3-$D81+1)*VLOOKUP($A81,presupuesto!$B:$Q,16,FALSE)&gt;=VLOOKUP($A81,informe!$A:$J,9,FALSE),"cg","c"),"n")</f>
        <v>n</v>
      </c>
      <c r="AB81" s="195" t="str">
        <f>IF(AND(AB$3&gt;=$D81,AB$3&lt;=$E81),IF((AB$3-$D81+1)*VLOOKUP($A81,presupuesto!$B:$Q,16,FALSE)&gt;=VLOOKUP($A81,informe!$A:$J,9,FALSE),"cg","c"),"n")</f>
        <v>n</v>
      </c>
      <c r="AC81" s="195" t="str">
        <f>IF(AND(AC$3&gt;=$D81,AC$3&lt;=$E81),IF((AC$3-$D81+1)*VLOOKUP($A81,presupuesto!$B:$Q,16,FALSE)&gt;=VLOOKUP($A81,informe!$A:$J,9,FALSE),"cg","c"),"n")</f>
        <v>n</v>
      </c>
      <c r="AD81" s="195" t="str">
        <f>IF(AND(AD$3&gt;=$D81,AD$3&lt;=$E81),IF((AD$3-$D81+1)*VLOOKUP($A81,presupuesto!$B:$Q,16,FALSE)&gt;=VLOOKUP($A81,informe!$A:$J,9,FALSE),"cg","c"),"n")</f>
        <v>n</v>
      </c>
      <c r="AE81" s="195" t="str">
        <f>IF(AND(AE$3&gt;=$D81,AE$3&lt;=$E81),IF((AE$3-$D81+1)*VLOOKUP($A81,presupuesto!$B:$Q,16,FALSE)&gt;=VLOOKUP($A81,informe!$A:$J,9,FALSE),"cg","c"),"n")</f>
        <v>n</v>
      </c>
      <c r="AF81" s="195" t="str">
        <f>IF(AND(AF$3&gt;=$D81,AF$3&lt;=$E81),IF((AF$3-$D81+1)*VLOOKUP($A81,presupuesto!$B:$Q,16,FALSE)&gt;=VLOOKUP($A81,informe!$A:$J,9,FALSE),"cg","c"),"n")</f>
        <v>n</v>
      </c>
      <c r="AG81" s="195" t="str">
        <f>IF(AND(AG$3&gt;=$D81,AG$3&lt;=$E81),IF((AG$3-$D81+1)*VLOOKUP($A81,presupuesto!$B:$Q,16,FALSE)&gt;=VLOOKUP($A81,informe!$A:$J,9,FALSE),"cg","c"),"n")</f>
        <v>n</v>
      </c>
      <c r="AH81" s="195" t="str">
        <f>IF(AND(AH$3&gt;=$D81,AH$3&lt;=$E81),IF((AH$3-$D81+1)*VLOOKUP($A81,presupuesto!$B:$Q,16,FALSE)&gt;=VLOOKUP($A81,informe!$A:$J,9,FALSE),"cg","c"),"n")</f>
        <v>n</v>
      </c>
      <c r="AI81" s="195" t="str">
        <f>IF(AND(AI$3&gt;=$D81,AI$3&lt;=$E81),IF((AI$3-$D81+1)*VLOOKUP($A81,presupuesto!$B:$Q,16,FALSE)&gt;=VLOOKUP($A81,informe!$A:$J,9,FALSE),"cg","c"),"n")</f>
        <v>n</v>
      </c>
      <c r="AJ81" s="195" t="str">
        <f>IF(AND(AJ$3&gt;=$D81,AJ$3&lt;=$E81),IF((AJ$3-$D81+1)*VLOOKUP($A81,presupuesto!$B:$Q,16,FALSE)&gt;=VLOOKUP($A81,informe!$A:$J,9,FALSE),"cg","c"),"n")</f>
        <v>n</v>
      </c>
      <c r="AK81" s="196" t="str">
        <f>IF(AND(AK$3&gt;=$D81,AK$3&lt;=$E81),IF((AK$3-$D81+1)*VLOOKUP($A81,presupuesto!$B:$Q,16,FALSE)&gt;=VLOOKUP($A81,informe!$A:$J,9,FALSE),"cg","c"),"n")</f>
        <v>n</v>
      </c>
    </row>
    <row r="82" spans="1:37" s="1" customFormat="1" ht="14.25" customHeight="1" x14ac:dyDescent="0.25">
      <c r="A82" s="197">
        <f>presupuesto!B81</f>
        <v>49</v>
      </c>
      <c r="B82" s="182" t="str">
        <f>presupuesto!C81</f>
        <v xml:space="preserve">         Relleno de Confinamiento</v>
      </c>
      <c r="C82" s="174" t="str">
        <f>presupuesto!G81</f>
        <v>15 días</v>
      </c>
      <c r="D82" s="177">
        <f>presupuesto!N81</f>
        <v>45735</v>
      </c>
      <c r="E82" s="177">
        <f>presupuesto!O81</f>
        <v>45749</v>
      </c>
      <c r="F82" s="194" t="str">
        <f>IF(AK82="n",CONCATENATE(" - "),IF(AK82="cg",CONCATENATE(" - "),CONCATENATE(ROUND(IFERROR(VLOOKUP(A82,informe!A:J,9,FALSE)/VLOOKUP(A82,informe!A:J,5,FALSE),0)*100,2),"% ")))</f>
        <v xml:space="preserve"> - </v>
      </c>
      <c r="G82" s="195" t="str">
        <f>IF(AND(G$3&gt;=$D82,G$3&lt;=$E82),IF((G$3-$D82+1)*VLOOKUP($A82,presupuesto!$B:$Q,16,FALSE)&gt;=VLOOKUP($A82,informe!$A:$J,9,FALSE),"cg","c"),"n")</f>
        <v>n</v>
      </c>
      <c r="H82" s="195" t="str">
        <f>IF(AND(H$3&gt;=$D82,H$3&lt;=$E82),IF((H$3-$D82+1)*VLOOKUP($A82,presupuesto!$B:$Q,16,FALSE)&gt;=VLOOKUP($A82,informe!$A:$J,9,FALSE),"cg","c"),"n")</f>
        <v>n</v>
      </c>
      <c r="I82" s="195" t="str">
        <f>IF(AND(I$3&gt;=$D82,I$3&lt;=$E82),IF((I$3-$D82+1)*VLOOKUP($A82,presupuesto!$B:$Q,16,FALSE)&gt;=VLOOKUP($A82,informe!$A:$J,9,FALSE),"cg","c"),"n")</f>
        <v>n</v>
      </c>
      <c r="J82" s="195" t="str">
        <f>IF(AND(J$3&gt;=$D82,J$3&lt;=$E82),IF((J$3-$D82+1)*VLOOKUP($A82,presupuesto!$B:$Q,16,FALSE)&gt;=VLOOKUP($A82,informe!$A:$J,9,FALSE),"cg","c"),"n")</f>
        <v>n</v>
      </c>
      <c r="K82" s="195" t="str">
        <f>IF(AND(K$3&gt;=$D82,K$3&lt;=$E82),IF((K$3-$D82+1)*VLOOKUP($A82,presupuesto!$B:$Q,16,FALSE)&gt;=VLOOKUP($A82,informe!$A:$J,9,FALSE),"cg","c"),"n")</f>
        <v>n</v>
      </c>
      <c r="L82" s="195" t="str">
        <f>IF(AND(L$3&gt;=$D82,L$3&lt;=$E82),IF((L$3-$D82+1)*VLOOKUP($A82,presupuesto!$B:$Q,16,FALSE)&gt;=VLOOKUP($A82,informe!$A:$J,9,FALSE),"cg","c"),"n")</f>
        <v>n</v>
      </c>
      <c r="M82" s="195" t="str">
        <f>IF(AND(M$3&gt;=$D82,M$3&lt;=$E82),IF((M$3-$D82+1)*VLOOKUP($A82,presupuesto!$B:$Q,16,FALSE)&gt;=VLOOKUP($A82,informe!$A:$J,9,FALSE),"cg","c"),"n")</f>
        <v>n</v>
      </c>
      <c r="N82" s="195" t="str">
        <f>IF(AND(N$3&gt;=$D82,N$3&lt;=$E82),IF((N$3-$D82+1)*VLOOKUP($A82,presupuesto!$B:$Q,16,FALSE)&gt;=VLOOKUP($A82,informe!$A:$J,9,FALSE),"cg","c"),"n")</f>
        <v>n</v>
      </c>
      <c r="O82" s="195" t="str">
        <f>IF(AND(O$3&gt;=$D82,O$3&lt;=$E82),IF((O$3-$D82+1)*VLOOKUP($A82,presupuesto!$B:$Q,16,FALSE)&gt;=VLOOKUP($A82,informe!$A:$J,9,FALSE),"cg","c"),"n")</f>
        <v>n</v>
      </c>
      <c r="P82" s="195" t="str">
        <f>IF(AND(P$3&gt;=$D82,P$3&lt;=$E82),IF((P$3-$D82+1)*VLOOKUP($A82,presupuesto!$B:$Q,16,FALSE)&gt;=VLOOKUP($A82,informe!$A:$J,9,FALSE),"cg","c"),"n")</f>
        <v>n</v>
      </c>
      <c r="Q82" s="195" t="str">
        <f>IF(AND(Q$3&gt;=$D82,Q$3&lt;=$E82),IF((Q$3-$D82+1)*VLOOKUP($A82,presupuesto!$B:$Q,16,FALSE)&gt;=VLOOKUP($A82,informe!$A:$J,9,FALSE),"cg","c"),"n")</f>
        <v>n</v>
      </c>
      <c r="R82" s="195" t="str">
        <f>IF(AND(R$3&gt;=$D82,R$3&lt;=$E82),IF((R$3-$D82+1)*VLOOKUP($A82,presupuesto!$B:$Q,16,FALSE)&gt;=VLOOKUP($A82,informe!$A:$J,9,FALSE),"cg","c"),"n")</f>
        <v>n</v>
      </c>
      <c r="S82" s="195" t="str">
        <f>IF(AND(S$3&gt;=$D82,S$3&lt;=$E82),IF((S$3-$D82+1)*VLOOKUP($A82,presupuesto!$B:$Q,16,FALSE)&gt;=VLOOKUP($A82,informe!$A:$J,9,FALSE),"cg","c"),"n")</f>
        <v>n</v>
      </c>
      <c r="T82" s="195" t="str">
        <f>IF(AND(T$3&gt;=$D82,T$3&lt;=$E82),IF((T$3-$D82+1)*VLOOKUP($A82,presupuesto!$B:$Q,16,FALSE)&gt;=VLOOKUP($A82,informe!$A:$J,9,FALSE),"cg","c"),"n")</f>
        <v>n</v>
      </c>
      <c r="U82" s="195" t="str">
        <f>IF(AND(U$3&gt;=$D82,U$3&lt;=$E82),IF((U$3-$D82+1)*VLOOKUP($A82,presupuesto!$B:$Q,16,FALSE)&gt;=VLOOKUP($A82,informe!$A:$J,9,FALSE),"cg","c"),"n")</f>
        <v>n</v>
      </c>
      <c r="V82" s="195" t="str">
        <f>IF(AND(V$3&gt;=$D82,V$3&lt;=$E82),IF((V$3-$D82+1)*VLOOKUP($A82,presupuesto!$B:$Q,16,FALSE)&gt;=VLOOKUP($A82,informe!$A:$J,9,FALSE),"cg","c"),"n")</f>
        <v>n</v>
      </c>
      <c r="W82" s="195" t="str">
        <f>IF(AND(W$3&gt;=$D82,W$3&lt;=$E82),IF((W$3-$D82+1)*VLOOKUP($A82,presupuesto!$B:$Q,16,FALSE)&gt;=VLOOKUP($A82,informe!$A:$J,9,FALSE),"cg","c"),"n")</f>
        <v>n</v>
      </c>
      <c r="X82" s="195" t="str">
        <f>IF(AND(X$3&gt;=$D82,X$3&lt;=$E82),IF((X$3-$D82+1)*VLOOKUP($A82,presupuesto!$B:$Q,16,FALSE)&gt;=VLOOKUP($A82,informe!$A:$J,9,FALSE),"cg","c"),"n")</f>
        <v>n</v>
      </c>
      <c r="Y82" s="195" t="str">
        <f>IF(AND(Y$3&gt;=$D82,Y$3&lt;=$E82),IF((Y$3-$D82+1)*VLOOKUP($A82,presupuesto!$B:$Q,16,FALSE)&gt;=VLOOKUP($A82,informe!$A:$J,9,FALSE),"cg","c"),"n")</f>
        <v>n</v>
      </c>
      <c r="Z82" s="195" t="str">
        <f>IF(AND(Z$3&gt;=$D82,Z$3&lt;=$E82),IF((Z$3-$D82+1)*VLOOKUP($A82,presupuesto!$B:$Q,16,FALSE)&gt;=VLOOKUP($A82,informe!$A:$J,9,FALSE),"cg","c"),"n")</f>
        <v>n</v>
      </c>
      <c r="AA82" s="195" t="str">
        <f>IF(AND(AA$3&gt;=$D82,AA$3&lt;=$E82),IF((AA$3-$D82+1)*VLOOKUP($A82,presupuesto!$B:$Q,16,FALSE)&gt;=VLOOKUP($A82,informe!$A:$J,9,FALSE),"cg","c"),"n")</f>
        <v>n</v>
      </c>
      <c r="AB82" s="195" t="str">
        <f>IF(AND(AB$3&gt;=$D82,AB$3&lt;=$E82),IF((AB$3-$D82+1)*VLOOKUP($A82,presupuesto!$B:$Q,16,FALSE)&gt;=VLOOKUP($A82,informe!$A:$J,9,FALSE),"cg","c"),"n")</f>
        <v>n</v>
      </c>
      <c r="AC82" s="195" t="str">
        <f>IF(AND(AC$3&gt;=$D82,AC$3&lt;=$E82),IF((AC$3-$D82+1)*VLOOKUP($A82,presupuesto!$B:$Q,16,FALSE)&gt;=VLOOKUP($A82,informe!$A:$J,9,FALSE),"cg","c"),"n")</f>
        <v>n</v>
      </c>
      <c r="AD82" s="195" t="str">
        <f>IF(AND(AD$3&gt;=$D82,AD$3&lt;=$E82),IF((AD$3-$D82+1)*VLOOKUP($A82,presupuesto!$B:$Q,16,FALSE)&gt;=VLOOKUP($A82,informe!$A:$J,9,FALSE),"cg","c"),"n")</f>
        <v>n</v>
      </c>
      <c r="AE82" s="195" t="str">
        <f>IF(AND(AE$3&gt;=$D82,AE$3&lt;=$E82),IF((AE$3-$D82+1)*VLOOKUP($A82,presupuesto!$B:$Q,16,FALSE)&gt;=VLOOKUP($A82,informe!$A:$J,9,FALSE),"cg","c"),"n")</f>
        <v>n</v>
      </c>
      <c r="AF82" s="195" t="str">
        <f>IF(AND(AF$3&gt;=$D82,AF$3&lt;=$E82),IF((AF$3-$D82+1)*VLOOKUP($A82,presupuesto!$B:$Q,16,FALSE)&gt;=VLOOKUP($A82,informe!$A:$J,9,FALSE),"cg","c"),"n")</f>
        <v>n</v>
      </c>
      <c r="AG82" s="195" t="str">
        <f>IF(AND(AG$3&gt;=$D82,AG$3&lt;=$E82),IF((AG$3-$D82+1)*VLOOKUP($A82,presupuesto!$B:$Q,16,FALSE)&gt;=VLOOKUP($A82,informe!$A:$J,9,FALSE),"cg","c"),"n")</f>
        <v>n</v>
      </c>
      <c r="AH82" s="195" t="str">
        <f>IF(AND(AH$3&gt;=$D82,AH$3&lt;=$E82),IF((AH$3-$D82+1)*VLOOKUP($A82,presupuesto!$B:$Q,16,FALSE)&gt;=VLOOKUP($A82,informe!$A:$J,9,FALSE),"cg","c"),"n")</f>
        <v>n</v>
      </c>
      <c r="AI82" s="195" t="str">
        <f>IF(AND(AI$3&gt;=$D82,AI$3&lt;=$E82),IF((AI$3-$D82+1)*VLOOKUP($A82,presupuesto!$B:$Q,16,FALSE)&gt;=VLOOKUP($A82,informe!$A:$J,9,FALSE),"cg","c"),"n")</f>
        <v>n</v>
      </c>
      <c r="AJ82" s="195" t="str">
        <f>IF(AND(AJ$3&gt;=$D82,AJ$3&lt;=$E82),IF((AJ$3-$D82+1)*VLOOKUP($A82,presupuesto!$B:$Q,16,FALSE)&gt;=VLOOKUP($A82,informe!$A:$J,9,FALSE),"cg","c"),"n")</f>
        <v>n</v>
      </c>
      <c r="AK82" s="196" t="str">
        <f>IF(AND(AK$3&gt;=$D82,AK$3&lt;=$E82),IF((AK$3-$D82+1)*VLOOKUP($A82,presupuesto!$B:$Q,16,FALSE)&gt;=VLOOKUP($A82,informe!$A:$J,9,FALSE),"cg","c"),"n")</f>
        <v>n</v>
      </c>
    </row>
    <row r="83" spans="1:37" s="1" customFormat="1" ht="14.25" customHeight="1" x14ac:dyDescent="0.25">
      <c r="A83" s="197">
        <f>presupuesto!B82</f>
        <v>50</v>
      </c>
      <c r="B83" s="182" t="str">
        <f>presupuesto!C82</f>
        <v xml:space="preserve">         Retiro de excedentes</v>
      </c>
      <c r="C83" s="174" t="str">
        <f>presupuesto!G82</f>
        <v>7 días</v>
      </c>
      <c r="D83" s="177">
        <f>presupuesto!N82</f>
        <v>45641</v>
      </c>
      <c r="E83" s="177">
        <f>presupuesto!O82</f>
        <v>45647</v>
      </c>
      <c r="F83" s="194" t="str">
        <f>IF(AK83="n",CONCATENATE(" - "),IF(AK83="cg",CONCATENATE(" - "),CONCATENATE(ROUND(IFERROR(VLOOKUP(A83,informe!A:J,9,FALSE)/VLOOKUP(A83,informe!A:J,5,FALSE),0)*100,2),"% ")))</f>
        <v xml:space="preserve"> - </v>
      </c>
      <c r="G83" s="195" t="str">
        <f>IF(AND(G$3&gt;=$D83,G$3&lt;=$E83),IF((G$3-$D83+1)*VLOOKUP($A83,presupuesto!$B:$Q,16,FALSE)&gt;=VLOOKUP($A83,informe!$A:$J,9,FALSE),"cg","c"),"n")</f>
        <v>n</v>
      </c>
      <c r="H83" s="195" t="str">
        <f>IF(AND(H$3&gt;=$D83,H$3&lt;=$E83),IF((H$3-$D83+1)*VLOOKUP($A83,presupuesto!$B:$Q,16,FALSE)&gt;=VLOOKUP($A83,informe!$A:$J,9,FALSE),"cg","c"),"n")</f>
        <v>n</v>
      </c>
      <c r="I83" s="195" t="str">
        <f>IF(AND(I$3&gt;=$D83,I$3&lt;=$E83),IF((I$3-$D83+1)*VLOOKUP($A83,presupuesto!$B:$Q,16,FALSE)&gt;=VLOOKUP($A83,informe!$A:$J,9,FALSE),"cg","c"),"n")</f>
        <v>n</v>
      </c>
      <c r="J83" s="195" t="str">
        <f>IF(AND(J$3&gt;=$D83,J$3&lt;=$E83),IF((J$3-$D83+1)*VLOOKUP($A83,presupuesto!$B:$Q,16,FALSE)&gt;=VLOOKUP($A83,informe!$A:$J,9,FALSE),"cg","c"),"n")</f>
        <v>n</v>
      </c>
      <c r="K83" s="195" t="str">
        <f>IF(AND(K$3&gt;=$D83,K$3&lt;=$E83),IF((K$3-$D83+1)*VLOOKUP($A83,presupuesto!$B:$Q,16,FALSE)&gt;=VLOOKUP($A83,informe!$A:$J,9,FALSE),"cg","c"),"n")</f>
        <v>n</v>
      </c>
      <c r="L83" s="195" t="str">
        <f>IF(AND(L$3&gt;=$D83,L$3&lt;=$E83),IF((L$3-$D83+1)*VLOOKUP($A83,presupuesto!$B:$Q,16,FALSE)&gt;=VLOOKUP($A83,informe!$A:$J,9,FALSE),"cg","c"),"n")</f>
        <v>n</v>
      </c>
      <c r="M83" s="195" t="str">
        <f>IF(AND(M$3&gt;=$D83,M$3&lt;=$E83),IF((M$3-$D83+1)*VLOOKUP($A83,presupuesto!$B:$Q,16,FALSE)&gt;=VLOOKUP($A83,informe!$A:$J,9,FALSE),"cg","c"),"n")</f>
        <v>n</v>
      </c>
      <c r="N83" s="195" t="str">
        <f>IF(AND(N$3&gt;=$D83,N$3&lt;=$E83),IF((N$3-$D83+1)*VLOOKUP($A83,presupuesto!$B:$Q,16,FALSE)&gt;=VLOOKUP($A83,informe!$A:$J,9,FALSE),"cg","c"),"n")</f>
        <v>n</v>
      </c>
      <c r="O83" s="195" t="str">
        <f>IF(AND(O$3&gt;=$D83,O$3&lt;=$E83),IF((O$3-$D83+1)*VLOOKUP($A83,presupuesto!$B:$Q,16,FALSE)&gt;=VLOOKUP($A83,informe!$A:$J,9,FALSE),"cg","c"),"n")</f>
        <v>n</v>
      </c>
      <c r="P83" s="195" t="str">
        <f>IF(AND(P$3&gt;=$D83,P$3&lt;=$E83),IF((P$3-$D83+1)*VLOOKUP($A83,presupuesto!$B:$Q,16,FALSE)&gt;=VLOOKUP($A83,informe!$A:$J,9,FALSE),"cg","c"),"n")</f>
        <v>n</v>
      </c>
      <c r="Q83" s="195" t="str">
        <f>IF(AND(Q$3&gt;=$D83,Q$3&lt;=$E83),IF((Q$3-$D83+1)*VLOOKUP($A83,presupuesto!$B:$Q,16,FALSE)&gt;=VLOOKUP($A83,informe!$A:$J,9,FALSE),"cg","c"),"n")</f>
        <v>n</v>
      </c>
      <c r="R83" s="195" t="str">
        <f>IF(AND(R$3&gt;=$D83,R$3&lt;=$E83),IF((R$3-$D83+1)*VLOOKUP($A83,presupuesto!$B:$Q,16,FALSE)&gt;=VLOOKUP($A83,informe!$A:$J,9,FALSE),"cg","c"),"n")</f>
        <v>n</v>
      </c>
      <c r="S83" s="195" t="str">
        <f>IF(AND(S$3&gt;=$D83,S$3&lt;=$E83),IF((S$3-$D83+1)*VLOOKUP($A83,presupuesto!$B:$Q,16,FALSE)&gt;=VLOOKUP($A83,informe!$A:$J,9,FALSE),"cg","c"),"n")</f>
        <v>n</v>
      </c>
      <c r="T83" s="195" t="str">
        <f>IF(AND(T$3&gt;=$D83,T$3&lt;=$E83),IF((T$3-$D83+1)*VLOOKUP($A83,presupuesto!$B:$Q,16,FALSE)&gt;=VLOOKUP($A83,informe!$A:$J,9,FALSE),"cg","c"),"n")</f>
        <v>n</v>
      </c>
      <c r="U83" s="195" t="str">
        <f>IF(AND(U$3&gt;=$D83,U$3&lt;=$E83),IF((U$3-$D83+1)*VLOOKUP($A83,presupuesto!$B:$Q,16,FALSE)&gt;=VLOOKUP($A83,informe!$A:$J,9,FALSE),"cg","c"),"n")</f>
        <v>cg</v>
      </c>
      <c r="V83" s="195" t="str">
        <f>IF(AND(V$3&gt;=$D83,V$3&lt;=$E83),IF((V$3-$D83+1)*VLOOKUP($A83,presupuesto!$B:$Q,16,FALSE)&gt;=VLOOKUP($A83,informe!$A:$J,9,FALSE),"cg","c"),"n")</f>
        <v>cg</v>
      </c>
      <c r="W83" s="195" t="str">
        <f>IF(AND(W$3&gt;=$D83,W$3&lt;=$E83),IF((W$3-$D83+1)*VLOOKUP($A83,presupuesto!$B:$Q,16,FALSE)&gt;=VLOOKUP($A83,informe!$A:$J,9,FALSE),"cg","c"),"n")</f>
        <v>cg</v>
      </c>
      <c r="X83" s="195" t="str">
        <f>IF(AND(X$3&gt;=$D83,X$3&lt;=$E83),IF((X$3-$D83+1)*VLOOKUP($A83,presupuesto!$B:$Q,16,FALSE)&gt;=VLOOKUP($A83,informe!$A:$J,9,FALSE),"cg","c"),"n")</f>
        <v>cg</v>
      </c>
      <c r="Y83" s="195" t="str">
        <f>IF(AND(Y$3&gt;=$D83,Y$3&lt;=$E83),IF((Y$3-$D83+1)*VLOOKUP($A83,presupuesto!$B:$Q,16,FALSE)&gt;=VLOOKUP($A83,informe!$A:$J,9,FALSE),"cg","c"),"n")</f>
        <v>cg</v>
      </c>
      <c r="Z83" s="195" t="str">
        <f>IF(AND(Z$3&gt;=$D83,Z$3&lt;=$E83),IF((Z$3-$D83+1)*VLOOKUP($A83,presupuesto!$B:$Q,16,FALSE)&gt;=VLOOKUP($A83,informe!$A:$J,9,FALSE),"cg","c"),"n")</f>
        <v>cg</v>
      </c>
      <c r="AA83" s="195" t="str">
        <f>IF(AND(AA$3&gt;=$D83,AA$3&lt;=$E83),IF((AA$3-$D83+1)*VLOOKUP($A83,presupuesto!$B:$Q,16,FALSE)&gt;=VLOOKUP($A83,informe!$A:$J,9,FALSE),"cg","c"),"n")</f>
        <v>cg</v>
      </c>
      <c r="AB83" s="195" t="str">
        <f>IF(AND(AB$3&gt;=$D83,AB$3&lt;=$E83),IF((AB$3-$D83+1)*VLOOKUP($A83,presupuesto!$B:$Q,16,FALSE)&gt;=VLOOKUP($A83,informe!$A:$J,9,FALSE),"cg","c"),"n")</f>
        <v>n</v>
      </c>
      <c r="AC83" s="195" t="str">
        <f>IF(AND(AC$3&gt;=$D83,AC$3&lt;=$E83),IF((AC$3-$D83+1)*VLOOKUP($A83,presupuesto!$B:$Q,16,FALSE)&gt;=VLOOKUP($A83,informe!$A:$J,9,FALSE),"cg","c"),"n")</f>
        <v>n</v>
      </c>
      <c r="AD83" s="195" t="str">
        <f>IF(AND(AD$3&gt;=$D83,AD$3&lt;=$E83),IF((AD$3-$D83+1)*VLOOKUP($A83,presupuesto!$B:$Q,16,FALSE)&gt;=VLOOKUP($A83,informe!$A:$J,9,FALSE),"cg","c"),"n")</f>
        <v>n</v>
      </c>
      <c r="AE83" s="195" t="str">
        <f>IF(AND(AE$3&gt;=$D83,AE$3&lt;=$E83),IF((AE$3-$D83+1)*VLOOKUP($A83,presupuesto!$B:$Q,16,FALSE)&gt;=VLOOKUP($A83,informe!$A:$J,9,FALSE),"cg","c"),"n")</f>
        <v>n</v>
      </c>
      <c r="AF83" s="195" t="str">
        <f>IF(AND(AF$3&gt;=$D83,AF$3&lt;=$E83),IF((AF$3-$D83+1)*VLOOKUP($A83,presupuesto!$B:$Q,16,FALSE)&gt;=VLOOKUP($A83,informe!$A:$J,9,FALSE),"cg","c"),"n")</f>
        <v>n</v>
      </c>
      <c r="AG83" s="195" t="str">
        <f>IF(AND(AG$3&gt;=$D83,AG$3&lt;=$E83),IF((AG$3-$D83+1)*VLOOKUP($A83,presupuesto!$B:$Q,16,FALSE)&gt;=VLOOKUP($A83,informe!$A:$J,9,FALSE),"cg","c"),"n")</f>
        <v>n</v>
      </c>
      <c r="AH83" s="195" t="str">
        <f>IF(AND(AH$3&gt;=$D83,AH$3&lt;=$E83),IF((AH$3-$D83+1)*VLOOKUP($A83,presupuesto!$B:$Q,16,FALSE)&gt;=VLOOKUP($A83,informe!$A:$J,9,FALSE),"cg","c"),"n")</f>
        <v>n</v>
      </c>
      <c r="AI83" s="195" t="str">
        <f>IF(AND(AI$3&gt;=$D83,AI$3&lt;=$E83),IF((AI$3-$D83+1)*VLOOKUP($A83,presupuesto!$B:$Q,16,FALSE)&gt;=VLOOKUP($A83,informe!$A:$J,9,FALSE),"cg","c"),"n")</f>
        <v>n</v>
      </c>
      <c r="AJ83" s="195" t="str">
        <f>IF(AND(AJ$3&gt;=$D83,AJ$3&lt;=$E83),IF((AJ$3-$D83+1)*VLOOKUP($A83,presupuesto!$B:$Q,16,FALSE)&gt;=VLOOKUP($A83,informe!$A:$J,9,FALSE),"cg","c"),"n")</f>
        <v>n</v>
      </c>
      <c r="AK83" s="196" t="str">
        <f>IF(AND(AK$3&gt;=$D83,AK$3&lt;=$E83),IF((AK$3-$D83+1)*VLOOKUP($A83,presupuesto!$B:$Q,16,FALSE)&gt;=VLOOKUP($A83,informe!$A:$J,9,FALSE),"cg","c"),"n")</f>
        <v>n</v>
      </c>
    </row>
    <row r="84" spans="1:37" s="1" customFormat="1" ht="14.25" customHeight="1" x14ac:dyDescent="0.3">
      <c r="A84" s="197" t="str">
        <f>presupuesto!B83</f>
        <v>B.-</v>
      </c>
      <c r="B84" s="181" t="str">
        <f>presupuesto!C83</f>
        <v xml:space="preserve">      FUNDACIONES</v>
      </c>
      <c r="C84" s="174" t="str">
        <f>presupuesto!G83</f>
        <v>38 días</v>
      </c>
      <c r="D84" s="177">
        <f>presupuesto!N83</f>
        <v>45682</v>
      </c>
      <c r="E84" s="177">
        <f>presupuesto!O83</f>
        <v>45719</v>
      </c>
      <c r="F84" s="194" t="str">
        <f>IF(AK84="n",CONCATENATE(" - "),IF(AK84="cg",CONCATENATE(" - "),CONCATENATE(ROUND(IFERROR(VLOOKUP(A84,informe!A:J,9,FALSE)/VLOOKUP(A84,informe!A:J,5,FALSE),0)*100,2),"% ")))</f>
        <v xml:space="preserve"> - </v>
      </c>
      <c r="G84" s="195" t="str">
        <f>IF(AND(G$3&gt;=$D84,G$3&lt;=$E84),IF((G$3-$D84+1)*VLOOKUP($A84,presupuesto!$B:$Q,16,FALSE)&gt;=VLOOKUP($A84,informe!$A:$J,9,FALSE),"cg","c"),"n")</f>
        <v>n</v>
      </c>
      <c r="H84" s="195" t="str">
        <f>IF(AND(H$3&gt;=$D84,H$3&lt;=$E84),IF((H$3-$D84+1)*VLOOKUP($A84,presupuesto!$B:$Q,16,FALSE)&gt;=VLOOKUP($A84,informe!$A:$J,9,FALSE),"cg","c"),"n")</f>
        <v>n</v>
      </c>
      <c r="I84" s="195" t="str">
        <f>IF(AND(I$3&gt;=$D84,I$3&lt;=$E84),IF((I$3-$D84+1)*VLOOKUP($A84,presupuesto!$B:$Q,16,FALSE)&gt;=VLOOKUP($A84,informe!$A:$J,9,FALSE),"cg","c"),"n")</f>
        <v>n</v>
      </c>
      <c r="J84" s="195" t="str">
        <f>IF(AND(J$3&gt;=$D84,J$3&lt;=$E84),IF((J$3-$D84+1)*VLOOKUP($A84,presupuesto!$B:$Q,16,FALSE)&gt;=VLOOKUP($A84,informe!$A:$J,9,FALSE),"cg","c"),"n")</f>
        <v>n</v>
      </c>
      <c r="K84" s="195" t="str">
        <f>IF(AND(K$3&gt;=$D84,K$3&lt;=$E84),IF((K$3-$D84+1)*VLOOKUP($A84,presupuesto!$B:$Q,16,FALSE)&gt;=VLOOKUP($A84,informe!$A:$J,9,FALSE),"cg","c"),"n")</f>
        <v>n</v>
      </c>
      <c r="L84" s="195" t="str">
        <f>IF(AND(L$3&gt;=$D84,L$3&lt;=$E84),IF((L$3-$D84+1)*VLOOKUP($A84,presupuesto!$B:$Q,16,FALSE)&gt;=VLOOKUP($A84,informe!$A:$J,9,FALSE),"cg","c"),"n")</f>
        <v>n</v>
      </c>
      <c r="M84" s="195" t="str">
        <f>IF(AND(M$3&gt;=$D84,M$3&lt;=$E84),IF((M$3-$D84+1)*VLOOKUP($A84,presupuesto!$B:$Q,16,FALSE)&gt;=VLOOKUP($A84,informe!$A:$J,9,FALSE),"cg","c"),"n")</f>
        <v>n</v>
      </c>
      <c r="N84" s="195" t="str">
        <f>IF(AND(N$3&gt;=$D84,N$3&lt;=$E84),IF((N$3-$D84+1)*VLOOKUP($A84,presupuesto!$B:$Q,16,FALSE)&gt;=VLOOKUP($A84,informe!$A:$J,9,FALSE),"cg","c"),"n")</f>
        <v>n</v>
      </c>
      <c r="O84" s="195" t="str">
        <f>IF(AND(O$3&gt;=$D84,O$3&lt;=$E84),IF((O$3-$D84+1)*VLOOKUP($A84,presupuesto!$B:$Q,16,FALSE)&gt;=VLOOKUP($A84,informe!$A:$J,9,FALSE),"cg","c"),"n")</f>
        <v>n</v>
      </c>
      <c r="P84" s="195" t="str">
        <f>IF(AND(P$3&gt;=$D84,P$3&lt;=$E84),IF((P$3-$D84+1)*VLOOKUP($A84,presupuesto!$B:$Q,16,FALSE)&gt;=VLOOKUP($A84,informe!$A:$J,9,FALSE),"cg","c"),"n")</f>
        <v>n</v>
      </c>
      <c r="Q84" s="195" t="str">
        <f>IF(AND(Q$3&gt;=$D84,Q$3&lt;=$E84),IF((Q$3-$D84+1)*VLOOKUP($A84,presupuesto!$B:$Q,16,FALSE)&gt;=VLOOKUP($A84,informe!$A:$J,9,FALSE),"cg","c"),"n")</f>
        <v>n</v>
      </c>
      <c r="R84" s="195" t="str">
        <f>IF(AND(R$3&gt;=$D84,R$3&lt;=$E84),IF((R$3-$D84+1)*VLOOKUP($A84,presupuesto!$B:$Q,16,FALSE)&gt;=VLOOKUP($A84,informe!$A:$J,9,FALSE),"cg","c"),"n")</f>
        <v>n</v>
      </c>
      <c r="S84" s="195" t="str">
        <f>IF(AND(S$3&gt;=$D84,S$3&lt;=$E84),IF((S$3-$D84+1)*VLOOKUP($A84,presupuesto!$B:$Q,16,FALSE)&gt;=VLOOKUP($A84,informe!$A:$J,9,FALSE),"cg","c"),"n")</f>
        <v>n</v>
      </c>
      <c r="T84" s="195" t="str">
        <f>IF(AND(T$3&gt;=$D84,T$3&lt;=$E84),IF((T$3-$D84+1)*VLOOKUP($A84,presupuesto!$B:$Q,16,FALSE)&gt;=VLOOKUP($A84,informe!$A:$J,9,FALSE),"cg","c"),"n")</f>
        <v>n</v>
      </c>
      <c r="U84" s="195" t="str">
        <f>IF(AND(U$3&gt;=$D84,U$3&lt;=$E84),IF((U$3-$D84+1)*VLOOKUP($A84,presupuesto!$B:$Q,16,FALSE)&gt;=VLOOKUP($A84,informe!$A:$J,9,FALSE),"cg","c"),"n")</f>
        <v>n</v>
      </c>
      <c r="V84" s="195" t="str">
        <f>IF(AND(V$3&gt;=$D84,V$3&lt;=$E84),IF((V$3-$D84+1)*VLOOKUP($A84,presupuesto!$B:$Q,16,FALSE)&gt;=VLOOKUP($A84,informe!$A:$J,9,FALSE),"cg","c"),"n")</f>
        <v>n</v>
      </c>
      <c r="W84" s="195" t="str">
        <f>IF(AND(W$3&gt;=$D84,W$3&lt;=$E84),IF((W$3-$D84+1)*VLOOKUP($A84,presupuesto!$B:$Q,16,FALSE)&gt;=VLOOKUP($A84,informe!$A:$J,9,FALSE),"cg","c"),"n")</f>
        <v>n</v>
      </c>
      <c r="X84" s="195" t="str">
        <f>IF(AND(X$3&gt;=$D84,X$3&lt;=$E84),IF((X$3-$D84+1)*VLOOKUP($A84,presupuesto!$B:$Q,16,FALSE)&gt;=VLOOKUP($A84,informe!$A:$J,9,FALSE),"cg","c"),"n")</f>
        <v>n</v>
      </c>
      <c r="Y84" s="195" t="str">
        <f>IF(AND(Y$3&gt;=$D84,Y$3&lt;=$E84),IF((Y$3-$D84+1)*VLOOKUP($A84,presupuesto!$B:$Q,16,FALSE)&gt;=VLOOKUP($A84,informe!$A:$J,9,FALSE),"cg","c"),"n")</f>
        <v>n</v>
      </c>
      <c r="Z84" s="195" t="str">
        <f>IF(AND(Z$3&gt;=$D84,Z$3&lt;=$E84),IF((Z$3-$D84+1)*VLOOKUP($A84,presupuesto!$B:$Q,16,FALSE)&gt;=VLOOKUP($A84,informe!$A:$J,9,FALSE),"cg","c"),"n")</f>
        <v>n</v>
      </c>
      <c r="AA84" s="195" t="str">
        <f>IF(AND(AA$3&gt;=$D84,AA$3&lt;=$E84),IF((AA$3-$D84+1)*VLOOKUP($A84,presupuesto!$B:$Q,16,FALSE)&gt;=VLOOKUP($A84,informe!$A:$J,9,FALSE),"cg","c"),"n")</f>
        <v>n</v>
      </c>
      <c r="AB84" s="195" t="str">
        <f>IF(AND(AB$3&gt;=$D84,AB$3&lt;=$E84),IF((AB$3-$D84+1)*VLOOKUP($A84,presupuesto!$B:$Q,16,FALSE)&gt;=VLOOKUP($A84,informe!$A:$J,9,FALSE),"cg","c"),"n")</f>
        <v>n</v>
      </c>
      <c r="AC84" s="195" t="str">
        <f>IF(AND(AC$3&gt;=$D84,AC$3&lt;=$E84),IF((AC$3-$D84+1)*VLOOKUP($A84,presupuesto!$B:$Q,16,FALSE)&gt;=VLOOKUP($A84,informe!$A:$J,9,FALSE),"cg","c"),"n")</f>
        <v>n</v>
      </c>
      <c r="AD84" s="195" t="str">
        <f>IF(AND(AD$3&gt;=$D84,AD$3&lt;=$E84),IF((AD$3-$D84+1)*VLOOKUP($A84,presupuesto!$B:$Q,16,FALSE)&gt;=VLOOKUP($A84,informe!$A:$J,9,FALSE),"cg","c"),"n")</f>
        <v>n</v>
      </c>
      <c r="AE84" s="195" t="str">
        <f>IF(AND(AE$3&gt;=$D84,AE$3&lt;=$E84),IF((AE$3-$D84+1)*VLOOKUP($A84,presupuesto!$B:$Q,16,FALSE)&gt;=VLOOKUP($A84,informe!$A:$J,9,FALSE),"cg","c"),"n")</f>
        <v>n</v>
      </c>
      <c r="AF84" s="195" t="str">
        <f>IF(AND(AF$3&gt;=$D84,AF$3&lt;=$E84),IF((AF$3-$D84+1)*VLOOKUP($A84,presupuesto!$B:$Q,16,FALSE)&gt;=VLOOKUP($A84,informe!$A:$J,9,FALSE),"cg","c"),"n")</f>
        <v>n</v>
      </c>
      <c r="AG84" s="195" t="str">
        <f>IF(AND(AG$3&gt;=$D84,AG$3&lt;=$E84),IF((AG$3-$D84+1)*VLOOKUP($A84,presupuesto!$B:$Q,16,FALSE)&gt;=VLOOKUP($A84,informe!$A:$J,9,FALSE),"cg","c"),"n")</f>
        <v>n</v>
      </c>
      <c r="AH84" s="195" t="str">
        <f>IF(AND(AH$3&gt;=$D84,AH$3&lt;=$E84),IF((AH$3-$D84+1)*VLOOKUP($A84,presupuesto!$B:$Q,16,FALSE)&gt;=VLOOKUP($A84,informe!$A:$J,9,FALSE),"cg","c"),"n")</f>
        <v>n</v>
      </c>
      <c r="AI84" s="195" t="str">
        <f>IF(AND(AI$3&gt;=$D84,AI$3&lt;=$E84),IF((AI$3-$D84+1)*VLOOKUP($A84,presupuesto!$B:$Q,16,FALSE)&gt;=VLOOKUP($A84,informe!$A:$J,9,FALSE),"cg","c"),"n")</f>
        <v>n</v>
      </c>
      <c r="AJ84" s="195" t="str">
        <f>IF(AND(AJ$3&gt;=$D84,AJ$3&lt;=$E84),IF((AJ$3-$D84+1)*VLOOKUP($A84,presupuesto!$B:$Q,16,FALSE)&gt;=VLOOKUP($A84,informe!$A:$J,9,FALSE),"cg","c"),"n")</f>
        <v>n</v>
      </c>
      <c r="AK84" s="196" t="str">
        <f>IF(AND(AK$3&gt;=$D84,AK$3&lt;=$E84),IF((AK$3-$D84+1)*VLOOKUP($A84,presupuesto!$B:$Q,16,FALSE)&gt;=VLOOKUP($A84,informe!$A:$J,9,FALSE),"cg","c"),"n")</f>
        <v>n</v>
      </c>
    </row>
    <row r="85" spans="1:37" s="1" customFormat="1" ht="14.25" customHeight="1" x14ac:dyDescent="0.25">
      <c r="A85" s="197">
        <f>presupuesto!B84</f>
        <v>51</v>
      </c>
      <c r="B85" s="182" t="str">
        <f>presupuesto!C84</f>
        <v xml:space="preserve">         Hormigón tipo G-5</v>
      </c>
      <c r="C85" s="174" t="str">
        <f>presupuesto!G84</f>
        <v>1 día</v>
      </c>
      <c r="D85" s="177">
        <f>presupuesto!N84</f>
        <v>45682</v>
      </c>
      <c r="E85" s="177">
        <f>presupuesto!O84</f>
        <v>45682</v>
      </c>
      <c r="F85" s="194" t="str">
        <f>IF(AK85="n",CONCATENATE(" - "),IF(AK85="cg",CONCATENATE(" - "),CONCATENATE(ROUND(IFERROR(VLOOKUP(A85,informe!A:J,9,FALSE)/VLOOKUP(A85,informe!A:J,5,FALSE),0)*100,2),"% ")))</f>
        <v xml:space="preserve"> - </v>
      </c>
      <c r="G85" s="195" t="str">
        <f>IF(AND(G$3&gt;=$D85,G$3&lt;=$E85),IF((G$3-$D85+1)*VLOOKUP($A85,presupuesto!$B:$Q,16,FALSE)&gt;=VLOOKUP($A85,informe!$A:$J,9,FALSE),"cg","c"),"n")</f>
        <v>n</v>
      </c>
      <c r="H85" s="195" t="str">
        <f>IF(AND(H$3&gt;=$D85,H$3&lt;=$E85),IF((H$3-$D85+1)*VLOOKUP($A85,presupuesto!$B:$Q,16,FALSE)&gt;=VLOOKUP($A85,informe!$A:$J,9,FALSE),"cg","c"),"n")</f>
        <v>n</v>
      </c>
      <c r="I85" s="195" t="str">
        <f>IF(AND(I$3&gt;=$D85,I$3&lt;=$E85),IF((I$3-$D85+1)*VLOOKUP($A85,presupuesto!$B:$Q,16,FALSE)&gt;=VLOOKUP($A85,informe!$A:$J,9,FALSE),"cg","c"),"n")</f>
        <v>n</v>
      </c>
      <c r="J85" s="195" t="str">
        <f>IF(AND(J$3&gt;=$D85,J$3&lt;=$E85),IF((J$3-$D85+1)*VLOOKUP($A85,presupuesto!$B:$Q,16,FALSE)&gt;=VLOOKUP($A85,informe!$A:$J,9,FALSE),"cg","c"),"n")</f>
        <v>n</v>
      </c>
      <c r="K85" s="195" t="str">
        <f>IF(AND(K$3&gt;=$D85,K$3&lt;=$E85),IF((K$3-$D85+1)*VLOOKUP($A85,presupuesto!$B:$Q,16,FALSE)&gt;=VLOOKUP($A85,informe!$A:$J,9,FALSE),"cg","c"),"n")</f>
        <v>n</v>
      </c>
      <c r="L85" s="195" t="str">
        <f>IF(AND(L$3&gt;=$D85,L$3&lt;=$E85),IF((L$3-$D85+1)*VLOOKUP($A85,presupuesto!$B:$Q,16,FALSE)&gt;=VLOOKUP($A85,informe!$A:$J,9,FALSE),"cg","c"),"n")</f>
        <v>n</v>
      </c>
      <c r="M85" s="195" t="str">
        <f>IF(AND(M$3&gt;=$D85,M$3&lt;=$E85),IF((M$3-$D85+1)*VLOOKUP($A85,presupuesto!$B:$Q,16,FALSE)&gt;=VLOOKUP($A85,informe!$A:$J,9,FALSE),"cg","c"),"n")</f>
        <v>n</v>
      </c>
      <c r="N85" s="195" t="str">
        <f>IF(AND(N$3&gt;=$D85,N$3&lt;=$E85),IF((N$3-$D85+1)*VLOOKUP($A85,presupuesto!$B:$Q,16,FALSE)&gt;=VLOOKUP($A85,informe!$A:$J,9,FALSE),"cg","c"),"n")</f>
        <v>n</v>
      </c>
      <c r="O85" s="195" t="str">
        <f>IF(AND(O$3&gt;=$D85,O$3&lt;=$E85),IF((O$3-$D85+1)*VLOOKUP($A85,presupuesto!$B:$Q,16,FALSE)&gt;=VLOOKUP($A85,informe!$A:$J,9,FALSE),"cg","c"),"n")</f>
        <v>n</v>
      </c>
      <c r="P85" s="195" t="str">
        <f>IF(AND(P$3&gt;=$D85,P$3&lt;=$E85),IF((P$3-$D85+1)*VLOOKUP($A85,presupuesto!$B:$Q,16,FALSE)&gt;=VLOOKUP($A85,informe!$A:$J,9,FALSE),"cg","c"),"n")</f>
        <v>n</v>
      </c>
      <c r="Q85" s="195" t="str">
        <f>IF(AND(Q$3&gt;=$D85,Q$3&lt;=$E85),IF((Q$3-$D85+1)*VLOOKUP($A85,presupuesto!$B:$Q,16,FALSE)&gt;=VLOOKUP($A85,informe!$A:$J,9,FALSE),"cg","c"),"n")</f>
        <v>n</v>
      </c>
      <c r="R85" s="195" t="str">
        <f>IF(AND(R$3&gt;=$D85,R$3&lt;=$E85),IF((R$3-$D85+1)*VLOOKUP($A85,presupuesto!$B:$Q,16,FALSE)&gt;=VLOOKUP($A85,informe!$A:$J,9,FALSE),"cg","c"),"n")</f>
        <v>n</v>
      </c>
      <c r="S85" s="195" t="str">
        <f>IF(AND(S$3&gt;=$D85,S$3&lt;=$E85),IF((S$3-$D85+1)*VLOOKUP($A85,presupuesto!$B:$Q,16,FALSE)&gt;=VLOOKUP($A85,informe!$A:$J,9,FALSE),"cg","c"),"n")</f>
        <v>n</v>
      </c>
      <c r="T85" s="195" t="str">
        <f>IF(AND(T$3&gt;=$D85,T$3&lt;=$E85),IF((T$3-$D85+1)*VLOOKUP($A85,presupuesto!$B:$Q,16,FALSE)&gt;=VLOOKUP($A85,informe!$A:$J,9,FALSE),"cg","c"),"n")</f>
        <v>n</v>
      </c>
      <c r="U85" s="195" t="str">
        <f>IF(AND(U$3&gt;=$D85,U$3&lt;=$E85),IF((U$3-$D85+1)*VLOOKUP($A85,presupuesto!$B:$Q,16,FALSE)&gt;=VLOOKUP($A85,informe!$A:$J,9,FALSE),"cg","c"),"n")</f>
        <v>n</v>
      </c>
      <c r="V85" s="195" t="str">
        <f>IF(AND(V$3&gt;=$D85,V$3&lt;=$E85),IF((V$3-$D85+1)*VLOOKUP($A85,presupuesto!$B:$Q,16,FALSE)&gt;=VLOOKUP($A85,informe!$A:$J,9,FALSE),"cg","c"),"n")</f>
        <v>n</v>
      </c>
      <c r="W85" s="195" t="str">
        <f>IF(AND(W$3&gt;=$D85,W$3&lt;=$E85),IF((W$3-$D85+1)*VLOOKUP($A85,presupuesto!$B:$Q,16,FALSE)&gt;=VLOOKUP($A85,informe!$A:$J,9,FALSE),"cg","c"),"n")</f>
        <v>n</v>
      </c>
      <c r="X85" s="195" t="str">
        <f>IF(AND(X$3&gt;=$D85,X$3&lt;=$E85),IF((X$3-$D85+1)*VLOOKUP($A85,presupuesto!$B:$Q,16,FALSE)&gt;=VLOOKUP($A85,informe!$A:$J,9,FALSE),"cg","c"),"n")</f>
        <v>n</v>
      </c>
      <c r="Y85" s="195" t="str">
        <f>IF(AND(Y$3&gt;=$D85,Y$3&lt;=$E85),IF((Y$3-$D85+1)*VLOOKUP($A85,presupuesto!$B:$Q,16,FALSE)&gt;=VLOOKUP($A85,informe!$A:$J,9,FALSE),"cg","c"),"n")</f>
        <v>n</v>
      </c>
      <c r="Z85" s="195" t="str">
        <f>IF(AND(Z$3&gt;=$D85,Z$3&lt;=$E85),IF((Z$3-$D85+1)*VLOOKUP($A85,presupuesto!$B:$Q,16,FALSE)&gt;=VLOOKUP($A85,informe!$A:$J,9,FALSE),"cg","c"),"n")</f>
        <v>n</v>
      </c>
      <c r="AA85" s="195" t="str">
        <f>IF(AND(AA$3&gt;=$D85,AA$3&lt;=$E85),IF((AA$3-$D85+1)*VLOOKUP($A85,presupuesto!$B:$Q,16,FALSE)&gt;=VLOOKUP($A85,informe!$A:$J,9,FALSE),"cg","c"),"n")</f>
        <v>n</v>
      </c>
      <c r="AB85" s="195" t="str">
        <f>IF(AND(AB$3&gt;=$D85,AB$3&lt;=$E85),IF((AB$3-$D85+1)*VLOOKUP($A85,presupuesto!$B:$Q,16,FALSE)&gt;=VLOOKUP($A85,informe!$A:$J,9,FALSE),"cg","c"),"n")</f>
        <v>n</v>
      </c>
      <c r="AC85" s="195" t="str">
        <f>IF(AND(AC$3&gt;=$D85,AC$3&lt;=$E85),IF((AC$3-$D85+1)*VLOOKUP($A85,presupuesto!$B:$Q,16,FALSE)&gt;=VLOOKUP($A85,informe!$A:$J,9,FALSE),"cg","c"),"n")</f>
        <v>n</v>
      </c>
      <c r="AD85" s="195" t="str">
        <f>IF(AND(AD$3&gt;=$D85,AD$3&lt;=$E85),IF((AD$3-$D85+1)*VLOOKUP($A85,presupuesto!$B:$Q,16,FALSE)&gt;=VLOOKUP($A85,informe!$A:$J,9,FALSE),"cg","c"),"n")</f>
        <v>n</v>
      </c>
      <c r="AE85" s="195" t="str">
        <f>IF(AND(AE$3&gt;=$D85,AE$3&lt;=$E85),IF((AE$3-$D85+1)*VLOOKUP($A85,presupuesto!$B:$Q,16,FALSE)&gt;=VLOOKUP($A85,informe!$A:$J,9,FALSE),"cg","c"),"n")</f>
        <v>n</v>
      </c>
      <c r="AF85" s="195" t="str">
        <f>IF(AND(AF$3&gt;=$D85,AF$3&lt;=$E85),IF((AF$3-$D85+1)*VLOOKUP($A85,presupuesto!$B:$Q,16,FALSE)&gt;=VLOOKUP($A85,informe!$A:$J,9,FALSE),"cg","c"),"n")</f>
        <v>n</v>
      </c>
      <c r="AG85" s="195" t="str">
        <f>IF(AND(AG$3&gt;=$D85,AG$3&lt;=$E85),IF((AG$3-$D85+1)*VLOOKUP($A85,presupuesto!$B:$Q,16,FALSE)&gt;=VLOOKUP($A85,informe!$A:$J,9,FALSE),"cg","c"),"n")</f>
        <v>n</v>
      </c>
      <c r="AH85" s="195" t="str">
        <f>IF(AND(AH$3&gt;=$D85,AH$3&lt;=$E85),IF((AH$3-$D85+1)*VLOOKUP($A85,presupuesto!$B:$Q,16,FALSE)&gt;=VLOOKUP($A85,informe!$A:$J,9,FALSE),"cg","c"),"n")</f>
        <v>n</v>
      </c>
      <c r="AI85" s="195" t="str">
        <f>IF(AND(AI$3&gt;=$D85,AI$3&lt;=$E85),IF((AI$3-$D85+1)*VLOOKUP($A85,presupuesto!$B:$Q,16,FALSE)&gt;=VLOOKUP($A85,informe!$A:$J,9,FALSE),"cg","c"),"n")</f>
        <v>n</v>
      </c>
      <c r="AJ85" s="195" t="str">
        <f>IF(AND(AJ$3&gt;=$D85,AJ$3&lt;=$E85),IF((AJ$3-$D85+1)*VLOOKUP($A85,presupuesto!$B:$Q,16,FALSE)&gt;=VLOOKUP($A85,informe!$A:$J,9,FALSE),"cg","c"),"n")</f>
        <v>n</v>
      </c>
      <c r="AK85" s="196" t="str">
        <f>IF(AND(AK$3&gt;=$D85,AK$3&lt;=$E85),IF((AK$3-$D85+1)*VLOOKUP($A85,presupuesto!$B:$Q,16,FALSE)&gt;=VLOOKUP($A85,informe!$A:$J,9,FALSE),"cg","c"),"n")</f>
        <v>n</v>
      </c>
    </row>
    <row r="86" spans="1:37" s="1" customFormat="1" ht="14.25" customHeight="1" x14ac:dyDescent="0.25">
      <c r="A86" s="197">
        <f>presupuesto!B85</f>
        <v>52</v>
      </c>
      <c r="B86" s="182" t="str">
        <f>presupuesto!C85</f>
        <v xml:space="preserve">         Hormigón tipo G-25</v>
      </c>
      <c r="C86" s="174" t="str">
        <f>presupuesto!G85</f>
        <v>30 días</v>
      </c>
      <c r="D86" s="177">
        <f>presupuesto!N85</f>
        <v>45690</v>
      </c>
      <c r="E86" s="177">
        <f>presupuesto!O85</f>
        <v>45719</v>
      </c>
      <c r="F86" s="194" t="str">
        <f>IF(AK86="n",CONCATENATE(" - "),IF(AK86="cg",CONCATENATE(" - "),CONCATENATE(ROUND(IFERROR(VLOOKUP(A86,informe!A:J,9,FALSE)/VLOOKUP(A86,informe!A:J,5,FALSE),0)*100,2),"% ")))</f>
        <v xml:space="preserve"> - </v>
      </c>
      <c r="G86" s="195" t="str">
        <f>IF(AND(G$3&gt;=$D86,G$3&lt;=$E86),IF((G$3-$D86+1)*VLOOKUP($A86,presupuesto!$B:$Q,16,FALSE)&gt;=VLOOKUP($A86,informe!$A:$J,9,FALSE),"cg","c"),"n")</f>
        <v>n</v>
      </c>
      <c r="H86" s="195" t="str">
        <f>IF(AND(H$3&gt;=$D86,H$3&lt;=$E86),IF((H$3-$D86+1)*VLOOKUP($A86,presupuesto!$B:$Q,16,FALSE)&gt;=VLOOKUP($A86,informe!$A:$J,9,FALSE),"cg","c"),"n")</f>
        <v>n</v>
      </c>
      <c r="I86" s="195" t="str">
        <f>IF(AND(I$3&gt;=$D86,I$3&lt;=$E86),IF((I$3-$D86+1)*VLOOKUP($A86,presupuesto!$B:$Q,16,FALSE)&gt;=VLOOKUP($A86,informe!$A:$J,9,FALSE),"cg","c"),"n")</f>
        <v>n</v>
      </c>
      <c r="J86" s="195" t="str">
        <f>IF(AND(J$3&gt;=$D86,J$3&lt;=$E86),IF((J$3-$D86+1)*VLOOKUP($A86,presupuesto!$B:$Q,16,FALSE)&gt;=VLOOKUP($A86,informe!$A:$J,9,FALSE),"cg","c"),"n")</f>
        <v>n</v>
      </c>
      <c r="K86" s="195" t="str">
        <f>IF(AND(K$3&gt;=$D86,K$3&lt;=$E86),IF((K$3-$D86+1)*VLOOKUP($A86,presupuesto!$B:$Q,16,FALSE)&gt;=VLOOKUP($A86,informe!$A:$J,9,FALSE),"cg","c"),"n")</f>
        <v>n</v>
      </c>
      <c r="L86" s="195" t="str">
        <f>IF(AND(L$3&gt;=$D86,L$3&lt;=$E86),IF((L$3-$D86+1)*VLOOKUP($A86,presupuesto!$B:$Q,16,FALSE)&gt;=VLOOKUP($A86,informe!$A:$J,9,FALSE),"cg","c"),"n")</f>
        <v>n</v>
      </c>
      <c r="M86" s="195" t="str">
        <f>IF(AND(M$3&gt;=$D86,M$3&lt;=$E86),IF((M$3-$D86+1)*VLOOKUP($A86,presupuesto!$B:$Q,16,FALSE)&gt;=VLOOKUP($A86,informe!$A:$J,9,FALSE),"cg","c"),"n")</f>
        <v>n</v>
      </c>
      <c r="N86" s="195" t="str">
        <f>IF(AND(N$3&gt;=$D86,N$3&lt;=$E86),IF((N$3-$D86+1)*VLOOKUP($A86,presupuesto!$B:$Q,16,FALSE)&gt;=VLOOKUP($A86,informe!$A:$J,9,FALSE),"cg","c"),"n")</f>
        <v>n</v>
      </c>
      <c r="O86" s="195" t="str">
        <f>IF(AND(O$3&gt;=$D86,O$3&lt;=$E86),IF((O$3-$D86+1)*VLOOKUP($A86,presupuesto!$B:$Q,16,FALSE)&gt;=VLOOKUP($A86,informe!$A:$J,9,FALSE),"cg","c"),"n")</f>
        <v>n</v>
      </c>
      <c r="P86" s="195" t="str">
        <f>IF(AND(P$3&gt;=$D86,P$3&lt;=$E86),IF((P$3-$D86+1)*VLOOKUP($A86,presupuesto!$B:$Q,16,FALSE)&gt;=VLOOKUP($A86,informe!$A:$J,9,FALSE),"cg","c"),"n")</f>
        <v>n</v>
      </c>
      <c r="Q86" s="195" t="str">
        <f>IF(AND(Q$3&gt;=$D86,Q$3&lt;=$E86),IF((Q$3-$D86+1)*VLOOKUP($A86,presupuesto!$B:$Q,16,FALSE)&gt;=VLOOKUP($A86,informe!$A:$J,9,FALSE),"cg","c"),"n")</f>
        <v>n</v>
      </c>
      <c r="R86" s="195" t="str">
        <f>IF(AND(R$3&gt;=$D86,R$3&lt;=$E86),IF((R$3-$D86+1)*VLOOKUP($A86,presupuesto!$B:$Q,16,FALSE)&gt;=VLOOKUP($A86,informe!$A:$J,9,FALSE),"cg","c"),"n")</f>
        <v>n</v>
      </c>
      <c r="S86" s="195" t="str">
        <f>IF(AND(S$3&gt;=$D86,S$3&lt;=$E86),IF((S$3-$D86+1)*VLOOKUP($A86,presupuesto!$B:$Q,16,FALSE)&gt;=VLOOKUP($A86,informe!$A:$J,9,FALSE),"cg","c"),"n")</f>
        <v>n</v>
      </c>
      <c r="T86" s="195" t="str">
        <f>IF(AND(T$3&gt;=$D86,T$3&lt;=$E86),IF((T$3-$D86+1)*VLOOKUP($A86,presupuesto!$B:$Q,16,FALSE)&gt;=VLOOKUP($A86,informe!$A:$J,9,FALSE),"cg","c"),"n")</f>
        <v>n</v>
      </c>
      <c r="U86" s="195" t="str">
        <f>IF(AND(U$3&gt;=$D86,U$3&lt;=$E86),IF((U$3-$D86+1)*VLOOKUP($A86,presupuesto!$B:$Q,16,FALSE)&gt;=VLOOKUP($A86,informe!$A:$J,9,FALSE),"cg","c"),"n")</f>
        <v>n</v>
      </c>
      <c r="V86" s="195" t="str">
        <f>IF(AND(V$3&gt;=$D86,V$3&lt;=$E86),IF((V$3-$D86+1)*VLOOKUP($A86,presupuesto!$B:$Q,16,FALSE)&gt;=VLOOKUP($A86,informe!$A:$J,9,FALSE),"cg","c"),"n")</f>
        <v>n</v>
      </c>
      <c r="W86" s="195" t="str">
        <f>IF(AND(W$3&gt;=$D86,W$3&lt;=$E86),IF((W$3-$D86+1)*VLOOKUP($A86,presupuesto!$B:$Q,16,FALSE)&gt;=VLOOKUP($A86,informe!$A:$J,9,FALSE),"cg","c"),"n")</f>
        <v>n</v>
      </c>
      <c r="X86" s="195" t="str">
        <f>IF(AND(X$3&gt;=$D86,X$3&lt;=$E86),IF((X$3-$D86+1)*VLOOKUP($A86,presupuesto!$B:$Q,16,FALSE)&gt;=VLOOKUP($A86,informe!$A:$J,9,FALSE),"cg","c"),"n")</f>
        <v>n</v>
      </c>
      <c r="Y86" s="195" t="str">
        <f>IF(AND(Y$3&gt;=$D86,Y$3&lt;=$E86),IF((Y$3-$D86+1)*VLOOKUP($A86,presupuesto!$B:$Q,16,FALSE)&gt;=VLOOKUP($A86,informe!$A:$J,9,FALSE),"cg","c"),"n")</f>
        <v>n</v>
      </c>
      <c r="Z86" s="195" t="str">
        <f>IF(AND(Z$3&gt;=$D86,Z$3&lt;=$E86),IF((Z$3-$D86+1)*VLOOKUP($A86,presupuesto!$B:$Q,16,FALSE)&gt;=VLOOKUP($A86,informe!$A:$J,9,FALSE),"cg","c"),"n")</f>
        <v>n</v>
      </c>
      <c r="AA86" s="195" t="str">
        <f>IF(AND(AA$3&gt;=$D86,AA$3&lt;=$E86),IF((AA$3-$D86+1)*VLOOKUP($A86,presupuesto!$B:$Q,16,FALSE)&gt;=VLOOKUP($A86,informe!$A:$J,9,FALSE),"cg","c"),"n")</f>
        <v>n</v>
      </c>
      <c r="AB86" s="195" t="str">
        <f>IF(AND(AB$3&gt;=$D86,AB$3&lt;=$E86),IF((AB$3-$D86+1)*VLOOKUP($A86,presupuesto!$B:$Q,16,FALSE)&gt;=VLOOKUP($A86,informe!$A:$J,9,FALSE),"cg","c"),"n")</f>
        <v>n</v>
      </c>
      <c r="AC86" s="195" t="str">
        <f>IF(AND(AC$3&gt;=$D86,AC$3&lt;=$E86),IF((AC$3-$D86+1)*VLOOKUP($A86,presupuesto!$B:$Q,16,FALSE)&gt;=VLOOKUP($A86,informe!$A:$J,9,FALSE),"cg","c"),"n")</f>
        <v>n</v>
      </c>
      <c r="AD86" s="195" t="str">
        <f>IF(AND(AD$3&gt;=$D86,AD$3&lt;=$E86),IF((AD$3-$D86+1)*VLOOKUP($A86,presupuesto!$B:$Q,16,FALSE)&gt;=VLOOKUP($A86,informe!$A:$J,9,FALSE),"cg","c"),"n")</f>
        <v>n</v>
      </c>
      <c r="AE86" s="195" t="str">
        <f>IF(AND(AE$3&gt;=$D86,AE$3&lt;=$E86),IF((AE$3-$D86+1)*VLOOKUP($A86,presupuesto!$B:$Q,16,FALSE)&gt;=VLOOKUP($A86,informe!$A:$J,9,FALSE),"cg","c"),"n")</f>
        <v>n</v>
      </c>
      <c r="AF86" s="195" t="str">
        <f>IF(AND(AF$3&gt;=$D86,AF$3&lt;=$E86),IF((AF$3-$D86+1)*VLOOKUP($A86,presupuesto!$B:$Q,16,FALSE)&gt;=VLOOKUP($A86,informe!$A:$J,9,FALSE),"cg","c"),"n")</f>
        <v>n</v>
      </c>
      <c r="AG86" s="195" t="str">
        <f>IF(AND(AG$3&gt;=$D86,AG$3&lt;=$E86),IF((AG$3-$D86+1)*VLOOKUP($A86,presupuesto!$B:$Q,16,FALSE)&gt;=VLOOKUP($A86,informe!$A:$J,9,FALSE),"cg","c"),"n")</f>
        <v>n</v>
      </c>
      <c r="AH86" s="195" t="str">
        <f>IF(AND(AH$3&gt;=$D86,AH$3&lt;=$E86),IF((AH$3-$D86+1)*VLOOKUP($A86,presupuesto!$B:$Q,16,FALSE)&gt;=VLOOKUP($A86,informe!$A:$J,9,FALSE),"cg","c"),"n")</f>
        <v>n</v>
      </c>
      <c r="AI86" s="195" t="str">
        <f>IF(AND(AI$3&gt;=$D86,AI$3&lt;=$E86),IF((AI$3-$D86+1)*VLOOKUP($A86,presupuesto!$B:$Q,16,FALSE)&gt;=VLOOKUP($A86,informe!$A:$J,9,FALSE),"cg","c"),"n")</f>
        <v>n</v>
      </c>
      <c r="AJ86" s="195" t="str">
        <f>IF(AND(AJ$3&gt;=$D86,AJ$3&lt;=$E86),IF((AJ$3-$D86+1)*VLOOKUP($A86,presupuesto!$B:$Q,16,FALSE)&gt;=VLOOKUP($A86,informe!$A:$J,9,FALSE),"cg","c"),"n")</f>
        <v>n</v>
      </c>
      <c r="AK86" s="196" t="str">
        <f>IF(AND(AK$3&gt;=$D86,AK$3&lt;=$E86),IF((AK$3-$D86+1)*VLOOKUP($A86,presupuesto!$B:$Q,16,FALSE)&gt;=VLOOKUP($A86,informe!$A:$J,9,FALSE),"cg","c"),"n")</f>
        <v>n</v>
      </c>
    </row>
    <row r="87" spans="1:37" s="1" customFormat="1" ht="14.25" customHeight="1" x14ac:dyDescent="0.25">
      <c r="A87" s="193">
        <f>presupuesto!B86</f>
        <v>53</v>
      </c>
      <c r="B87" s="182" t="str">
        <f>presupuesto!C86</f>
        <v xml:space="preserve">         Acero de refuerzo A63-42H</v>
      </c>
      <c r="C87" s="173" t="str">
        <f>presupuesto!G86</f>
        <v>25 días</v>
      </c>
      <c r="D87" s="176">
        <f>presupuesto!N86</f>
        <v>45685</v>
      </c>
      <c r="E87" s="176">
        <f>presupuesto!O86</f>
        <v>45709</v>
      </c>
      <c r="F87" s="194" t="str">
        <f>IF(AK87="n",CONCATENATE(" - "),IF(AK87="cg",CONCATENATE(" - "),CONCATENATE(ROUND(IFERROR(VLOOKUP(A87,informe!A:J,9,FALSE)/VLOOKUP(A87,informe!A:J,5,FALSE),0)*100,2),"% ")))</f>
        <v xml:space="preserve"> - </v>
      </c>
      <c r="G87" s="195" t="str">
        <f>IF(AND(G$3&gt;=$D87,G$3&lt;=$E87),IF((G$3-$D87+1)*VLOOKUP($A87,presupuesto!$B:$Q,16,FALSE)&gt;=VLOOKUP($A87,informe!$A:$J,9,FALSE),"cg","c"),"n")</f>
        <v>n</v>
      </c>
      <c r="H87" s="195" t="str">
        <f>IF(AND(H$3&gt;=$D87,H$3&lt;=$E87),IF((H$3-$D87+1)*VLOOKUP($A87,presupuesto!$B:$Q,16,FALSE)&gt;=VLOOKUP($A87,informe!$A:$J,9,FALSE),"cg","c"),"n")</f>
        <v>n</v>
      </c>
      <c r="I87" s="195" t="str">
        <f>IF(AND(I$3&gt;=$D87,I$3&lt;=$E87),IF((I$3-$D87+1)*VLOOKUP($A87,presupuesto!$B:$Q,16,FALSE)&gt;=VLOOKUP($A87,informe!$A:$J,9,FALSE),"cg","c"),"n")</f>
        <v>n</v>
      </c>
      <c r="J87" s="195" t="str">
        <f>IF(AND(J$3&gt;=$D87,J$3&lt;=$E87),IF((J$3-$D87+1)*VLOOKUP($A87,presupuesto!$B:$Q,16,FALSE)&gt;=VLOOKUP($A87,informe!$A:$J,9,FALSE),"cg","c"),"n")</f>
        <v>n</v>
      </c>
      <c r="K87" s="195" t="str">
        <f>IF(AND(K$3&gt;=$D87,K$3&lt;=$E87),IF((K$3-$D87+1)*VLOOKUP($A87,presupuesto!$B:$Q,16,FALSE)&gt;=VLOOKUP($A87,informe!$A:$J,9,FALSE),"cg","c"),"n")</f>
        <v>n</v>
      </c>
      <c r="L87" s="195" t="str">
        <f>IF(AND(L$3&gt;=$D87,L$3&lt;=$E87),IF((L$3-$D87+1)*VLOOKUP($A87,presupuesto!$B:$Q,16,FALSE)&gt;=VLOOKUP($A87,informe!$A:$J,9,FALSE),"cg","c"),"n")</f>
        <v>n</v>
      </c>
      <c r="M87" s="195" t="str">
        <f>IF(AND(M$3&gt;=$D87,M$3&lt;=$E87),IF((M$3-$D87+1)*VLOOKUP($A87,presupuesto!$B:$Q,16,FALSE)&gt;=VLOOKUP($A87,informe!$A:$J,9,FALSE),"cg","c"),"n")</f>
        <v>n</v>
      </c>
      <c r="N87" s="195" t="str">
        <f>IF(AND(N$3&gt;=$D87,N$3&lt;=$E87),IF((N$3-$D87+1)*VLOOKUP($A87,presupuesto!$B:$Q,16,FALSE)&gt;=VLOOKUP($A87,informe!$A:$J,9,FALSE),"cg","c"),"n")</f>
        <v>n</v>
      </c>
      <c r="O87" s="195" t="str">
        <f>IF(AND(O$3&gt;=$D87,O$3&lt;=$E87),IF((O$3-$D87+1)*VLOOKUP($A87,presupuesto!$B:$Q,16,FALSE)&gt;=VLOOKUP($A87,informe!$A:$J,9,FALSE),"cg","c"),"n")</f>
        <v>n</v>
      </c>
      <c r="P87" s="195" t="str">
        <f>IF(AND(P$3&gt;=$D87,P$3&lt;=$E87),IF((P$3-$D87+1)*VLOOKUP($A87,presupuesto!$B:$Q,16,FALSE)&gt;=VLOOKUP($A87,informe!$A:$J,9,FALSE),"cg","c"),"n")</f>
        <v>n</v>
      </c>
      <c r="Q87" s="195" t="str">
        <f>IF(AND(Q$3&gt;=$D87,Q$3&lt;=$E87),IF((Q$3-$D87+1)*VLOOKUP($A87,presupuesto!$B:$Q,16,FALSE)&gt;=VLOOKUP($A87,informe!$A:$J,9,FALSE),"cg","c"),"n")</f>
        <v>n</v>
      </c>
      <c r="R87" s="195" t="str">
        <f>IF(AND(R$3&gt;=$D87,R$3&lt;=$E87),IF((R$3-$D87+1)*VLOOKUP($A87,presupuesto!$B:$Q,16,FALSE)&gt;=VLOOKUP($A87,informe!$A:$J,9,FALSE),"cg","c"),"n")</f>
        <v>n</v>
      </c>
      <c r="S87" s="195" t="str">
        <f>IF(AND(S$3&gt;=$D87,S$3&lt;=$E87),IF((S$3-$D87+1)*VLOOKUP($A87,presupuesto!$B:$Q,16,FALSE)&gt;=VLOOKUP($A87,informe!$A:$J,9,FALSE),"cg","c"),"n")</f>
        <v>n</v>
      </c>
      <c r="T87" s="195" t="str">
        <f>IF(AND(T$3&gt;=$D87,T$3&lt;=$E87),IF((T$3-$D87+1)*VLOOKUP($A87,presupuesto!$B:$Q,16,FALSE)&gt;=VLOOKUP($A87,informe!$A:$J,9,FALSE),"cg","c"),"n")</f>
        <v>n</v>
      </c>
      <c r="U87" s="195" t="str">
        <f>IF(AND(U$3&gt;=$D87,U$3&lt;=$E87),IF((U$3-$D87+1)*VLOOKUP($A87,presupuesto!$B:$Q,16,FALSE)&gt;=VLOOKUP($A87,informe!$A:$J,9,FALSE),"cg","c"),"n")</f>
        <v>n</v>
      </c>
      <c r="V87" s="195" t="str">
        <f>IF(AND(V$3&gt;=$D87,V$3&lt;=$E87),IF((V$3-$D87+1)*VLOOKUP($A87,presupuesto!$B:$Q,16,FALSE)&gt;=VLOOKUP($A87,informe!$A:$J,9,FALSE),"cg","c"),"n")</f>
        <v>n</v>
      </c>
      <c r="W87" s="195" t="str">
        <f>IF(AND(W$3&gt;=$D87,W$3&lt;=$E87),IF((W$3-$D87+1)*VLOOKUP($A87,presupuesto!$B:$Q,16,FALSE)&gt;=VLOOKUP($A87,informe!$A:$J,9,FALSE),"cg","c"),"n")</f>
        <v>n</v>
      </c>
      <c r="X87" s="195" t="str">
        <f>IF(AND(X$3&gt;=$D87,X$3&lt;=$E87),IF((X$3-$D87+1)*VLOOKUP($A87,presupuesto!$B:$Q,16,FALSE)&gt;=VLOOKUP($A87,informe!$A:$J,9,FALSE),"cg","c"),"n")</f>
        <v>n</v>
      </c>
      <c r="Y87" s="195" t="str">
        <f>IF(AND(Y$3&gt;=$D87,Y$3&lt;=$E87),IF((Y$3-$D87+1)*VLOOKUP($A87,presupuesto!$B:$Q,16,FALSE)&gt;=VLOOKUP($A87,informe!$A:$J,9,FALSE),"cg","c"),"n")</f>
        <v>n</v>
      </c>
      <c r="Z87" s="195" t="str">
        <f>IF(AND(Z$3&gt;=$D87,Z$3&lt;=$E87),IF((Z$3-$D87+1)*VLOOKUP($A87,presupuesto!$B:$Q,16,FALSE)&gt;=VLOOKUP($A87,informe!$A:$J,9,FALSE),"cg","c"),"n")</f>
        <v>n</v>
      </c>
      <c r="AA87" s="195" t="str">
        <f>IF(AND(AA$3&gt;=$D87,AA$3&lt;=$E87),IF((AA$3-$D87+1)*VLOOKUP($A87,presupuesto!$B:$Q,16,FALSE)&gt;=VLOOKUP($A87,informe!$A:$J,9,FALSE),"cg","c"),"n")</f>
        <v>n</v>
      </c>
      <c r="AB87" s="195" t="str">
        <f>IF(AND(AB$3&gt;=$D87,AB$3&lt;=$E87),IF((AB$3-$D87+1)*VLOOKUP($A87,presupuesto!$B:$Q,16,FALSE)&gt;=VLOOKUP($A87,informe!$A:$J,9,FALSE),"cg","c"),"n")</f>
        <v>n</v>
      </c>
      <c r="AC87" s="195" t="str">
        <f>IF(AND(AC$3&gt;=$D87,AC$3&lt;=$E87),IF((AC$3-$D87+1)*VLOOKUP($A87,presupuesto!$B:$Q,16,FALSE)&gt;=VLOOKUP($A87,informe!$A:$J,9,FALSE),"cg","c"),"n")</f>
        <v>n</v>
      </c>
      <c r="AD87" s="195" t="str">
        <f>IF(AND(AD$3&gt;=$D87,AD$3&lt;=$E87),IF((AD$3-$D87+1)*VLOOKUP($A87,presupuesto!$B:$Q,16,FALSE)&gt;=VLOOKUP($A87,informe!$A:$J,9,FALSE),"cg","c"),"n")</f>
        <v>n</v>
      </c>
      <c r="AE87" s="195" t="str">
        <f>IF(AND(AE$3&gt;=$D87,AE$3&lt;=$E87),IF((AE$3-$D87+1)*VLOOKUP($A87,presupuesto!$B:$Q,16,FALSE)&gt;=VLOOKUP($A87,informe!$A:$J,9,FALSE),"cg","c"),"n")</f>
        <v>n</v>
      </c>
      <c r="AF87" s="195" t="str">
        <f>IF(AND(AF$3&gt;=$D87,AF$3&lt;=$E87),IF((AF$3-$D87+1)*VLOOKUP($A87,presupuesto!$B:$Q,16,FALSE)&gt;=VLOOKUP($A87,informe!$A:$J,9,FALSE),"cg","c"),"n")</f>
        <v>n</v>
      </c>
      <c r="AG87" s="195" t="str">
        <f>IF(AND(AG$3&gt;=$D87,AG$3&lt;=$E87),IF((AG$3-$D87+1)*VLOOKUP($A87,presupuesto!$B:$Q,16,FALSE)&gt;=VLOOKUP($A87,informe!$A:$J,9,FALSE),"cg","c"),"n")</f>
        <v>n</v>
      </c>
      <c r="AH87" s="195" t="str">
        <f>IF(AND(AH$3&gt;=$D87,AH$3&lt;=$E87),IF((AH$3-$D87+1)*VLOOKUP($A87,presupuesto!$B:$Q,16,FALSE)&gt;=VLOOKUP($A87,informe!$A:$J,9,FALSE),"cg","c"),"n")</f>
        <v>n</v>
      </c>
      <c r="AI87" s="195" t="str">
        <f>IF(AND(AI$3&gt;=$D87,AI$3&lt;=$E87),IF((AI$3-$D87+1)*VLOOKUP($A87,presupuesto!$B:$Q,16,FALSE)&gt;=VLOOKUP($A87,informe!$A:$J,9,FALSE),"cg","c"),"n")</f>
        <v>n</v>
      </c>
      <c r="AJ87" s="195" t="str">
        <f>IF(AND(AJ$3&gt;=$D87,AJ$3&lt;=$E87),IF((AJ$3-$D87+1)*VLOOKUP($A87,presupuesto!$B:$Q,16,FALSE)&gt;=VLOOKUP($A87,informe!$A:$J,9,FALSE),"cg","c"),"n")</f>
        <v>n</v>
      </c>
      <c r="AK87" s="196" t="str">
        <f>IF(AND(AK$3&gt;=$D87,AK$3&lt;=$E87),IF((AK$3-$D87+1)*VLOOKUP($A87,presupuesto!$B:$Q,16,FALSE)&gt;=VLOOKUP($A87,informe!$A:$J,9,FALSE),"cg","c"),"n")</f>
        <v>n</v>
      </c>
    </row>
    <row r="88" spans="1:37" s="1" customFormat="1" ht="14.25" customHeight="1" x14ac:dyDescent="0.3">
      <c r="A88" s="197" t="str">
        <f>presupuesto!B87</f>
        <v>C.-</v>
      </c>
      <c r="B88" s="181" t="str">
        <f>presupuesto!C87</f>
        <v xml:space="preserve">      ESTRUCTURA DE ESTANQUE (SUMINISTRO TRANSPORTE Y MONTAJE DE LAS ESTRUCTURAS)</v>
      </c>
      <c r="C88" s="174" t="str">
        <f>presupuesto!G87</f>
        <v>97 días</v>
      </c>
      <c r="D88" s="177">
        <f>presupuesto!N87</f>
        <v>45674</v>
      </c>
      <c r="E88" s="177">
        <f>presupuesto!O87</f>
        <v>45770</v>
      </c>
      <c r="F88" s="194" t="str">
        <f>IF(AK88="n",CONCATENATE(" - "),IF(AK88="cg",CONCATENATE(" - "),CONCATENATE(ROUND(IFERROR(VLOOKUP(A88,informe!A:J,9,FALSE)/VLOOKUP(A88,informe!A:J,5,FALSE),0)*100,2),"% ")))</f>
        <v xml:space="preserve"> - </v>
      </c>
      <c r="G88" s="195" t="str">
        <f>IF(AND(G$3&gt;=$D88,G$3&lt;=$E88),IF((G$3-$D88+1)*VLOOKUP($A88,presupuesto!$B:$Q,16,FALSE)&gt;=VLOOKUP($A88,informe!$A:$J,9,FALSE),"cg","c"),"n")</f>
        <v>n</v>
      </c>
      <c r="H88" s="195" t="str">
        <f>IF(AND(H$3&gt;=$D88,H$3&lt;=$E88),IF((H$3-$D88+1)*VLOOKUP($A88,presupuesto!$B:$Q,16,FALSE)&gt;=VLOOKUP($A88,informe!$A:$J,9,FALSE),"cg","c"),"n")</f>
        <v>n</v>
      </c>
      <c r="I88" s="195" t="str">
        <f>IF(AND(I$3&gt;=$D88,I$3&lt;=$E88),IF((I$3-$D88+1)*VLOOKUP($A88,presupuesto!$B:$Q,16,FALSE)&gt;=VLOOKUP($A88,informe!$A:$J,9,FALSE),"cg","c"),"n")</f>
        <v>n</v>
      </c>
      <c r="J88" s="195" t="str">
        <f>IF(AND(J$3&gt;=$D88,J$3&lt;=$E88),IF((J$3-$D88+1)*VLOOKUP($A88,presupuesto!$B:$Q,16,FALSE)&gt;=VLOOKUP($A88,informe!$A:$J,9,FALSE),"cg","c"),"n")</f>
        <v>n</v>
      </c>
      <c r="K88" s="195" t="str">
        <f>IF(AND(K$3&gt;=$D88,K$3&lt;=$E88),IF((K$3-$D88+1)*VLOOKUP($A88,presupuesto!$B:$Q,16,FALSE)&gt;=VLOOKUP($A88,informe!$A:$J,9,FALSE),"cg","c"),"n")</f>
        <v>n</v>
      </c>
      <c r="L88" s="195" t="str">
        <f>IF(AND(L$3&gt;=$D88,L$3&lt;=$E88),IF((L$3-$D88+1)*VLOOKUP($A88,presupuesto!$B:$Q,16,FALSE)&gt;=VLOOKUP($A88,informe!$A:$J,9,FALSE),"cg","c"),"n")</f>
        <v>n</v>
      </c>
      <c r="M88" s="195" t="str">
        <f>IF(AND(M$3&gt;=$D88,M$3&lt;=$E88),IF((M$3-$D88+1)*VLOOKUP($A88,presupuesto!$B:$Q,16,FALSE)&gt;=VLOOKUP($A88,informe!$A:$J,9,FALSE),"cg","c"),"n")</f>
        <v>n</v>
      </c>
      <c r="N88" s="195" t="str">
        <f>IF(AND(N$3&gt;=$D88,N$3&lt;=$E88),IF((N$3-$D88+1)*VLOOKUP($A88,presupuesto!$B:$Q,16,FALSE)&gt;=VLOOKUP($A88,informe!$A:$J,9,FALSE),"cg","c"),"n")</f>
        <v>n</v>
      </c>
      <c r="O88" s="195" t="str">
        <f>IF(AND(O$3&gt;=$D88,O$3&lt;=$E88),IF((O$3-$D88+1)*VLOOKUP($A88,presupuesto!$B:$Q,16,FALSE)&gt;=VLOOKUP($A88,informe!$A:$J,9,FALSE),"cg","c"),"n")</f>
        <v>n</v>
      </c>
      <c r="P88" s="195" t="str">
        <f>IF(AND(P$3&gt;=$D88,P$3&lt;=$E88),IF((P$3-$D88+1)*VLOOKUP($A88,presupuesto!$B:$Q,16,FALSE)&gt;=VLOOKUP($A88,informe!$A:$J,9,FALSE),"cg","c"),"n")</f>
        <v>n</v>
      </c>
      <c r="Q88" s="195" t="str">
        <f>IF(AND(Q$3&gt;=$D88,Q$3&lt;=$E88),IF((Q$3-$D88+1)*VLOOKUP($A88,presupuesto!$B:$Q,16,FALSE)&gt;=VLOOKUP($A88,informe!$A:$J,9,FALSE),"cg","c"),"n")</f>
        <v>n</v>
      </c>
      <c r="R88" s="195" t="str">
        <f>IF(AND(R$3&gt;=$D88,R$3&lt;=$E88),IF((R$3-$D88+1)*VLOOKUP($A88,presupuesto!$B:$Q,16,FALSE)&gt;=VLOOKUP($A88,informe!$A:$J,9,FALSE),"cg","c"),"n")</f>
        <v>n</v>
      </c>
      <c r="S88" s="195" t="str">
        <f>IF(AND(S$3&gt;=$D88,S$3&lt;=$E88),IF((S$3-$D88+1)*VLOOKUP($A88,presupuesto!$B:$Q,16,FALSE)&gt;=VLOOKUP($A88,informe!$A:$J,9,FALSE),"cg","c"),"n")</f>
        <v>n</v>
      </c>
      <c r="T88" s="195" t="str">
        <f>IF(AND(T$3&gt;=$D88,T$3&lt;=$E88),IF((T$3-$D88+1)*VLOOKUP($A88,presupuesto!$B:$Q,16,FALSE)&gt;=VLOOKUP($A88,informe!$A:$J,9,FALSE),"cg","c"),"n")</f>
        <v>n</v>
      </c>
      <c r="U88" s="195" t="str">
        <f>IF(AND(U$3&gt;=$D88,U$3&lt;=$E88),IF((U$3-$D88+1)*VLOOKUP($A88,presupuesto!$B:$Q,16,FALSE)&gt;=VLOOKUP($A88,informe!$A:$J,9,FALSE),"cg","c"),"n")</f>
        <v>n</v>
      </c>
      <c r="V88" s="195" t="str">
        <f>IF(AND(V$3&gt;=$D88,V$3&lt;=$E88),IF((V$3-$D88+1)*VLOOKUP($A88,presupuesto!$B:$Q,16,FALSE)&gt;=VLOOKUP($A88,informe!$A:$J,9,FALSE),"cg","c"),"n")</f>
        <v>n</v>
      </c>
      <c r="W88" s="195" t="str">
        <f>IF(AND(W$3&gt;=$D88,W$3&lt;=$E88),IF((W$3-$D88+1)*VLOOKUP($A88,presupuesto!$B:$Q,16,FALSE)&gt;=VLOOKUP($A88,informe!$A:$J,9,FALSE),"cg","c"),"n")</f>
        <v>n</v>
      </c>
      <c r="X88" s="195" t="str">
        <f>IF(AND(X$3&gt;=$D88,X$3&lt;=$E88),IF((X$3-$D88+1)*VLOOKUP($A88,presupuesto!$B:$Q,16,FALSE)&gt;=VLOOKUP($A88,informe!$A:$J,9,FALSE),"cg","c"),"n")</f>
        <v>n</v>
      </c>
      <c r="Y88" s="195" t="str">
        <f>IF(AND(Y$3&gt;=$D88,Y$3&lt;=$E88),IF((Y$3-$D88+1)*VLOOKUP($A88,presupuesto!$B:$Q,16,FALSE)&gt;=VLOOKUP($A88,informe!$A:$J,9,FALSE),"cg","c"),"n")</f>
        <v>n</v>
      </c>
      <c r="Z88" s="195" t="str">
        <f>IF(AND(Z$3&gt;=$D88,Z$3&lt;=$E88),IF((Z$3-$D88+1)*VLOOKUP($A88,presupuesto!$B:$Q,16,FALSE)&gt;=VLOOKUP($A88,informe!$A:$J,9,FALSE),"cg","c"),"n")</f>
        <v>n</v>
      </c>
      <c r="AA88" s="195" t="str">
        <f>IF(AND(AA$3&gt;=$D88,AA$3&lt;=$E88),IF((AA$3-$D88+1)*VLOOKUP($A88,presupuesto!$B:$Q,16,FALSE)&gt;=VLOOKUP($A88,informe!$A:$J,9,FALSE),"cg","c"),"n")</f>
        <v>n</v>
      </c>
      <c r="AB88" s="195" t="str">
        <f>IF(AND(AB$3&gt;=$D88,AB$3&lt;=$E88),IF((AB$3-$D88+1)*VLOOKUP($A88,presupuesto!$B:$Q,16,FALSE)&gt;=VLOOKUP($A88,informe!$A:$J,9,FALSE),"cg","c"),"n")</f>
        <v>n</v>
      </c>
      <c r="AC88" s="195" t="str">
        <f>IF(AND(AC$3&gt;=$D88,AC$3&lt;=$E88),IF((AC$3-$D88+1)*VLOOKUP($A88,presupuesto!$B:$Q,16,FALSE)&gt;=VLOOKUP($A88,informe!$A:$J,9,FALSE),"cg","c"),"n")</f>
        <v>n</v>
      </c>
      <c r="AD88" s="195" t="str">
        <f>IF(AND(AD$3&gt;=$D88,AD$3&lt;=$E88),IF((AD$3-$D88+1)*VLOOKUP($A88,presupuesto!$B:$Q,16,FALSE)&gt;=VLOOKUP($A88,informe!$A:$J,9,FALSE),"cg","c"),"n")</f>
        <v>n</v>
      </c>
      <c r="AE88" s="195" t="str">
        <f>IF(AND(AE$3&gt;=$D88,AE$3&lt;=$E88),IF((AE$3-$D88+1)*VLOOKUP($A88,presupuesto!$B:$Q,16,FALSE)&gt;=VLOOKUP($A88,informe!$A:$J,9,FALSE),"cg","c"),"n")</f>
        <v>n</v>
      </c>
      <c r="AF88" s="195" t="str">
        <f>IF(AND(AF$3&gt;=$D88,AF$3&lt;=$E88),IF((AF$3-$D88+1)*VLOOKUP($A88,presupuesto!$B:$Q,16,FALSE)&gt;=VLOOKUP($A88,informe!$A:$J,9,FALSE),"cg","c"),"n")</f>
        <v>n</v>
      </c>
      <c r="AG88" s="195" t="str">
        <f>IF(AND(AG$3&gt;=$D88,AG$3&lt;=$E88),IF((AG$3-$D88+1)*VLOOKUP($A88,presupuesto!$B:$Q,16,FALSE)&gt;=VLOOKUP($A88,informe!$A:$J,9,FALSE),"cg","c"),"n")</f>
        <v>n</v>
      </c>
      <c r="AH88" s="195" t="str">
        <f>IF(AND(AH$3&gt;=$D88,AH$3&lt;=$E88),IF((AH$3-$D88+1)*VLOOKUP($A88,presupuesto!$B:$Q,16,FALSE)&gt;=VLOOKUP($A88,informe!$A:$J,9,FALSE),"cg","c"),"n")</f>
        <v>n</v>
      </c>
      <c r="AI88" s="195" t="str">
        <f>IF(AND(AI$3&gt;=$D88,AI$3&lt;=$E88),IF((AI$3-$D88+1)*VLOOKUP($A88,presupuesto!$B:$Q,16,FALSE)&gt;=VLOOKUP($A88,informe!$A:$J,9,FALSE),"cg","c"),"n")</f>
        <v>n</v>
      </c>
      <c r="AJ88" s="195" t="str">
        <f>IF(AND(AJ$3&gt;=$D88,AJ$3&lt;=$E88),IF((AJ$3-$D88+1)*VLOOKUP($A88,presupuesto!$B:$Q,16,FALSE)&gt;=VLOOKUP($A88,informe!$A:$J,9,FALSE),"cg","c"),"n")</f>
        <v>n</v>
      </c>
      <c r="AK88" s="196" t="str">
        <f>IF(AND(AK$3&gt;=$D88,AK$3&lt;=$E88),IF((AK$3-$D88+1)*VLOOKUP($A88,presupuesto!$B:$Q,16,FALSE)&gt;=VLOOKUP($A88,informe!$A:$J,9,FALSE),"cg","c"),"n")</f>
        <v>n</v>
      </c>
    </row>
    <row r="89" spans="1:37" s="1" customFormat="1" ht="14.25" customHeight="1" x14ac:dyDescent="0.25">
      <c r="A89" s="197">
        <f>presupuesto!B88</f>
        <v>54</v>
      </c>
      <c r="B89" s="182" t="str">
        <f>presupuesto!C88</f>
        <v xml:space="preserve">         Pernos de anclaje de 1 " x 1400 mm</v>
      </c>
      <c r="C89" s="174" t="str">
        <f>presupuesto!G88</f>
        <v>2 días</v>
      </c>
      <c r="D89" s="177">
        <f>presupuesto!N88</f>
        <v>45715</v>
      </c>
      <c r="E89" s="177">
        <f>presupuesto!O88</f>
        <v>45716</v>
      </c>
      <c r="F89" s="194" t="str">
        <f>IF(AK89="n",CONCATENATE(" - "),IF(AK89="cg",CONCATENATE(" - "),CONCATENATE(ROUND(IFERROR(VLOOKUP(A89,informe!A:J,9,FALSE)/VLOOKUP(A89,informe!A:J,5,FALSE),0)*100,2),"% ")))</f>
        <v xml:space="preserve"> - </v>
      </c>
      <c r="G89" s="195" t="str">
        <f>IF(AND(G$3&gt;=$D89,G$3&lt;=$E89),IF((G$3-$D89+1)*VLOOKUP($A89,presupuesto!$B:$Q,16,FALSE)&gt;=VLOOKUP($A89,informe!$A:$J,9,FALSE),"cg","c"),"n")</f>
        <v>n</v>
      </c>
      <c r="H89" s="195" t="str">
        <f>IF(AND(H$3&gt;=$D89,H$3&lt;=$E89),IF((H$3-$D89+1)*VLOOKUP($A89,presupuesto!$B:$Q,16,FALSE)&gt;=VLOOKUP($A89,informe!$A:$J,9,FALSE),"cg","c"),"n")</f>
        <v>n</v>
      </c>
      <c r="I89" s="195" t="str">
        <f>IF(AND(I$3&gt;=$D89,I$3&lt;=$E89),IF((I$3-$D89+1)*VLOOKUP($A89,presupuesto!$B:$Q,16,FALSE)&gt;=VLOOKUP($A89,informe!$A:$J,9,FALSE),"cg","c"),"n")</f>
        <v>n</v>
      </c>
      <c r="J89" s="195" t="str">
        <f>IF(AND(J$3&gt;=$D89,J$3&lt;=$E89),IF((J$3-$D89+1)*VLOOKUP($A89,presupuesto!$B:$Q,16,FALSE)&gt;=VLOOKUP($A89,informe!$A:$J,9,FALSE),"cg","c"),"n")</f>
        <v>n</v>
      </c>
      <c r="K89" s="195" t="str">
        <f>IF(AND(K$3&gt;=$D89,K$3&lt;=$E89),IF((K$3-$D89+1)*VLOOKUP($A89,presupuesto!$B:$Q,16,FALSE)&gt;=VLOOKUP($A89,informe!$A:$J,9,FALSE),"cg","c"),"n")</f>
        <v>n</v>
      </c>
      <c r="L89" s="195" t="str">
        <f>IF(AND(L$3&gt;=$D89,L$3&lt;=$E89),IF((L$3-$D89+1)*VLOOKUP($A89,presupuesto!$B:$Q,16,FALSE)&gt;=VLOOKUP($A89,informe!$A:$J,9,FALSE),"cg","c"),"n")</f>
        <v>n</v>
      </c>
      <c r="M89" s="195" t="str">
        <f>IF(AND(M$3&gt;=$D89,M$3&lt;=$E89),IF((M$3-$D89+1)*VLOOKUP($A89,presupuesto!$B:$Q,16,FALSE)&gt;=VLOOKUP($A89,informe!$A:$J,9,FALSE),"cg","c"),"n")</f>
        <v>n</v>
      </c>
      <c r="N89" s="195" t="str">
        <f>IF(AND(N$3&gt;=$D89,N$3&lt;=$E89),IF((N$3-$D89+1)*VLOOKUP($A89,presupuesto!$B:$Q,16,FALSE)&gt;=VLOOKUP($A89,informe!$A:$J,9,FALSE),"cg","c"),"n")</f>
        <v>n</v>
      </c>
      <c r="O89" s="195" t="str">
        <f>IF(AND(O$3&gt;=$D89,O$3&lt;=$E89),IF((O$3-$D89+1)*VLOOKUP($A89,presupuesto!$B:$Q,16,FALSE)&gt;=VLOOKUP($A89,informe!$A:$J,9,FALSE),"cg","c"),"n")</f>
        <v>n</v>
      </c>
      <c r="P89" s="195" t="str">
        <f>IF(AND(P$3&gt;=$D89,P$3&lt;=$E89),IF((P$3-$D89+1)*VLOOKUP($A89,presupuesto!$B:$Q,16,FALSE)&gt;=VLOOKUP($A89,informe!$A:$J,9,FALSE),"cg","c"),"n")</f>
        <v>n</v>
      </c>
      <c r="Q89" s="195" t="str">
        <f>IF(AND(Q$3&gt;=$D89,Q$3&lt;=$E89),IF((Q$3-$D89+1)*VLOOKUP($A89,presupuesto!$B:$Q,16,FALSE)&gt;=VLOOKUP($A89,informe!$A:$J,9,FALSE),"cg","c"),"n")</f>
        <v>n</v>
      </c>
      <c r="R89" s="195" t="str">
        <f>IF(AND(R$3&gt;=$D89,R$3&lt;=$E89),IF((R$3-$D89+1)*VLOOKUP($A89,presupuesto!$B:$Q,16,FALSE)&gt;=VLOOKUP($A89,informe!$A:$J,9,FALSE),"cg","c"),"n")</f>
        <v>n</v>
      </c>
      <c r="S89" s="195" t="str">
        <f>IF(AND(S$3&gt;=$D89,S$3&lt;=$E89),IF((S$3-$D89+1)*VLOOKUP($A89,presupuesto!$B:$Q,16,FALSE)&gt;=VLOOKUP($A89,informe!$A:$J,9,FALSE),"cg","c"),"n")</f>
        <v>n</v>
      </c>
      <c r="T89" s="195" t="str">
        <f>IF(AND(T$3&gt;=$D89,T$3&lt;=$E89),IF((T$3-$D89+1)*VLOOKUP($A89,presupuesto!$B:$Q,16,FALSE)&gt;=VLOOKUP($A89,informe!$A:$J,9,FALSE),"cg","c"),"n")</f>
        <v>n</v>
      </c>
      <c r="U89" s="195" t="str">
        <f>IF(AND(U$3&gt;=$D89,U$3&lt;=$E89),IF((U$3-$D89+1)*VLOOKUP($A89,presupuesto!$B:$Q,16,FALSE)&gt;=VLOOKUP($A89,informe!$A:$J,9,FALSE),"cg","c"),"n")</f>
        <v>n</v>
      </c>
      <c r="V89" s="195" t="str">
        <f>IF(AND(V$3&gt;=$D89,V$3&lt;=$E89),IF((V$3-$D89+1)*VLOOKUP($A89,presupuesto!$B:$Q,16,FALSE)&gt;=VLOOKUP($A89,informe!$A:$J,9,FALSE),"cg","c"),"n")</f>
        <v>n</v>
      </c>
      <c r="W89" s="195" t="str">
        <f>IF(AND(W$3&gt;=$D89,W$3&lt;=$E89),IF((W$3-$D89+1)*VLOOKUP($A89,presupuesto!$B:$Q,16,FALSE)&gt;=VLOOKUP($A89,informe!$A:$J,9,FALSE),"cg","c"),"n")</f>
        <v>n</v>
      </c>
      <c r="X89" s="195" t="str">
        <f>IF(AND(X$3&gt;=$D89,X$3&lt;=$E89),IF((X$3-$D89+1)*VLOOKUP($A89,presupuesto!$B:$Q,16,FALSE)&gt;=VLOOKUP($A89,informe!$A:$J,9,FALSE),"cg","c"),"n")</f>
        <v>n</v>
      </c>
      <c r="Y89" s="195" t="str">
        <f>IF(AND(Y$3&gt;=$D89,Y$3&lt;=$E89),IF((Y$3-$D89+1)*VLOOKUP($A89,presupuesto!$B:$Q,16,FALSE)&gt;=VLOOKUP($A89,informe!$A:$J,9,FALSE),"cg","c"),"n")</f>
        <v>n</v>
      </c>
      <c r="Z89" s="195" t="str">
        <f>IF(AND(Z$3&gt;=$D89,Z$3&lt;=$E89),IF((Z$3-$D89+1)*VLOOKUP($A89,presupuesto!$B:$Q,16,FALSE)&gt;=VLOOKUP($A89,informe!$A:$J,9,FALSE),"cg","c"),"n")</f>
        <v>n</v>
      </c>
      <c r="AA89" s="195" t="str">
        <f>IF(AND(AA$3&gt;=$D89,AA$3&lt;=$E89),IF((AA$3-$D89+1)*VLOOKUP($A89,presupuesto!$B:$Q,16,FALSE)&gt;=VLOOKUP($A89,informe!$A:$J,9,FALSE),"cg","c"),"n")</f>
        <v>n</v>
      </c>
      <c r="AB89" s="195" t="str">
        <f>IF(AND(AB$3&gt;=$D89,AB$3&lt;=$E89),IF((AB$3-$D89+1)*VLOOKUP($A89,presupuesto!$B:$Q,16,FALSE)&gt;=VLOOKUP($A89,informe!$A:$J,9,FALSE),"cg","c"),"n")</f>
        <v>n</v>
      </c>
      <c r="AC89" s="195" t="str">
        <f>IF(AND(AC$3&gt;=$D89,AC$3&lt;=$E89),IF((AC$3-$D89+1)*VLOOKUP($A89,presupuesto!$B:$Q,16,FALSE)&gt;=VLOOKUP($A89,informe!$A:$J,9,FALSE),"cg","c"),"n")</f>
        <v>n</v>
      </c>
      <c r="AD89" s="195" t="str">
        <f>IF(AND(AD$3&gt;=$D89,AD$3&lt;=$E89),IF((AD$3-$D89+1)*VLOOKUP($A89,presupuesto!$B:$Q,16,FALSE)&gt;=VLOOKUP($A89,informe!$A:$J,9,FALSE),"cg","c"),"n")</f>
        <v>n</v>
      </c>
      <c r="AE89" s="195" t="str">
        <f>IF(AND(AE$3&gt;=$D89,AE$3&lt;=$E89),IF((AE$3-$D89+1)*VLOOKUP($A89,presupuesto!$B:$Q,16,FALSE)&gt;=VLOOKUP($A89,informe!$A:$J,9,FALSE),"cg","c"),"n")</f>
        <v>n</v>
      </c>
      <c r="AF89" s="195" t="str">
        <f>IF(AND(AF$3&gt;=$D89,AF$3&lt;=$E89),IF((AF$3-$D89+1)*VLOOKUP($A89,presupuesto!$B:$Q,16,FALSE)&gt;=VLOOKUP($A89,informe!$A:$J,9,FALSE),"cg","c"),"n")</f>
        <v>n</v>
      </c>
      <c r="AG89" s="195" t="str">
        <f>IF(AND(AG$3&gt;=$D89,AG$3&lt;=$E89),IF((AG$3-$D89+1)*VLOOKUP($A89,presupuesto!$B:$Q,16,FALSE)&gt;=VLOOKUP($A89,informe!$A:$J,9,FALSE),"cg","c"),"n")</f>
        <v>n</v>
      </c>
      <c r="AH89" s="195" t="str">
        <f>IF(AND(AH$3&gt;=$D89,AH$3&lt;=$E89),IF((AH$3-$D89+1)*VLOOKUP($A89,presupuesto!$B:$Q,16,FALSE)&gt;=VLOOKUP($A89,informe!$A:$J,9,FALSE),"cg","c"),"n")</f>
        <v>n</v>
      </c>
      <c r="AI89" s="195" t="str">
        <f>IF(AND(AI$3&gt;=$D89,AI$3&lt;=$E89),IF((AI$3-$D89+1)*VLOOKUP($A89,presupuesto!$B:$Q,16,FALSE)&gt;=VLOOKUP($A89,informe!$A:$J,9,FALSE),"cg","c"),"n")</f>
        <v>n</v>
      </c>
      <c r="AJ89" s="195" t="str">
        <f>IF(AND(AJ$3&gt;=$D89,AJ$3&lt;=$E89),IF((AJ$3-$D89+1)*VLOOKUP($A89,presupuesto!$B:$Q,16,FALSE)&gt;=VLOOKUP($A89,informe!$A:$J,9,FALSE),"cg","c"),"n")</f>
        <v>n</v>
      </c>
      <c r="AK89" s="196" t="str">
        <f>IF(AND(AK$3&gt;=$D89,AK$3&lt;=$E89),IF((AK$3-$D89+1)*VLOOKUP($A89,presupuesto!$B:$Q,16,FALSE)&gt;=VLOOKUP($A89,informe!$A:$J,9,FALSE),"cg","c"),"n")</f>
        <v>n</v>
      </c>
    </row>
    <row r="90" spans="1:37" s="1" customFormat="1" ht="14.25" customHeight="1" x14ac:dyDescent="0.25">
      <c r="A90" s="193">
        <f>presupuesto!B89</f>
        <v>55</v>
      </c>
      <c r="B90" s="182" t="str">
        <f>presupuesto!C89</f>
        <v xml:space="preserve">         Placas de anclaje 540 x 540 x 25 mm de acero calidad A 37 – 24 ES</v>
      </c>
      <c r="C90" s="173" t="str">
        <f>presupuesto!G89</f>
        <v>7 días</v>
      </c>
      <c r="D90" s="176">
        <f>presupuesto!N89</f>
        <v>45757</v>
      </c>
      <c r="E90" s="176">
        <f>presupuesto!O89</f>
        <v>45763</v>
      </c>
      <c r="F90" s="194" t="str">
        <f>IF(AK90="n",CONCATENATE(" - "),IF(AK90="cg",CONCATENATE(" - "),CONCATENATE(ROUND(IFERROR(VLOOKUP(A90,informe!A:J,9,FALSE)/VLOOKUP(A90,informe!A:J,5,FALSE),0)*100,2),"% ")))</f>
        <v xml:space="preserve"> - </v>
      </c>
      <c r="G90" s="195" t="str">
        <f>IF(AND(G$3&gt;=$D90,G$3&lt;=$E90),IF((G$3-$D90+1)*VLOOKUP($A90,presupuesto!$B:$Q,16,FALSE)&gt;=VLOOKUP($A90,informe!$A:$J,9,FALSE),"cg","c"),"n")</f>
        <v>n</v>
      </c>
      <c r="H90" s="195" t="str">
        <f>IF(AND(H$3&gt;=$D90,H$3&lt;=$E90),IF((H$3-$D90+1)*VLOOKUP($A90,presupuesto!$B:$Q,16,FALSE)&gt;=VLOOKUP($A90,informe!$A:$J,9,FALSE),"cg","c"),"n")</f>
        <v>n</v>
      </c>
      <c r="I90" s="195" t="str">
        <f>IF(AND(I$3&gt;=$D90,I$3&lt;=$E90),IF((I$3-$D90+1)*VLOOKUP($A90,presupuesto!$B:$Q,16,FALSE)&gt;=VLOOKUP($A90,informe!$A:$J,9,FALSE),"cg","c"),"n")</f>
        <v>n</v>
      </c>
      <c r="J90" s="195" t="str">
        <f>IF(AND(J$3&gt;=$D90,J$3&lt;=$E90),IF((J$3-$D90+1)*VLOOKUP($A90,presupuesto!$B:$Q,16,FALSE)&gt;=VLOOKUP($A90,informe!$A:$J,9,FALSE),"cg","c"),"n")</f>
        <v>n</v>
      </c>
      <c r="K90" s="195" t="str">
        <f>IF(AND(K$3&gt;=$D90,K$3&lt;=$E90),IF((K$3-$D90+1)*VLOOKUP($A90,presupuesto!$B:$Q,16,FALSE)&gt;=VLOOKUP($A90,informe!$A:$J,9,FALSE),"cg","c"),"n")</f>
        <v>n</v>
      </c>
      <c r="L90" s="195" t="str">
        <f>IF(AND(L$3&gt;=$D90,L$3&lt;=$E90),IF((L$3-$D90+1)*VLOOKUP($A90,presupuesto!$B:$Q,16,FALSE)&gt;=VLOOKUP($A90,informe!$A:$J,9,FALSE),"cg","c"),"n")</f>
        <v>n</v>
      </c>
      <c r="M90" s="195" t="str">
        <f>IF(AND(M$3&gt;=$D90,M$3&lt;=$E90),IF((M$3-$D90+1)*VLOOKUP($A90,presupuesto!$B:$Q,16,FALSE)&gt;=VLOOKUP($A90,informe!$A:$J,9,FALSE),"cg","c"),"n")</f>
        <v>n</v>
      </c>
      <c r="N90" s="195" t="str">
        <f>IF(AND(N$3&gt;=$D90,N$3&lt;=$E90),IF((N$3-$D90+1)*VLOOKUP($A90,presupuesto!$B:$Q,16,FALSE)&gt;=VLOOKUP($A90,informe!$A:$J,9,FALSE),"cg","c"),"n")</f>
        <v>n</v>
      </c>
      <c r="O90" s="195" t="str">
        <f>IF(AND(O$3&gt;=$D90,O$3&lt;=$E90),IF((O$3-$D90+1)*VLOOKUP($A90,presupuesto!$B:$Q,16,FALSE)&gt;=VLOOKUP($A90,informe!$A:$J,9,FALSE),"cg","c"),"n")</f>
        <v>n</v>
      </c>
      <c r="P90" s="195" t="str">
        <f>IF(AND(P$3&gt;=$D90,P$3&lt;=$E90),IF((P$3-$D90+1)*VLOOKUP($A90,presupuesto!$B:$Q,16,FALSE)&gt;=VLOOKUP($A90,informe!$A:$J,9,FALSE),"cg","c"),"n")</f>
        <v>n</v>
      </c>
      <c r="Q90" s="195" t="str">
        <f>IF(AND(Q$3&gt;=$D90,Q$3&lt;=$E90),IF((Q$3-$D90+1)*VLOOKUP($A90,presupuesto!$B:$Q,16,FALSE)&gt;=VLOOKUP($A90,informe!$A:$J,9,FALSE),"cg","c"),"n")</f>
        <v>n</v>
      </c>
      <c r="R90" s="195" t="str">
        <f>IF(AND(R$3&gt;=$D90,R$3&lt;=$E90),IF((R$3-$D90+1)*VLOOKUP($A90,presupuesto!$B:$Q,16,FALSE)&gt;=VLOOKUP($A90,informe!$A:$J,9,FALSE),"cg","c"),"n")</f>
        <v>n</v>
      </c>
      <c r="S90" s="195" t="str">
        <f>IF(AND(S$3&gt;=$D90,S$3&lt;=$E90),IF((S$3-$D90+1)*VLOOKUP($A90,presupuesto!$B:$Q,16,FALSE)&gt;=VLOOKUP($A90,informe!$A:$J,9,FALSE),"cg","c"),"n")</f>
        <v>n</v>
      </c>
      <c r="T90" s="195" t="str">
        <f>IF(AND(T$3&gt;=$D90,T$3&lt;=$E90),IF((T$3-$D90+1)*VLOOKUP($A90,presupuesto!$B:$Q,16,FALSE)&gt;=VLOOKUP($A90,informe!$A:$J,9,FALSE),"cg","c"),"n")</f>
        <v>n</v>
      </c>
      <c r="U90" s="195" t="str">
        <f>IF(AND(U$3&gt;=$D90,U$3&lt;=$E90),IF((U$3-$D90+1)*VLOOKUP($A90,presupuesto!$B:$Q,16,FALSE)&gt;=VLOOKUP($A90,informe!$A:$J,9,FALSE),"cg","c"),"n")</f>
        <v>n</v>
      </c>
      <c r="V90" s="195" t="str">
        <f>IF(AND(V$3&gt;=$D90,V$3&lt;=$E90),IF((V$3-$D90+1)*VLOOKUP($A90,presupuesto!$B:$Q,16,FALSE)&gt;=VLOOKUP($A90,informe!$A:$J,9,FALSE),"cg","c"),"n")</f>
        <v>n</v>
      </c>
      <c r="W90" s="195" t="str">
        <f>IF(AND(W$3&gt;=$D90,W$3&lt;=$E90),IF((W$3-$D90+1)*VLOOKUP($A90,presupuesto!$B:$Q,16,FALSE)&gt;=VLOOKUP($A90,informe!$A:$J,9,FALSE),"cg","c"),"n")</f>
        <v>n</v>
      </c>
      <c r="X90" s="195" t="str">
        <f>IF(AND(X$3&gt;=$D90,X$3&lt;=$E90),IF((X$3-$D90+1)*VLOOKUP($A90,presupuesto!$B:$Q,16,FALSE)&gt;=VLOOKUP($A90,informe!$A:$J,9,FALSE),"cg","c"),"n")</f>
        <v>n</v>
      </c>
      <c r="Y90" s="195" t="str">
        <f>IF(AND(Y$3&gt;=$D90,Y$3&lt;=$E90),IF((Y$3-$D90+1)*VLOOKUP($A90,presupuesto!$B:$Q,16,FALSE)&gt;=VLOOKUP($A90,informe!$A:$J,9,FALSE),"cg","c"),"n")</f>
        <v>n</v>
      </c>
      <c r="Z90" s="195" t="str">
        <f>IF(AND(Z$3&gt;=$D90,Z$3&lt;=$E90),IF((Z$3-$D90+1)*VLOOKUP($A90,presupuesto!$B:$Q,16,FALSE)&gt;=VLOOKUP($A90,informe!$A:$J,9,FALSE),"cg","c"),"n")</f>
        <v>n</v>
      </c>
      <c r="AA90" s="195" t="str">
        <f>IF(AND(AA$3&gt;=$D90,AA$3&lt;=$E90),IF((AA$3-$D90+1)*VLOOKUP($A90,presupuesto!$B:$Q,16,FALSE)&gt;=VLOOKUP($A90,informe!$A:$J,9,FALSE),"cg","c"),"n")</f>
        <v>n</v>
      </c>
      <c r="AB90" s="195" t="str">
        <f>IF(AND(AB$3&gt;=$D90,AB$3&lt;=$E90),IF((AB$3-$D90+1)*VLOOKUP($A90,presupuesto!$B:$Q,16,FALSE)&gt;=VLOOKUP($A90,informe!$A:$J,9,FALSE),"cg","c"),"n")</f>
        <v>n</v>
      </c>
      <c r="AC90" s="195" t="str">
        <f>IF(AND(AC$3&gt;=$D90,AC$3&lt;=$E90),IF((AC$3-$D90+1)*VLOOKUP($A90,presupuesto!$B:$Q,16,FALSE)&gt;=VLOOKUP($A90,informe!$A:$J,9,FALSE),"cg","c"),"n")</f>
        <v>n</v>
      </c>
      <c r="AD90" s="195" t="str">
        <f>IF(AND(AD$3&gt;=$D90,AD$3&lt;=$E90),IF((AD$3-$D90+1)*VLOOKUP($A90,presupuesto!$B:$Q,16,FALSE)&gt;=VLOOKUP($A90,informe!$A:$J,9,FALSE),"cg","c"),"n")</f>
        <v>n</v>
      </c>
      <c r="AE90" s="195" t="str">
        <f>IF(AND(AE$3&gt;=$D90,AE$3&lt;=$E90),IF((AE$3-$D90+1)*VLOOKUP($A90,presupuesto!$B:$Q,16,FALSE)&gt;=VLOOKUP($A90,informe!$A:$J,9,FALSE),"cg","c"),"n")</f>
        <v>n</v>
      </c>
      <c r="AF90" s="195" t="str">
        <f>IF(AND(AF$3&gt;=$D90,AF$3&lt;=$E90),IF((AF$3-$D90+1)*VLOOKUP($A90,presupuesto!$B:$Q,16,FALSE)&gt;=VLOOKUP($A90,informe!$A:$J,9,FALSE),"cg","c"),"n")</f>
        <v>n</v>
      </c>
      <c r="AG90" s="195" t="str">
        <f>IF(AND(AG$3&gt;=$D90,AG$3&lt;=$E90),IF((AG$3-$D90+1)*VLOOKUP($A90,presupuesto!$B:$Q,16,FALSE)&gt;=VLOOKUP($A90,informe!$A:$J,9,FALSE),"cg","c"),"n")</f>
        <v>n</v>
      </c>
      <c r="AH90" s="195" t="str">
        <f>IF(AND(AH$3&gt;=$D90,AH$3&lt;=$E90),IF((AH$3-$D90+1)*VLOOKUP($A90,presupuesto!$B:$Q,16,FALSE)&gt;=VLOOKUP($A90,informe!$A:$J,9,FALSE),"cg","c"),"n")</f>
        <v>n</v>
      </c>
      <c r="AI90" s="195" t="str">
        <f>IF(AND(AI$3&gt;=$D90,AI$3&lt;=$E90),IF((AI$3-$D90+1)*VLOOKUP($A90,presupuesto!$B:$Q,16,FALSE)&gt;=VLOOKUP($A90,informe!$A:$J,9,FALSE),"cg","c"),"n")</f>
        <v>n</v>
      </c>
      <c r="AJ90" s="195" t="str">
        <f>IF(AND(AJ$3&gt;=$D90,AJ$3&lt;=$E90),IF((AJ$3-$D90+1)*VLOOKUP($A90,presupuesto!$B:$Q,16,FALSE)&gt;=VLOOKUP($A90,informe!$A:$J,9,FALSE),"cg","c"),"n")</f>
        <v>n</v>
      </c>
      <c r="AK90" s="196" t="str">
        <f>IF(AND(AK$3&gt;=$D90,AK$3&lt;=$E90),IF((AK$3-$D90+1)*VLOOKUP($A90,presupuesto!$B:$Q,16,FALSE)&gt;=VLOOKUP($A90,informe!$A:$J,9,FALSE),"cg","c"),"n")</f>
        <v>n</v>
      </c>
    </row>
    <row r="91" spans="1:37" s="1" customFormat="1" ht="14.25" customHeight="1" x14ac:dyDescent="0.25">
      <c r="A91" s="197">
        <f>presupuesto!B90</f>
        <v>56</v>
      </c>
      <c r="B91" s="182" t="str">
        <f>presupuesto!C90</f>
        <v xml:space="preserve">         Torre metalica 15 m de altura</v>
      </c>
      <c r="C91" s="174" t="str">
        <f>presupuesto!G90</f>
        <v>90 días</v>
      </c>
      <c r="D91" s="177">
        <f>presupuesto!N90</f>
        <v>45674</v>
      </c>
      <c r="E91" s="177">
        <f>presupuesto!O90</f>
        <v>45763</v>
      </c>
      <c r="F91" s="194" t="str">
        <f>IF(AK91="n",CONCATENATE(" - "),IF(AK91="cg",CONCATENATE(" - "),CONCATENATE(ROUND(IFERROR(VLOOKUP(A91,informe!A:J,9,FALSE)/VLOOKUP(A91,informe!A:J,5,FALSE),0)*100,2),"% ")))</f>
        <v xml:space="preserve"> - </v>
      </c>
      <c r="G91" s="195" t="str">
        <f>IF(AND(G$3&gt;=$D91,G$3&lt;=$E91),IF((G$3-$D91+1)*VLOOKUP($A91,presupuesto!$B:$Q,16,FALSE)&gt;=VLOOKUP($A91,informe!$A:$J,9,FALSE),"cg","c"),"n")</f>
        <v>n</v>
      </c>
      <c r="H91" s="195" t="str">
        <f>IF(AND(H$3&gt;=$D91,H$3&lt;=$E91),IF((H$3-$D91+1)*VLOOKUP($A91,presupuesto!$B:$Q,16,FALSE)&gt;=VLOOKUP($A91,informe!$A:$J,9,FALSE),"cg","c"),"n")</f>
        <v>n</v>
      </c>
      <c r="I91" s="195" t="str">
        <f>IF(AND(I$3&gt;=$D91,I$3&lt;=$E91),IF((I$3-$D91+1)*VLOOKUP($A91,presupuesto!$B:$Q,16,FALSE)&gt;=VLOOKUP($A91,informe!$A:$J,9,FALSE),"cg","c"),"n")</f>
        <v>n</v>
      </c>
      <c r="J91" s="195" t="str">
        <f>IF(AND(J$3&gt;=$D91,J$3&lt;=$E91),IF((J$3-$D91+1)*VLOOKUP($A91,presupuesto!$B:$Q,16,FALSE)&gt;=VLOOKUP($A91,informe!$A:$J,9,FALSE),"cg","c"),"n")</f>
        <v>n</v>
      </c>
      <c r="K91" s="195" t="str">
        <f>IF(AND(K$3&gt;=$D91,K$3&lt;=$E91),IF((K$3-$D91+1)*VLOOKUP($A91,presupuesto!$B:$Q,16,FALSE)&gt;=VLOOKUP($A91,informe!$A:$J,9,FALSE),"cg","c"),"n")</f>
        <v>n</v>
      </c>
      <c r="L91" s="195" t="str">
        <f>IF(AND(L$3&gt;=$D91,L$3&lt;=$E91),IF((L$3-$D91+1)*VLOOKUP($A91,presupuesto!$B:$Q,16,FALSE)&gt;=VLOOKUP($A91,informe!$A:$J,9,FALSE),"cg","c"),"n")</f>
        <v>n</v>
      </c>
      <c r="M91" s="195" t="str">
        <f>IF(AND(M$3&gt;=$D91,M$3&lt;=$E91),IF((M$3-$D91+1)*VLOOKUP($A91,presupuesto!$B:$Q,16,FALSE)&gt;=VLOOKUP($A91,informe!$A:$J,9,FALSE),"cg","c"),"n")</f>
        <v>n</v>
      </c>
      <c r="N91" s="195" t="str">
        <f>IF(AND(N$3&gt;=$D91,N$3&lt;=$E91),IF((N$3-$D91+1)*VLOOKUP($A91,presupuesto!$B:$Q,16,FALSE)&gt;=VLOOKUP($A91,informe!$A:$J,9,FALSE),"cg","c"),"n")</f>
        <v>n</v>
      </c>
      <c r="O91" s="195" t="str">
        <f>IF(AND(O$3&gt;=$D91,O$3&lt;=$E91),IF((O$3-$D91+1)*VLOOKUP($A91,presupuesto!$B:$Q,16,FALSE)&gt;=VLOOKUP($A91,informe!$A:$J,9,FALSE),"cg","c"),"n")</f>
        <v>n</v>
      </c>
      <c r="P91" s="195" t="str">
        <f>IF(AND(P$3&gt;=$D91,P$3&lt;=$E91),IF((P$3-$D91+1)*VLOOKUP($A91,presupuesto!$B:$Q,16,FALSE)&gt;=VLOOKUP($A91,informe!$A:$J,9,FALSE),"cg","c"),"n")</f>
        <v>n</v>
      </c>
      <c r="Q91" s="195" t="str">
        <f>IF(AND(Q$3&gt;=$D91,Q$3&lt;=$E91),IF((Q$3-$D91+1)*VLOOKUP($A91,presupuesto!$B:$Q,16,FALSE)&gt;=VLOOKUP($A91,informe!$A:$J,9,FALSE),"cg","c"),"n")</f>
        <v>n</v>
      </c>
      <c r="R91" s="195" t="str">
        <f>IF(AND(R$3&gt;=$D91,R$3&lt;=$E91),IF((R$3-$D91+1)*VLOOKUP($A91,presupuesto!$B:$Q,16,FALSE)&gt;=VLOOKUP($A91,informe!$A:$J,9,FALSE),"cg","c"),"n")</f>
        <v>n</v>
      </c>
      <c r="S91" s="195" t="str">
        <f>IF(AND(S$3&gt;=$D91,S$3&lt;=$E91),IF((S$3-$D91+1)*VLOOKUP($A91,presupuesto!$B:$Q,16,FALSE)&gt;=VLOOKUP($A91,informe!$A:$J,9,FALSE),"cg","c"),"n")</f>
        <v>n</v>
      </c>
      <c r="T91" s="195" t="str">
        <f>IF(AND(T$3&gt;=$D91,T$3&lt;=$E91),IF((T$3-$D91+1)*VLOOKUP($A91,presupuesto!$B:$Q,16,FALSE)&gt;=VLOOKUP($A91,informe!$A:$J,9,FALSE),"cg","c"),"n")</f>
        <v>n</v>
      </c>
      <c r="U91" s="195" t="str">
        <f>IF(AND(U$3&gt;=$D91,U$3&lt;=$E91),IF((U$3-$D91+1)*VLOOKUP($A91,presupuesto!$B:$Q,16,FALSE)&gt;=VLOOKUP($A91,informe!$A:$J,9,FALSE),"cg","c"),"n")</f>
        <v>n</v>
      </c>
      <c r="V91" s="195" t="str">
        <f>IF(AND(V$3&gt;=$D91,V$3&lt;=$E91),IF((V$3-$D91+1)*VLOOKUP($A91,presupuesto!$B:$Q,16,FALSE)&gt;=VLOOKUP($A91,informe!$A:$J,9,FALSE),"cg","c"),"n")</f>
        <v>n</v>
      </c>
      <c r="W91" s="195" t="str">
        <f>IF(AND(W$3&gt;=$D91,W$3&lt;=$E91),IF((W$3-$D91+1)*VLOOKUP($A91,presupuesto!$B:$Q,16,FALSE)&gt;=VLOOKUP($A91,informe!$A:$J,9,FALSE),"cg","c"),"n")</f>
        <v>n</v>
      </c>
      <c r="X91" s="195" t="str">
        <f>IF(AND(X$3&gt;=$D91,X$3&lt;=$E91),IF((X$3-$D91+1)*VLOOKUP($A91,presupuesto!$B:$Q,16,FALSE)&gt;=VLOOKUP($A91,informe!$A:$J,9,FALSE),"cg","c"),"n")</f>
        <v>n</v>
      </c>
      <c r="Y91" s="195" t="str">
        <f>IF(AND(Y$3&gt;=$D91,Y$3&lt;=$E91),IF((Y$3-$D91+1)*VLOOKUP($A91,presupuesto!$B:$Q,16,FALSE)&gt;=VLOOKUP($A91,informe!$A:$J,9,FALSE),"cg","c"),"n")</f>
        <v>n</v>
      </c>
      <c r="Z91" s="195" t="str">
        <f>IF(AND(Z$3&gt;=$D91,Z$3&lt;=$E91),IF((Z$3-$D91+1)*VLOOKUP($A91,presupuesto!$B:$Q,16,FALSE)&gt;=VLOOKUP($A91,informe!$A:$J,9,FALSE),"cg","c"),"n")</f>
        <v>n</v>
      </c>
      <c r="AA91" s="195" t="str">
        <f>IF(AND(AA$3&gt;=$D91,AA$3&lt;=$E91),IF((AA$3-$D91+1)*VLOOKUP($A91,presupuesto!$B:$Q,16,FALSE)&gt;=VLOOKUP($A91,informe!$A:$J,9,FALSE),"cg","c"),"n")</f>
        <v>n</v>
      </c>
      <c r="AB91" s="195" t="str">
        <f>IF(AND(AB$3&gt;=$D91,AB$3&lt;=$E91),IF((AB$3-$D91+1)*VLOOKUP($A91,presupuesto!$B:$Q,16,FALSE)&gt;=VLOOKUP($A91,informe!$A:$J,9,FALSE),"cg","c"),"n")</f>
        <v>n</v>
      </c>
      <c r="AC91" s="195" t="str">
        <f>IF(AND(AC$3&gt;=$D91,AC$3&lt;=$E91),IF((AC$3-$D91+1)*VLOOKUP($A91,presupuesto!$B:$Q,16,FALSE)&gt;=VLOOKUP($A91,informe!$A:$J,9,FALSE),"cg","c"),"n")</f>
        <v>n</v>
      </c>
      <c r="AD91" s="195" t="str">
        <f>IF(AND(AD$3&gt;=$D91,AD$3&lt;=$E91),IF((AD$3-$D91+1)*VLOOKUP($A91,presupuesto!$B:$Q,16,FALSE)&gt;=VLOOKUP($A91,informe!$A:$J,9,FALSE),"cg","c"),"n")</f>
        <v>n</v>
      </c>
      <c r="AE91" s="195" t="str">
        <f>IF(AND(AE$3&gt;=$D91,AE$3&lt;=$E91),IF((AE$3-$D91+1)*VLOOKUP($A91,presupuesto!$B:$Q,16,FALSE)&gt;=VLOOKUP($A91,informe!$A:$J,9,FALSE),"cg","c"),"n")</f>
        <v>n</v>
      </c>
      <c r="AF91" s="195" t="str">
        <f>IF(AND(AF$3&gt;=$D91,AF$3&lt;=$E91),IF((AF$3-$D91+1)*VLOOKUP($A91,presupuesto!$B:$Q,16,FALSE)&gt;=VLOOKUP($A91,informe!$A:$J,9,FALSE),"cg","c"),"n")</f>
        <v>n</v>
      </c>
      <c r="AG91" s="195" t="str">
        <f>IF(AND(AG$3&gt;=$D91,AG$3&lt;=$E91),IF((AG$3-$D91+1)*VLOOKUP($A91,presupuesto!$B:$Q,16,FALSE)&gt;=VLOOKUP($A91,informe!$A:$J,9,FALSE),"cg","c"),"n")</f>
        <v>n</v>
      </c>
      <c r="AH91" s="195" t="str">
        <f>IF(AND(AH$3&gt;=$D91,AH$3&lt;=$E91),IF((AH$3-$D91+1)*VLOOKUP($A91,presupuesto!$B:$Q,16,FALSE)&gt;=VLOOKUP($A91,informe!$A:$J,9,FALSE),"cg","c"),"n")</f>
        <v>n</v>
      </c>
      <c r="AI91" s="195" t="str">
        <f>IF(AND(AI$3&gt;=$D91,AI$3&lt;=$E91),IF((AI$3-$D91+1)*VLOOKUP($A91,presupuesto!$B:$Q,16,FALSE)&gt;=VLOOKUP($A91,informe!$A:$J,9,FALSE),"cg","c"),"n")</f>
        <v>n</v>
      </c>
      <c r="AJ91" s="195" t="str">
        <f>IF(AND(AJ$3&gt;=$D91,AJ$3&lt;=$E91),IF((AJ$3-$D91+1)*VLOOKUP($A91,presupuesto!$B:$Q,16,FALSE)&gt;=VLOOKUP($A91,informe!$A:$J,9,FALSE),"cg","c"),"n")</f>
        <v>n</v>
      </c>
      <c r="AK91" s="196" t="str">
        <f>IF(AND(AK$3&gt;=$D91,AK$3&lt;=$E91),IF((AK$3-$D91+1)*VLOOKUP($A91,presupuesto!$B:$Q,16,FALSE)&gt;=VLOOKUP($A91,informe!$A:$J,9,FALSE),"cg","c"),"n")</f>
        <v>n</v>
      </c>
    </row>
    <row r="92" spans="1:37" s="1" customFormat="1" ht="14.25" customHeight="1" x14ac:dyDescent="0.25">
      <c r="A92" s="197">
        <f>presupuesto!B91</f>
        <v>57</v>
      </c>
      <c r="B92" s="182" t="str">
        <f>presupuesto!C91</f>
        <v xml:space="preserve">         Plataforma</v>
      </c>
      <c r="C92" s="174" t="str">
        <f>presupuesto!G91</f>
        <v>90 días</v>
      </c>
      <c r="D92" s="177">
        <f>presupuesto!N91</f>
        <v>45674</v>
      </c>
      <c r="E92" s="177">
        <f>presupuesto!O91</f>
        <v>45763</v>
      </c>
      <c r="F92" s="194" t="str">
        <f>IF(AK92="n",CONCATENATE(" - "),IF(AK92="cg",CONCATENATE(" - "),CONCATENATE(ROUND(IFERROR(VLOOKUP(A92,informe!A:J,9,FALSE)/VLOOKUP(A92,informe!A:J,5,FALSE),0)*100,2),"% ")))</f>
        <v xml:space="preserve"> - </v>
      </c>
      <c r="G92" s="195" t="str">
        <f>IF(AND(G$3&gt;=$D92,G$3&lt;=$E92),IF((G$3-$D92+1)*VLOOKUP($A92,presupuesto!$B:$Q,16,FALSE)&gt;=VLOOKUP($A92,informe!$A:$J,9,FALSE),"cg","c"),"n")</f>
        <v>n</v>
      </c>
      <c r="H92" s="195" t="str">
        <f>IF(AND(H$3&gt;=$D92,H$3&lt;=$E92),IF((H$3-$D92+1)*VLOOKUP($A92,presupuesto!$B:$Q,16,FALSE)&gt;=VLOOKUP($A92,informe!$A:$J,9,FALSE),"cg","c"),"n")</f>
        <v>n</v>
      </c>
      <c r="I92" s="195" t="str">
        <f>IF(AND(I$3&gt;=$D92,I$3&lt;=$E92),IF((I$3-$D92+1)*VLOOKUP($A92,presupuesto!$B:$Q,16,FALSE)&gt;=VLOOKUP($A92,informe!$A:$J,9,FALSE),"cg","c"),"n")</f>
        <v>n</v>
      </c>
      <c r="J92" s="195" t="str">
        <f>IF(AND(J$3&gt;=$D92,J$3&lt;=$E92),IF((J$3-$D92+1)*VLOOKUP($A92,presupuesto!$B:$Q,16,FALSE)&gt;=VLOOKUP($A92,informe!$A:$J,9,FALSE),"cg","c"),"n")</f>
        <v>n</v>
      </c>
      <c r="K92" s="195" t="str">
        <f>IF(AND(K$3&gt;=$D92,K$3&lt;=$E92),IF((K$3-$D92+1)*VLOOKUP($A92,presupuesto!$B:$Q,16,FALSE)&gt;=VLOOKUP($A92,informe!$A:$J,9,FALSE),"cg","c"),"n")</f>
        <v>n</v>
      </c>
      <c r="L92" s="195" t="str">
        <f>IF(AND(L$3&gt;=$D92,L$3&lt;=$E92),IF((L$3-$D92+1)*VLOOKUP($A92,presupuesto!$B:$Q,16,FALSE)&gt;=VLOOKUP($A92,informe!$A:$J,9,FALSE),"cg","c"),"n")</f>
        <v>n</v>
      </c>
      <c r="M92" s="195" t="str">
        <f>IF(AND(M$3&gt;=$D92,M$3&lt;=$E92),IF((M$3-$D92+1)*VLOOKUP($A92,presupuesto!$B:$Q,16,FALSE)&gt;=VLOOKUP($A92,informe!$A:$J,9,FALSE),"cg","c"),"n")</f>
        <v>n</v>
      </c>
      <c r="N92" s="195" t="str">
        <f>IF(AND(N$3&gt;=$D92,N$3&lt;=$E92),IF((N$3-$D92+1)*VLOOKUP($A92,presupuesto!$B:$Q,16,FALSE)&gt;=VLOOKUP($A92,informe!$A:$J,9,FALSE),"cg","c"),"n")</f>
        <v>n</v>
      </c>
      <c r="O92" s="195" t="str">
        <f>IF(AND(O$3&gt;=$D92,O$3&lt;=$E92),IF((O$3-$D92+1)*VLOOKUP($A92,presupuesto!$B:$Q,16,FALSE)&gt;=VLOOKUP($A92,informe!$A:$J,9,FALSE),"cg","c"),"n")</f>
        <v>n</v>
      </c>
      <c r="P92" s="195" t="str">
        <f>IF(AND(P$3&gt;=$D92,P$3&lt;=$E92),IF((P$3-$D92+1)*VLOOKUP($A92,presupuesto!$B:$Q,16,FALSE)&gt;=VLOOKUP($A92,informe!$A:$J,9,FALSE),"cg","c"),"n")</f>
        <v>n</v>
      </c>
      <c r="Q92" s="195" t="str">
        <f>IF(AND(Q$3&gt;=$D92,Q$3&lt;=$E92),IF((Q$3-$D92+1)*VLOOKUP($A92,presupuesto!$B:$Q,16,FALSE)&gt;=VLOOKUP($A92,informe!$A:$J,9,FALSE),"cg","c"),"n")</f>
        <v>n</v>
      </c>
      <c r="R92" s="195" t="str">
        <f>IF(AND(R$3&gt;=$D92,R$3&lt;=$E92),IF((R$3-$D92+1)*VLOOKUP($A92,presupuesto!$B:$Q,16,FALSE)&gt;=VLOOKUP($A92,informe!$A:$J,9,FALSE),"cg","c"),"n")</f>
        <v>n</v>
      </c>
      <c r="S92" s="195" t="str">
        <f>IF(AND(S$3&gt;=$D92,S$3&lt;=$E92),IF((S$3-$D92+1)*VLOOKUP($A92,presupuesto!$B:$Q,16,FALSE)&gt;=VLOOKUP($A92,informe!$A:$J,9,FALSE),"cg","c"),"n")</f>
        <v>n</v>
      </c>
      <c r="T92" s="195" t="str">
        <f>IF(AND(T$3&gt;=$D92,T$3&lt;=$E92),IF((T$3-$D92+1)*VLOOKUP($A92,presupuesto!$B:$Q,16,FALSE)&gt;=VLOOKUP($A92,informe!$A:$J,9,FALSE),"cg","c"),"n")</f>
        <v>n</v>
      </c>
      <c r="U92" s="195" t="str">
        <f>IF(AND(U$3&gt;=$D92,U$3&lt;=$E92),IF((U$3-$D92+1)*VLOOKUP($A92,presupuesto!$B:$Q,16,FALSE)&gt;=VLOOKUP($A92,informe!$A:$J,9,FALSE),"cg","c"),"n")</f>
        <v>n</v>
      </c>
      <c r="V92" s="195" t="str">
        <f>IF(AND(V$3&gt;=$D92,V$3&lt;=$E92),IF((V$3-$D92+1)*VLOOKUP($A92,presupuesto!$B:$Q,16,FALSE)&gt;=VLOOKUP($A92,informe!$A:$J,9,FALSE),"cg","c"),"n")</f>
        <v>n</v>
      </c>
      <c r="W92" s="195" t="str">
        <f>IF(AND(W$3&gt;=$D92,W$3&lt;=$E92),IF((W$3-$D92+1)*VLOOKUP($A92,presupuesto!$B:$Q,16,FALSE)&gt;=VLOOKUP($A92,informe!$A:$J,9,FALSE),"cg","c"),"n")</f>
        <v>n</v>
      </c>
      <c r="X92" s="195" t="str">
        <f>IF(AND(X$3&gt;=$D92,X$3&lt;=$E92),IF((X$3-$D92+1)*VLOOKUP($A92,presupuesto!$B:$Q,16,FALSE)&gt;=VLOOKUP($A92,informe!$A:$J,9,FALSE),"cg","c"),"n")</f>
        <v>n</v>
      </c>
      <c r="Y92" s="195" t="str">
        <f>IF(AND(Y$3&gt;=$D92,Y$3&lt;=$E92),IF((Y$3-$D92+1)*VLOOKUP($A92,presupuesto!$B:$Q,16,FALSE)&gt;=VLOOKUP($A92,informe!$A:$J,9,FALSE),"cg","c"),"n")</f>
        <v>n</v>
      </c>
      <c r="Z92" s="195" t="str">
        <f>IF(AND(Z$3&gt;=$D92,Z$3&lt;=$E92),IF((Z$3-$D92+1)*VLOOKUP($A92,presupuesto!$B:$Q,16,FALSE)&gt;=VLOOKUP($A92,informe!$A:$J,9,FALSE),"cg","c"),"n")</f>
        <v>n</v>
      </c>
      <c r="AA92" s="195" t="str">
        <f>IF(AND(AA$3&gt;=$D92,AA$3&lt;=$E92),IF((AA$3-$D92+1)*VLOOKUP($A92,presupuesto!$B:$Q,16,FALSE)&gt;=VLOOKUP($A92,informe!$A:$J,9,FALSE),"cg","c"),"n")</f>
        <v>n</v>
      </c>
      <c r="AB92" s="195" t="str">
        <f>IF(AND(AB$3&gt;=$D92,AB$3&lt;=$E92),IF((AB$3-$D92+1)*VLOOKUP($A92,presupuesto!$B:$Q,16,FALSE)&gt;=VLOOKUP($A92,informe!$A:$J,9,FALSE),"cg","c"),"n")</f>
        <v>n</v>
      </c>
      <c r="AC92" s="195" t="str">
        <f>IF(AND(AC$3&gt;=$D92,AC$3&lt;=$E92),IF((AC$3-$D92+1)*VLOOKUP($A92,presupuesto!$B:$Q,16,FALSE)&gt;=VLOOKUP($A92,informe!$A:$J,9,FALSE),"cg","c"),"n")</f>
        <v>n</v>
      </c>
      <c r="AD92" s="195" t="str">
        <f>IF(AND(AD$3&gt;=$D92,AD$3&lt;=$E92),IF((AD$3-$D92+1)*VLOOKUP($A92,presupuesto!$B:$Q,16,FALSE)&gt;=VLOOKUP($A92,informe!$A:$J,9,FALSE),"cg","c"),"n")</f>
        <v>n</v>
      </c>
      <c r="AE92" s="195" t="str">
        <f>IF(AND(AE$3&gt;=$D92,AE$3&lt;=$E92),IF((AE$3-$D92+1)*VLOOKUP($A92,presupuesto!$B:$Q,16,FALSE)&gt;=VLOOKUP($A92,informe!$A:$J,9,FALSE),"cg","c"),"n")</f>
        <v>n</v>
      </c>
      <c r="AF92" s="195" t="str">
        <f>IF(AND(AF$3&gt;=$D92,AF$3&lt;=$E92),IF((AF$3-$D92+1)*VLOOKUP($A92,presupuesto!$B:$Q,16,FALSE)&gt;=VLOOKUP($A92,informe!$A:$J,9,FALSE),"cg","c"),"n")</f>
        <v>n</v>
      </c>
      <c r="AG92" s="195" t="str">
        <f>IF(AND(AG$3&gt;=$D92,AG$3&lt;=$E92),IF((AG$3-$D92+1)*VLOOKUP($A92,presupuesto!$B:$Q,16,FALSE)&gt;=VLOOKUP($A92,informe!$A:$J,9,FALSE),"cg","c"),"n")</f>
        <v>n</v>
      </c>
      <c r="AH92" s="195" t="str">
        <f>IF(AND(AH$3&gt;=$D92,AH$3&lt;=$E92),IF((AH$3-$D92+1)*VLOOKUP($A92,presupuesto!$B:$Q,16,FALSE)&gt;=VLOOKUP($A92,informe!$A:$J,9,FALSE),"cg","c"),"n")</f>
        <v>n</v>
      </c>
      <c r="AI92" s="195" t="str">
        <f>IF(AND(AI$3&gt;=$D92,AI$3&lt;=$E92),IF((AI$3-$D92+1)*VLOOKUP($A92,presupuesto!$B:$Q,16,FALSE)&gt;=VLOOKUP($A92,informe!$A:$J,9,FALSE),"cg","c"),"n")</f>
        <v>n</v>
      </c>
      <c r="AJ92" s="195" t="str">
        <f>IF(AND(AJ$3&gt;=$D92,AJ$3&lt;=$E92),IF((AJ$3-$D92+1)*VLOOKUP($A92,presupuesto!$B:$Q,16,FALSE)&gt;=VLOOKUP($A92,informe!$A:$J,9,FALSE),"cg","c"),"n")</f>
        <v>n</v>
      </c>
      <c r="AK92" s="196" t="str">
        <f>IF(AND(AK$3&gt;=$D92,AK$3&lt;=$E92),IF((AK$3-$D92+1)*VLOOKUP($A92,presupuesto!$B:$Q,16,FALSE)&gt;=VLOOKUP($A92,informe!$A:$J,9,FALSE),"cg","c"),"n")</f>
        <v>n</v>
      </c>
    </row>
    <row r="93" spans="1:37" s="1" customFormat="1" ht="14.25" customHeight="1" x14ac:dyDescent="0.25">
      <c r="A93" s="193">
        <f>presupuesto!B92</f>
        <v>58</v>
      </c>
      <c r="B93" s="182" t="str">
        <f>presupuesto!C92</f>
        <v xml:space="preserve">         Cuba</v>
      </c>
      <c r="C93" s="173" t="str">
        <f>presupuesto!G92</f>
        <v>90 días</v>
      </c>
      <c r="D93" s="176">
        <f>presupuesto!N92</f>
        <v>45674</v>
      </c>
      <c r="E93" s="176">
        <f>presupuesto!O92</f>
        <v>45763</v>
      </c>
      <c r="F93" s="194" t="str">
        <f>IF(AK93="n",CONCATENATE(" - "),IF(AK93="cg",CONCATENATE(" - "),CONCATENATE(ROUND(IFERROR(VLOOKUP(A93,informe!A:J,9,FALSE)/VLOOKUP(A93,informe!A:J,5,FALSE),0)*100,2),"% ")))</f>
        <v xml:space="preserve"> - </v>
      </c>
      <c r="G93" s="195" t="str">
        <f>IF(AND(G$3&gt;=$D93,G$3&lt;=$E93),IF((G$3-$D93+1)*VLOOKUP($A93,presupuesto!$B:$Q,16,FALSE)&gt;=VLOOKUP($A93,informe!$A:$J,9,FALSE),"cg","c"),"n")</f>
        <v>n</v>
      </c>
      <c r="H93" s="195" t="str">
        <f>IF(AND(H$3&gt;=$D93,H$3&lt;=$E93),IF((H$3-$D93+1)*VLOOKUP($A93,presupuesto!$B:$Q,16,FALSE)&gt;=VLOOKUP($A93,informe!$A:$J,9,FALSE),"cg","c"),"n")</f>
        <v>n</v>
      </c>
      <c r="I93" s="195" t="str">
        <f>IF(AND(I$3&gt;=$D93,I$3&lt;=$E93),IF((I$3-$D93+1)*VLOOKUP($A93,presupuesto!$B:$Q,16,FALSE)&gt;=VLOOKUP($A93,informe!$A:$J,9,FALSE),"cg","c"),"n")</f>
        <v>n</v>
      </c>
      <c r="J93" s="195" t="str">
        <f>IF(AND(J$3&gt;=$D93,J$3&lt;=$E93),IF((J$3-$D93+1)*VLOOKUP($A93,presupuesto!$B:$Q,16,FALSE)&gt;=VLOOKUP($A93,informe!$A:$J,9,FALSE),"cg","c"),"n")</f>
        <v>n</v>
      </c>
      <c r="K93" s="195" t="str">
        <f>IF(AND(K$3&gt;=$D93,K$3&lt;=$E93),IF((K$3-$D93+1)*VLOOKUP($A93,presupuesto!$B:$Q,16,FALSE)&gt;=VLOOKUP($A93,informe!$A:$J,9,FALSE),"cg","c"),"n")</f>
        <v>n</v>
      </c>
      <c r="L93" s="195" t="str">
        <f>IF(AND(L$3&gt;=$D93,L$3&lt;=$E93),IF((L$3-$D93+1)*VLOOKUP($A93,presupuesto!$B:$Q,16,FALSE)&gt;=VLOOKUP($A93,informe!$A:$J,9,FALSE),"cg","c"),"n")</f>
        <v>n</v>
      </c>
      <c r="M93" s="195" t="str">
        <f>IF(AND(M$3&gt;=$D93,M$3&lt;=$E93),IF((M$3-$D93+1)*VLOOKUP($A93,presupuesto!$B:$Q,16,FALSE)&gt;=VLOOKUP($A93,informe!$A:$J,9,FALSE),"cg","c"),"n")</f>
        <v>n</v>
      </c>
      <c r="N93" s="195" t="str">
        <f>IF(AND(N$3&gt;=$D93,N$3&lt;=$E93),IF((N$3-$D93+1)*VLOOKUP($A93,presupuesto!$B:$Q,16,FALSE)&gt;=VLOOKUP($A93,informe!$A:$J,9,FALSE),"cg","c"),"n")</f>
        <v>n</v>
      </c>
      <c r="O93" s="195" t="str">
        <f>IF(AND(O$3&gt;=$D93,O$3&lt;=$E93),IF((O$3-$D93+1)*VLOOKUP($A93,presupuesto!$B:$Q,16,FALSE)&gt;=VLOOKUP($A93,informe!$A:$J,9,FALSE),"cg","c"),"n")</f>
        <v>n</v>
      </c>
      <c r="P93" s="195" t="str">
        <f>IF(AND(P$3&gt;=$D93,P$3&lt;=$E93),IF((P$3-$D93+1)*VLOOKUP($A93,presupuesto!$B:$Q,16,FALSE)&gt;=VLOOKUP($A93,informe!$A:$J,9,FALSE),"cg","c"),"n")</f>
        <v>n</v>
      </c>
      <c r="Q93" s="195" t="str">
        <f>IF(AND(Q$3&gt;=$D93,Q$3&lt;=$E93),IF((Q$3-$D93+1)*VLOOKUP($A93,presupuesto!$B:$Q,16,FALSE)&gt;=VLOOKUP($A93,informe!$A:$J,9,FALSE),"cg","c"),"n")</f>
        <v>n</v>
      </c>
      <c r="R93" s="195" t="str">
        <f>IF(AND(R$3&gt;=$D93,R$3&lt;=$E93),IF((R$3-$D93+1)*VLOOKUP($A93,presupuesto!$B:$Q,16,FALSE)&gt;=VLOOKUP($A93,informe!$A:$J,9,FALSE),"cg","c"),"n")</f>
        <v>n</v>
      </c>
      <c r="S93" s="195" t="str">
        <f>IF(AND(S$3&gt;=$D93,S$3&lt;=$E93),IF((S$3-$D93+1)*VLOOKUP($A93,presupuesto!$B:$Q,16,FALSE)&gt;=VLOOKUP($A93,informe!$A:$J,9,FALSE),"cg","c"),"n")</f>
        <v>n</v>
      </c>
      <c r="T93" s="195" t="str">
        <f>IF(AND(T$3&gt;=$D93,T$3&lt;=$E93),IF((T$3-$D93+1)*VLOOKUP($A93,presupuesto!$B:$Q,16,FALSE)&gt;=VLOOKUP($A93,informe!$A:$J,9,FALSE),"cg","c"),"n")</f>
        <v>n</v>
      </c>
      <c r="U93" s="195" t="str">
        <f>IF(AND(U$3&gt;=$D93,U$3&lt;=$E93),IF((U$3-$D93+1)*VLOOKUP($A93,presupuesto!$B:$Q,16,FALSE)&gt;=VLOOKUP($A93,informe!$A:$J,9,FALSE),"cg","c"),"n")</f>
        <v>n</v>
      </c>
      <c r="V93" s="195" t="str">
        <f>IF(AND(V$3&gt;=$D93,V$3&lt;=$E93),IF((V$3-$D93+1)*VLOOKUP($A93,presupuesto!$B:$Q,16,FALSE)&gt;=VLOOKUP($A93,informe!$A:$J,9,FALSE),"cg","c"),"n")</f>
        <v>n</v>
      </c>
      <c r="W93" s="195" t="str">
        <f>IF(AND(W$3&gt;=$D93,W$3&lt;=$E93),IF((W$3-$D93+1)*VLOOKUP($A93,presupuesto!$B:$Q,16,FALSE)&gt;=VLOOKUP($A93,informe!$A:$J,9,FALSE),"cg","c"),"n")</f>
        <v>n</v>
      </c>
      <c r="X93" s="195" t="str">
        <f>IF(AND(X$3&gt;=$D93,X$3&lt;=$E93),IF((X$3-$D93+1)*VLOOKUP($A93,presupuesto!$B:$Q,16,FALSE)&gt;=VLOOKUP($A93,informe!$A:$J,9,FALSE),"cg","c"),"n")</f>
        <v>n</v>
      </c>
      <c r="Y93" s="195" t="str">
        <f>IF(AND(Y$3&gt;=$D93,Y$3&lt;=$E93),IF((Y$3-$D93+1)*VLOOKUP($A93,presupuesto!$B:$Q,16,FALSE)&gt;=VLOOKUP($A93,informe!$A:$J,9,FALSE),"cg","c"),"n")</f>
        <v>n</v>
      </c>
      <c r="Z93" s="195" t="str">
        <f>IF(AND(Z$3&gt;=$D93,Z$3&lt;=$E93),IF((Z$3-$D93+1)*VLOOKUP($A93,presupuesto!$B:$Q,16,FALSE)&gt;=VLOOKUP($A93,informe!$A:$J,9,FALSE),"cg","c"),"n")</f>
        <v>n</v>
      </c>
      <c r="AA93" s="195" t="str">
        <f>IF(AND(AA$3&gt;=$D93,AA$3&lt;=$E93),IF((AA$3-$D93+1)*VLOOKUP($A93,presupuesto!$B:$Q,16,FALSE)&gt;=VLOOKUP($A93,informe!$A:$J,9,FALSE),"cg","c"),"n")</f>
        <v>n</v>
      </c>
      <c r="AB93" s="195" t="str">
        <f>IF(AND(AB$3&gt;=$D93,AB$3&lt;=$E93),IF((AB$3-$D93+1)*VLOOKUP($A93,presupuesto!$B:$Q,16,FALSE)&gt;=VLOOKUP($A93,informe!$A:$J,9,FALSE),"cg","c"),"n")</f>
        <v>n</v>
      </c>
      <c r="AC93" s="195" t="str">
        <f>IF(AND(AC$3&gt;=$D93,AC$3&lt;=$E93),IF((AC$3-$D93+1)*VLOOKUP($A93,presupuesto!$B:$Q,16,FALSE)&gt;=VLOOKUP($A93,informe!$A:$J,9,FALSE),"cg","c"),"n")</f>
        <v>n</v>
      </c>
      <c r="AD93" s="195" t="str">
        <f>IF(AND(AD$3&gt;=$D93,AD$3&lt;=$E93),IF((AD$3-$D93+1)*VLOOKUP($A93,presupuesto!$B:$Q,16,FALSE)&gt;=VLOOKUP($A93,informe!$A:$J,9,FALSE),"cg","c"),"n")</f>
        <v>n</v>
      </c>
      <c r="AE93" s="195" t="str">
        <f>IF(AND(AE$3&gt;=$D93,AE$3&lt;=$E93),IF((AE$3-$D93+1)*VLOOKUP($A93,presupuesto!$B:$Q,16,FALSE)&gt;=VLOOKUP($A93,informe!$A:$J,9,FALSE),"cg","c"),"n")</f>
        <v>n</v>
      </c>
      <c r="AF93" s="195" t="str">
        <f>IF(AND(AF$3&gt;=$D93,AF$3&lt;=$E93),IF((AF$3-$D93+1)*VLOOKUP($A93,presupuesto!$B:$Q,16,FALSE)&gt;=VLOOKUP($A93,informe!$A:$J,9,FALSE),"cg","c"),"n")</f>
        <v>n</v>
      </c>
      <c r="AG93" s="195" t="str">
        <f>IF(AND(AG$3&gt;=$D93,AG$3&lt;=$E93),IF((AG$3-$D93+1)*VLOOKUP($A93,presupuesto!$B:$Q,16,FALSE)&gt;=VLOOKUP($A93,informe!$A:$J,9,FALSE),"cg","c"),"n")</f>
        <v>n</v>
      </c>
      <c r="AH93" s="195" t="str">
        <f>IF(AND(AH$3&gt;=$D93,AH$3&lt;=$E93),IF((AH$3-$D93+1)*VLOOKUP($A93,presupuesto!$B:$Q,16,FALSE)&gt;=VLOOKUP($A93,informe!$A:$J,9,FALSE),"cg","c"),"n")</f>
        <v>n</v>
      </c>
      <c r="AI93" s="195" t="str">
        <f>IF(AND(AI$3&gt;=$D93,AI$3&lt;=$E93),IF((AI$3-$D93+1)*VLOOKUP($A93,presupuesto!$B:$Q,16,FALSE)&gt;=VLOOKUP($A93,informe!$A:$J,9,FALSE),"cg","c"),"n")</f>
        <v>n</v>
      </c>
      <c r="AJ93" s="195" t="str">
        <f>IF(AND(AJ$3&gt;=$D93,AJ$3&lt;=$E93),IF((AJ$3-$D93+1)*VLOOKUP($A93,presupuesto!$B:$Q,16,FALSE)&gt;=VLOOKUP($A93,informe!$A:$J,9,FALSE),"cg","c"),"n")</f>
        <v>n</v>
      </c>
      <c r="AK93" s="196" t="str">
        <f>IF(AND(AK$3&gt;=$D93,AK$3&lt;=$E93),IF((AK$3-$D93+1)*VLOOKUP($A93,presupuesto!$B:$Q,16,FALSE)&gt;=VLOOKUP($A93,informe!$A:$J,9,FALSE),"cg","c"),"n")</f>
        <v>n</v>
      </c>
    </row>
    <row r="94" spans="1:37" s="1" customFormat="1" ht="14.25" customHeight="1" x14ac:dyDescent="0.25">
      <c r="A94" s="197">
        <f>presupuesto!B93</f>
        <v>59</v>
      </c>
      <c r="B94" s="182" t="str">
        <f>presupuesto!C93</f>
        <v xml:space="preserve">         Escotilla, Tapa Ventilación</v>
      </c>
      <c r="C94" s="174" t="str">
        <f>presupuesto!G93</f>
        <v>45 días</v>
      </c>
      <c r="D94" s="177">
        <f>presupuesto!N93</f>
        <v>45719</v>
      </c>
      <c r="E94" s="177">
        <f>presupuesto!O93</f>
        <v>45763</v>
      </c>
      <c r="F94" s="194" t="str">
        <f>IF(AK94="n",CONCATENATE(" - "),IF(AK94="cg",CONCATENATE(" - "),CONCATENATE(ROUND(IFERROR(VLOOKUP(A94,informe!A:J,9,FALSE)/VLOOKUP(A94,informe!A:J,5,FALSE),0)*100,2),"% ")))</f>
        <v xml:space="preserve"> - </v>
      </c>
      <c r="G94" s="195" t="str">
        <f>IF(AND(G$3&gt;=$D94,G$3&lt;=$E94),IF((G$3-$D94+1)*VLOOKUP($A94,presupuesto!$B:$Q,16,FALSE)&gt;=VLOOKUP($A94,informe!$A:$J,9,FALSE),"cg","c"),"n")</f>
        <v>n</v>
      </c>
      <c r="H94" s="195" t="str">
        <f>IF(AND(H$3&gt;=$D94,H$3&lt;=$E94),IF((H$3-$D94+1)*VLOOKUP($A94,presupuesto!$B:$Q,16,FALSE)&gt;=VLOOKUP($A94,informe!$A:$J,9,FALSE),"cg","c"),"n")</f>
        <v>n</v>
      </c>
      <c r="I94" s="195" t="str">
        <f>IF(AND(I$3&gt;=$D94,I$3&lt;=$E94),IF((I$3-$D94+1)*VLOOKUP($A94,presupuesto!$B:$Q,16,FALSE)&gt;=VLOOKUP($A94,informe!$A:$J,9,FALSE),"cg","c"),"n")</f>
        <v>n</v>
      </c>
      <c r="J94" s="195" t="str">
        <f>IF(AND(J$3&gt;=$D94,J$3&lt;=$E94),IF((J$3-$D94+1)*VLOOKUP($A94,presupuesto!$B:$Q,16,FALSE)&gt;=VLOOKUP($A94,informe!$A:$J,9,FALSE),"cg","c"),"n")</f>
        <v>n</v>
      </c>
      <c r="K94" s="195" t="str">
        <f>IF(AND(K$3&gt;=$D94,K$3&lt;=$E94),IF((K$3-$D94+1)*VLOOKUP($A94,presupuesto!$B:$Q,16,FALSE)&gt;=VLOOKUP($A94,informe!$A:$J,9,FALSE),"cg","c"),"n")</f>
        <v>n</v>
      </c>
      <c r="L94" s="195" t="str">
        <f>IF(AND(L$3&gt;=$D94,L$3&lt;=$E94),IF((L$3-$D94+1)*VLOOKUP($A94,presupuesto!$B:$Q,16,FALSE)&gt;=VLOOKUP($A94,informe!$A:$J,9,FALSE),"cg","c"),"n")</f>
        <v>n</v>
      </c>
      <c r="M94" s="195" t="str">
        <f>IF(AND(M$3&gt;=$D94,M$3&lt;=$E94),IF((M$3-$D94+1)*VLOOKUP($A94,presupuesto!$B:$Q,16,FALSE)&gt;=VLOOKUP($A94,informe!$A:$J,9,FALSE),"cg","c"),"n")</f>
        <v>n</v>
      </c>
      <c r="N94" s="195" t="str">
        <f>IF(AND(N$3&gt;=$D94,N$3&lt;=$E94),IF((N$3-$D94+1)*VLOOKUP($A94,presupuesto!$B:$Q,16,FALSE)&gt;=VLOOKUP($A94,informe!$A:$J,9,FALSE),"cg","c"),"n")</f>
        <v>n</v>
      </c>
      <c r="O94" s="195" t="str">
        <f>IF(AND(O$3&gt;=$D94,O$3&lt;=$E94),IF((O$3-$D94+1)*VLOOKUP($A94,presupuesto!$B:$Q,16,FALSE)&gt;=VLOOKUP($A94,informe!$A:$J,9,FALSE),"cg","c"),"n")</f>
        <v>n</v>
      </c>
      <c r="P94" s="195" t="str">
        <f>IF(AND(P$3&gt;=$D94,P$3&lt;=$E94),IF((P$3-$D94+1)*VLOOKUP($A94,presupuesto!$B:$Q,16,FALSE)&gt;=VLOOKUP($A94,informe!$A:$J,9,FALSE),"cg","c"),"n")</f>
        <v>n</v>
      </c>
      <c r="Q94" s="195" t="str">
        <f>IF(AND(Q$3&gt;=$D94,Q$3&lt;=$E94),IF((Q$3-$D94+1)*VLOOKUP($A94,presupuesto!$B:$Q,16,FALSE)&gt;=VLOOKUP($A94,informe!$A:$J,9,FALSE),"cg","c"),"n")</f>
        <v>n</v>
      </c>
      <c r="R94" s="195" t="str">
        <f>IF(AND(R$3&gt;=$D94,R$3&lt;=$E94),IF((R$3-$D94+1)*VLOOKUP($A94,presupuesto!$B:$Q,16,FALSE)&gt;=VLOOKUP($A94,informe!$A:$J,9,FALSE),"cg","c"),"n")</f>
        <v>n</v>
      </c>
      <c r="S94" s="195" t="str">
        <f>IF(AND(S$3&gt;=$D94,S$3&lt;=$E94),IF((S$3-$D94+1)*VLOOKUP($A94,presupuesto!$B:$Q,16,FALSE)&gt;=VLOOKUP($A94,informe!$A:$J,9,FALSE),"cg","c"),"n")</f>
        <v>n</v>
      </c>
      <c r="T94" s="195" t="str">
        <f>IF(AND(T$3&gt;=$D94,T$3&lt;=$E94),IF((T$3-$D94+1)*VLOOKUP($A94,presupuesto!$B:$Q,16,FALSE)&gt;=VLOOKUP($A94,informe!$A:$J,9,FALSE),"cg","c"),"n")</f>
        <v>n</v>
      </c>
      <c r="U94" s="195" t="str">
        <f>IF(AND(U$3&gt;=$D94,U$3&lt;=$E94),IF((U$3-$D94+1)*VLOOKUP($A94,presupuesto!$B:$Q,16,FALSE)&gt;=VLOOKUP($A94,informe!$A:$J,9,FALSE),"cg","c"),"n")</f>
        <v>n</v>
      </c>
      <c r="V94" s="195" t="str">
        <f>IF(AND(V$3&gt;=$D94,V$3&lt;=$E94),IF((V$3-$D94+1)*VLOOKUP($A94,presupuesto!$B:$Q,16,FALSE)&gt;=VLOOKUP($A94,informe!$A:$J,9,FALSE),"cg","c"),"n")</f>
        <v>n</v>
      </c>
      <c r="W94" s="195" t="str">
        <f>IF(AND(W$3&gt;=$D94,W$3&lt;=$E94),IF((W$3-$D94+1)*VLOOKUP($A94,presupuesto!$B:$Q,16,FALSE)&gt;=VLOOKUP($A94,informe!$A:$J,9,FALSE),"cg","c"),"n")</f>
        <v>n</v>
      </c>
      <c r="X94" s="195" t="str">
        <f>IF(AND(X$3&gt;=$D94,X$3&lt;=$E94),IF((X$3-$D94+1)*VLOOKUP($A94,presupuesto!$B:$Q,16,FALSE)&gt;=VLOOKUP($A94,informe!$A:$J,9,FALSE),"cg","c"),"n")</f>
        <v>n</v>
      </c>
      <c r="Y94" s="195" t="str">
        <f>IF(AND(Y$3&gt;=$D94,Y$3&lt;=$E94),IF((Y$3-$D94+1)*VLOOKUP($A94,presupuesto!$B:$Q,16,FALSE)&gt;=VLOOKUP($A94,informe!$A:$J,9,FALSE),"cg","c"),"n")</f>
        <v>n</v>
      </c>
      <c r="Z94" s="195" t="str">
        <f>IF(AND(Z$3&gt;=$D94,Z$3&lt;=$E94),IF((Z$3-$D94+1)*VLOOKUP($A94,presupuesto!$B:$Q,16,FALSE)&gt;=VLOOKUP($A94,informe!$A:$J,9,FALSE),"cg","c"),"n")</f>
        <v>n</v>
      </c>
      <c r="AA94" s="195" t="str">
        <f>IF(AND(AA$3&gt;=$D94,AA$3&lt;=$E94),IF((AA$3-$D94+1)*VLOOKUP($A94,presupuesto!$B:$Q,16,FALSE)&gt;=VLOOKUP($A94,informe!$A:$J,9,FALSE),"cg","c"),"n")</f>
        <v>n</v>
      </c>
      <c r="AB94" s="195" t="str">
        <f>IF(AND(AB$3&gt;=$D94,AB$3&lt;=$E94),IF((AB$3-$D94+1)*VLOOKUP($A94,presupuesto!$B:$Q,16,FALSE)&gt;=VLOOKUP($A94,informe!$A:$J,9,FALSE),"cg","c"),"n")</f>
        <v>n</v>
      </c>
      <c r="AC94" s="195" t="str">
        <f>IF(AND(AC$3&gt;=$D94,AC$3&lt;=$E94),IF((AC$3-$D94+1)*VLOOKUP($A94,presupuesto!$B:$Q,16,FALSE)&gt;=VLOOKUP($A94,informe!$A:$J,9,FALSE),"cg","c"),"n")</f>
        <v>n</v>
      </c>
      <c r="AD94" s="195" t="str">
        <f>IF(AND(AD$3&gt;=$D94,AD$3&lt;=$E94),IF((AD$3-$D94+1)*VLOOKUP($A94,presupuesto!$B:$Q,16,FALSE)&gt;=VLOOKUP($A94,informe!$A:$J,9,FALSE),"cg","c"),"n")</f>
        <v>n</v>
      </c>
      <c r="AE94" s="195" t="str">
        <f>IF(AND(AE$3&gt;=$D94,AE$3&lt;=$E94),IF((AE$3-$D94+1)*VLOOKUP($A94,presupuesto!$B:$Q,16,FALSE)&gt;=VLOOKUP($A94,informe!$A:$J,9,FALSE),"cg","c"),"n")</f>
        <v>n</v>
      </c>
      <c r="AF94" s="195" t="str">
        <f>IF(AND(AF$3&gt;=$D94,AF$3&lt;=$E94),IF((AF$3-$D94+1)*VLOOKUP($A94,presupuesto!$B:$Q,16,FALSE)&gt;=VLOOKUP($A94,informe!$A:$J,9,FALSE),"cg","c"),"n")</f>
        <v>n</v>
      </c>
      <c r="AG94" s="195" t="str">
        <f>IF(AND(AG$3&gt;=$D94,AG$3&lt;=$E94),IF((AG$3-$D94+1)*VLOOKUP($A94,presupuesto!$B:$Q,16,FALSE)&gt;=VLOOKUP($A94,informe!$A:$J,9,FALSE),"cg","c"),"n")</f>
        <v>n</v>
      </c>
      <c r="AH94" s="195" t="str">
        <f>IF(AND(AH$3&gt;=$D94,AH$3&lt;=$E94),IF((AH$3-$D94+1)*VLOOKUP($A94,presupuesto!$B:$Q,16,FALSE)&gt;=VLOOKUP($A94,informe!$A:$J,9,FALSE),"cg","c"),"n")</f>
        <v>n</v>
      </c>
      <c r="AI94" s="195" t="str">
        <f>IF(AND(AI$3&gt;=$D94,AI$3&lt;=$E94),IF((AI$3-$D94+1)*VLOOKUP($A94,presupuesto!$B:$Q,16,FALSE)&gt;=VLOOKUP($A94,informe!$A:$J,9,FALSE),"cg","c"),"n")</f>
        <v>n</v>
      </c>
      <c r="AJ94" s="195" t="str">
        <f>IF(AND(AJ$3&gt;=$D94,AJ$3&lt;=$E94),IF((AJ$3-$D94+1)*VLOOKUP($A94,presupuesto!$B:$Q,16,FALSE)&gt;=VLOOKUP($A94,informe!$A:$J,9,FALSE),"cg","c"),"n")</f>
        <v>n</v>
      </c>
      <c r="AK94" s="196" t="str">
        <f>IF(AND(AK$3&gt;=$D94,AK$3&lt;=$E94),IF((AK$3-$D94+1)*VLOOKUP($A94,presupuesto!$B:$Q,16,FALSE)&gt;=VLOOKUP($A94,informe!$A:$J,9,FALSE),"cg","c"),"n")</f>
        <v>n</v>
      </c>
    </row>
    <row r="95" spans="1:37" s="1" customFormat="1" ht="14.25" customHeight="1" x14ac:dyDescent="0.25">
      <c r="A95" s="197">
        <f>presupuesto!B94</f>
        <v>60</v>
      </c>
      <c r="B95" s="182" t="str">
        <f>presupuesto!C94</f>
        <v xml:space="preserve">         Escalas de acceso y Barandas</v>
      </c>
      <c r="C95" s="174" t="str">
        <f>presupuesto!G94</f>
        <v>45 días</v>
      </c>
      <c r="D95" s="177">
        <f>presupuesto!N94</f>
        <v>45719</v>
      </c>
      <c r="E95" s="177">
        <f>presupuesto!O94</f>
        <v>45763</v>
      </c>
      <c r="F95" s="194" t="str">
        <f>IF(AK95="n",CONCATENATE(" - "),IF(AK95="cg",CONCATENATE(" - "),CONCATENATE(ROUND(IFERROR(VLOOKUP(A95,informe!A:J,9,FALSE)/VLOOKUP(A95,informe!A:J,5,FALSE),0)*100,2),"% ")))</f>
        <v xml:space="preserve"> - </v>
      </c>
      <c r="G95" s="195" t="str">
        <f>IF(AND(G$3&gt;=$D95,G$3&lt;=$E95),IF((G$3-$D95+1)*VLOOKUP($A95,presupuesto!$B:$Q,16,FALSE)&gt;=VLOOKUP($A95,informe!$A:$J,9,FALSE),"cg","c"),"n")</f>
        <v>n</v>
      </c>
      <c r="H95" s="195" t="str">
        <f>IF(AND(H$3&gt;=$D95,H$3&lt;=$E95),IF((H$3-$D95+1)*VLOOKUP($A95,presupuesto!$B:$Q,16,FALSE)&gt;=VLOOKUP($A95,informe!$A:$J,9,FALSE),"cg","c"),"n")</f>
        <v>n</v>
      </c>
      <c r="I95" s="195" t="str">
        <f>IF(AND(I$3&gt;=$D95,I$3&lt;=$E95),IF((I$3-$D95+1)*VLOOKUP($A95,presupuesto!$B:$Q,16,FALSE)&gt;=VLOOKUP($A95,informe!$A:$J,9,FALSE),"cg","c"),"n")</f>
        <v>n</v>
      </c>
      <c r="J95" s="195" t="str">
        <f>IF(AND(J$3&gt;=$D95,J$3&lt;=$E95),IF((J$3-$D95+1)*VLOOKUP($A95,presupuesto!$B:$Q,16,FALSE)&gt;=VLOOKUP($A95,informe!$A:$J,9,FALSE),"cg","c"),"n")</f>
        <v>n</v>
      </c>
      <c r="K95" s="195" t="str">
        <f>IF(AND(K$3&gt;=$D95,K$3&lt;=$E95),IF((K$3-$D95+1)*VLOOKUP($A95,presupuesto!$B:$Q,16,FALSE)&gt;=VLOOKUP($A95,informe!$A:$J,9,FALSE),"cg","c"),"n")</f>
        <v>n</v>
      </c>
      <c r="L95" s="195" t="str">
        <f>IF(AND(L$3&gt;=$D95,L$3&lt;=$E95),IF((L$3-$D95+1)*VLOOKUP($A95,presupuesto!$B:$Q,16,FALSE)&gt;=VLOOKUP($A95,informe!$A:$J,9,FALSE),"cg","c"),"n")</f>
        <v>n</v>
      </c>
      <c r="M95" s="195" t="str">
        <f>IF(AND(M$3&gt;=$D95,M$3&lt;=$E95),IF((M$3-$D95+1)*VLOOKUP($A95,presupuesto!$B:$Q,16,FALSE)&gt;=VLOOKUP($A95,informe!$A:$J,9,FALSE),"cg","c"),"n")</f>
        <v>n</v>
      </c>
      <c r="N95" s="195" t="str">
        <f>IF(AND(N$3&gt;=$D95,N$3&lt;=$E95),IF((N$3-$D95+1)*VLOOKUP($A95,presupuesto!$B:$Q,16,FALSE)&gt;=VLOOKUP($A95,informe!$A:$J,9,FALSE),"cg","c"),"n")</f>
        <v>n</v>
      </c>
      <c r="O95" s="195" t="str">
        <f>IF(AND(O$3&gt;=$D95,O$3&lt;=$E95),IF((O$3-$D95+1)*VLOOKUP($A95,presupuesto!$B:$Q,16,FALSE)&gt;=VLOOKUP($A95,informe!$A:$J,9,FALSE),"cg","c"),"n")</f>
        <v>n</v>
      </c>
      <c r="P95" s="195" t="str">
        <f>IF(AND(P$3&gt;=$D95,P$3&lt;=$E95),IF((P$3-$D95+1)*VLOOKUP($A95,presupuesto!$B:$Q,16,FALSE)&gt;=VLOOKUP($A95,informe!$A:$J,9,FALSE),"cg","c"),"n")</f>
        <v>n</v>
      </c>
      <c r="Q95" s="195" t="str">
        <f>IF(AND(Q$3&gt;=$D95,Q$3&lt;=$E95),IF((Q$3-$D95+1)*VLOOKUP($A95,presupuesto!$B:$Q,16,FALSE)&gt;=VLOOKUP($A95,informe!$A:$J,9,FALSE),"cg","c"),"n")</f>
        <v>n</v>
      </c>
      <c r="R95" s="195" t="str">
        <f>IF(AND(R$3&gt;=$D95,R$3&lt;=$E95),IF((R$3-$D95+1)*VLOOKUP($A95,presupuesto!$B:$Q,16,FALSE)&gt;=VLOOKUP($A95,informe!$A:$J,9,FALSE),"cg","c"),"n")</f>
        <v>n</v>
      </c>
      <c r="S95" s="195" t="str">
        <f>IF(AND(S$3&gt;=$D95,S$3&lt;=$E95),IF((S$3-$D95+1)*VLOOKUP($A95,presupuesto!$B:$Q,16,FALSE)&gt;=VLOOKUP($A95,informe!$A:$J,9,FALSE),"cg","c"),"n")</f>
        <v>n</v>
      </c>
      <c r="T95" s="195" t="str">
        <f>IF(AND(T$3&gt;=$D95,T$3&lt;=$E95),IF((T$3-$D95+1)*VLOOKUP($A95,presupuesto!$B:$Q,16,FALSE)&gt;=VLOOKUP($A95,informe!$A:$J,9,FALSE),"cg","c"),"n")</f>
        <v>n</v>
      </c>
      <c r="U95" s="195" t="str">
        <f>IF(AND(U$3&gt;=$D95,U$3&lt;=$E95),IF((U$3-$D95+1)*VLOOKUP($A95,presupuesto!$B:$Q,16,FALSE)&gt;=VLOOKUP($A95,informe!$A:$J,9,FALSE),"cg","c"),"n")</f>
        <v>n</v>
      </c>
      <c r="V95" s="195" t="str">
        <f>IF(AND(V$3&gt;=$D95,V$3&lt;=$E95),IF((V$3-$D95+1)*VLOOKUP($A95,presupuesto!$B:$Q,16,FALSE)&gt;=VLOOKUP($A95,informe!$A:$J,9,FALSE),"cg","c"),"n")</f>
        <v>n</v>
      </c>
      <c r="W95" s="195" t="str">
        <f>IF(AND(W$3&gt;=$D95,W$3&lt;=$E95),IF((W$3-$D95+1)*VLOOKUP($A95,presupuesto!$B:$Q,16,FALSE)&gt;=VLOOKUP($A95,informe!$A:$J,9,FALSE),"cg","c"),"n")</f>
        <v>n</v>
      </c>
      <c r="X95" s="195" t="str">
        <f>IF(AND(X$3&gt;=$D95,X$3&lt;=$E95),IF((X$3-$D95+1)*VLOOKUP($A95,presupuesto!$B:$Q,16,FALSE)&gt;=VLOOKUP($A95,informe!$A:$J,9,FALSE),"cg","c"),"n")</f>
        <v>n</v>
      </c>
      <c r="Y95" s="195" t="str">
        <f>IF(AND(Y$3&gt;=$D95,Y$3&lt;=$E95),IF((Y$3-$D95+1)*VLOOKUP($A95,presupuesto!$B:$Q,16,FALSE)&gt;=VLOOKUP($A95,informe!$A:$J,9,FALSE),"cg","c"),"n")</f>
        <v>n</v>
      </c>
      <c r="Z95" s="195" t="str">
        <f>IF(AND(Z$3&gt;=$D95,Z$3&lt;=$E95),IF((Z$3-$D95+1)*VLOOKUP($A95,presupuesto!$B:$Q,16,FALSE)&gt;=VLOOKUP($A95,informe!$A:$J,9,FALSE),"cg","c"),"n")</f>
        <v>n</v>
      </c>
      <c r="AA95" s="195" t="str">
        <f>IF(AND(AA$3&gt;=$D95,AA$3&lt;=$E95),IF((AA$3-$D95+1)*VLOOKUP($A95,presupuesto!$B:$Q,16,FALSE)&gt;=VLOOKUP($A95,informe!$A:$J,9,FALSE),"cg","c"),"n")</f>
        <v>n</v>
      </c>
      <c r="AB95" s="195" t="str">
        <f>IF(AND(AB$3&gt;=$D95,AB$3&lt;=$E95),IF((AB$3-$D95+1)*VLOOKUP($A95,presupuesto!$B:$Q,16,FALSE)&gt;=VLOOKUP($A95,informe!$A:$J,9,FALSE),"cg","c"),"n")</f>
        <v>n</v>
      </c>
      <c r="AC95" s="195" t="str">
        <f>IF(AND(AC$3&gt;=$D95,AC$3&lt;=$E95),IF((AC$3-$D95+1)*VLOOKUP($A95,presupuesto!$B:$Q,16,FALSE)&gt;=VLOOKUP($A95,informe!$A:$J,9,FALSE),"cg","c"),"n")</f>
        <v>n</v>
      </c>
      <c r="AD95" s="195" t="str">
        <f>IF(AND(AD$3&gt;=$D95,AD$3&lt;=$E95),IF((AD$3-$D95+1)*VLOOKUP($A95,presupuesto!$B:$Q,16,FALSE)&gt;=VLOOKUP($A95,informe!$A:$J,9,FALSE),"cg","c"),"n")</f>
        <v>n</v>
      </c>
      <c r="AE95" s="195" t="str">
        <f>IF(AND(AE$3&gt;=$D95,AE$3&lt;=$E95),IF((AE$3-$D95+1)*VLOOKUP($A95,presupuesto!$B:$Q,16,FALSE)&gt;=VLOOKUP($A95,informe!$A:$J,9,FALSE),"cg","c"),"n")</f>
        <v>n</v>
      </c>
      <c r="AF95" s="195" t="str">
        <f>IF(AND(AF$3&gt;=$D95,AF$3&lt;=$E95),IF((AF$3-$D95+1)*VLOOKUP($A95,presupuesto!$B:$Q,16,FALSE)&gt;=VLOOKUP($A95,informe!$A:$J,9,FALSE),"cg","c"),"n")</f>
        <v>n</v>
      </c>
      <c r="AG95" s="195" t="str">
        <f>IF(AND(AG$3&gt;=$D95,AG$3&lt;=$E95),IF((AG$3-$D95+1)*VLOOKUP($A95,presupuesto!$B:$Q,16,FALSE)&gt;=VLOOKUP($A95,informe!$A:$J,9,FALSE),"cg","c"),"n")</f>
        <v>n</v>
      </c>
      <c r="AH95" s="195" t="str">
        <f>IF(AND(AH$3&gt;=$D95,AH$3&lt;=$E95),IF((AH$3-$D95+1)*VLOOKUP($A95,presupuesto!$B:$Q,16,FALSE)&gt;=VLOOKUP($A95,informe!$A:$J,9,FALSE),"cg","c"),"n")</f>
        <v>n</v>
      </c>
      <c r="AI95" s="195" t="str">
        <f>IF(AND(AI$3&gt;=$D95,AI$3&lt;=$E95),IF((AI$3-$D95+1)*VLOOKUP($A95,presupuesto!$B:$Q,16,FALSE)&gt;=VLOOKUP($A95,informe!$A:$J,9,FALSE),"cg","c"),"n")</f>
        <v>n</v>
      </c>
      <c r="AJ95" s="195" t="str">
        <f>IF(AND(AJ$3&gt;=$D95,AJ$3&lt;=$E95),IF((AJ$3-$D95+1)*VLOOKUP($A95,presupuesto!$B:$Q,16,FALSE)&gt;=VLOOKUP($A95,informe!$A:$J,9,FALSE),"cg","c"),"n")</f>
        <v>n</v>
      </c>
      <c r="AK95" s="196" t="str">
        <f>IF(AND(AK$3&gt;=$D95,AK$3&lt;=$E95),IF((AK$3-$D95+1)*VLOOKUP($A95,presupuesto!$B:$Q,16,FALSE)&gt;=VLOOKUP($A95,informe!$A:$J,9,FALSE),"cg","c"),"n")</f>
        <v>n</v>
      </c>
    </row>
    <row r="96" spans="1:37" s="1" customFormat="1" ht="14.25" customHeight="1" x14ac:dyDescent="0.25">
      <c r="A96" s="197">
        <f>presupuesto!B95</f>
        <v>61</v>
      </c>
      <c r="B96" s="182" t="str">
        <f>presupuesto!C95</f>
        <v xml:space="preserve">         Escala de Aproximacion</v>
      </c>
      <c r="C96" s="174" t="str">
        <f>presupuesto!G95</f>
        <v>30 días</v>
      </c>
      <c r="D96" s="177">
        <f>presupuesto!N95</f>
        <v>45734</v>
      </c>
      <c r="E96" s="177">
        <f>presupuesto!O95</f>
        <v>45763</v>
      </c>
      <c r="F96" s="194" t="str">
        <f>IF(AK96="n",CONCATENATE(" - "),IF(AK96="cg",CONCATENATE(" - "),CONCATENATE(ROUND(IFERROR(VLOOKUP(A96,informe!A:J,9,FALSE)/VLOOKUP(A96,informe!A:J,5,FALSE),0)*100,2),"% ")))</f>
        <v xml:space="preserve"> - </v>
      </c>
      <c r="G96" s="195" t="str">
        <f>IF(AND(G$3&gt;=$D96,G$3&lt;=$E96),IF((G$3-$D96+1)*VLOOKUP($A96,presupuesto!$B:$Q,16,FALSE)&gt;=VLOOKUP($A96,informe!$A:$J,9,FALSE),"cg","c"),"n")</f>
        <v>n</v>
      </c>
      <c r="H96" s="195" t="str">
        <f>IF(AND(H$3&gt;=$D96,H$3&lt;=$E96),IF((H$3-$D96+1)*VLOOKUP($A96,presupuesto!$B:$Q,16,FALSE)&gt;=VLOOKUP($A96,informe!$A:$J,9,FALSE),"cg","c"),"n")</f>
        <v>n</v>
      </c>
      <c r="I96" s="195" t="str">
        <f>IF(AND(I$3&gt;=$D96,I$3&lt;=$E96),IF((I$3-$D96+1)*VLOOKUP($A96,presupuesto!$B:$Q,16,FALSE)&gt;=VLOOKUP($A96,informe!$A:$J,9,FALSE),"cg","c"),"n")</f>
        <v>n</v>
      </c>
      <c r="J96" s="195" t="str">
        <f>IF(AND(J$3&gt;=$D96,J$3&lt;=$E96),IF((J$3-$D96+1)*VLOOKUP($A96,presupuesto!$B:$Q,16,FALSE)&gt;=VLOOKUP($A96,informe!$A:$J,9,FALSE),"cg","c"),"n")</f>
        <v>n</v>
      </c>
      <c r="K96" s="195" t="str">
        <f>IF(AND(K$3&gt;=$D96,K$3&lt;=$E96),IF((K$3-$D96+1)*VLOOKUP($A96,presupuesto!$B:$Q,16,FALSE)&gt;=VLOOKUP($A96,informe!$A:$J,9,FALSE),"cg","c"),"n")</f>
        <v>n</v>
      </c>
      <c r="L96" s="195" t="str">
        <f>IF(AND(L$3&gt;=$D96,L$3&lt;=$E96),IF((L$3-$D96+1)*VLOOKUP($A96,presupuesto!$B:$Q,16,FALSE)&gt;=VLOOKUP($A96,informe!$A:$J,9,FALSE),"cg","c"),"n")</f>
        <v>n</v>
      </c>
      <c r="M96" s="195" t="str">
        <f>IF(AND(M$3&gt;=$D96,M$3&lt;=$E96),IF((M$3-$D96+1)*VLOOKUP($A96,presupuesto!$B:$Q,16,FALSE)&gt;=VLOOKUP($A96,informe!$A:$J,9,FALSE),"cg","c"),"n")</f>
        <v>n</v>
      </c>
      <c r="N96" s="195" t="str">
        <f>IF(AND(N$3&gt;=$D96,N$3&lt;=$E96),IF((N$3-$D96+1)*VLOOKUP($A96,presupuesto!$B:$Q,16,FALSE)&gt;=VLOOKUP($A96,informe!$A:$J,9,FALSE),"cg","c"),"n")</f>
        <v>n</v>
      </c>
      <c r="O96" s="195" t="str">
        <f>IF(AND(O$3&gt;=$D96,O$3&lt;=$E96),IF((O$3-$D96+1)*VLOOKUP($A96,presupuesto!$B:$Q,16,FALSE)&gt;=VLOOKUP($A96,informe!$A:$J,9,FALSE),"cg","c"),"n")</f>
        <v>n</v>
      </c>
      <c r="P96" s="195" t="str">
        <f>IF(AND(P$3&gt;=$D96,P$3&lt;=$E96),IF((P$3-$D96+1)*VLOOKUP($A96,presupuesto!$B:$Q,16,FALSE)&gt;=VLOOKUP($A96,informe!$A:$J,9,FALSE),"cg","c"),"n")</f>
        <v>n</v>
      </c>
      <c r="Q96" s="195" t="str">
        <f>IF(AND(Q$3&gt;=$D96,Q$3&lt;=$E96),IF((Q$3-$D96+1)*VLOOKUP($A96,presupuesto!$B:$Q,16,FALSE)&gt;=VLOOKUP($A96,informe!$A:$J,9,FALSE),"cg","c"),"n")</f>
        <v>n</v>
      </c>
      <c r="R96" s="195" t="str">
        <f>IF(AND(R$3&gt;=$D96,R$3&lt;=$E96),IF((R$3-$D96+1)*VLOOKUP($A96,presupuesto!$B:$Q,16,FALSE)&gt;=VLOOKUP($A96,informe!$A:$J,9,FALSE),"cg","c"),"n")</f>
        <v>n</v>
      </c>
      <c r="S96" s="195" t="str">
        <f>IF(AND(S$3&gt;=$D96,S$3&lt;=$E96),IF((S$3-$D96+1)*VLOOKUP($A96,presupuesto!$B:$Q,16,FALSE)&gt;=VLOOKUP($A96,informe!$A:$J,9,FALSE),"cg","c"),"n")</f>
        <v>n</v>
      </c>
      <c r="T96" s="195" t="str">
        <f>IF(AND(T$3&gt;=$D96,T$3&lt;=$E96),IF((T$3-$D96+1)*VLOOKUP($A96,presupuesto!$B:$Q,16,FALSE)&gt;=VLOOKUP($A96,informe!$A:$J,9,FALSE),"cg","c"),"n")</f>
        <v>n</v>
      </c>
      <c r="U96" s="195" t="str">
        <f>IF(AND(U$3&gt;=$D96,U$3&lt;=$E96),IF((U$3-$D96+1)*VLOOKUP($A96,presupuesto!$B:$Q,16,FALSE)&gt;=VLOOKUP($A96,informe!$A:$J,9,FALSE),"cg","c"),"n")</f>
        <v>n</v>
      </c>
      <c r="V96" s="195" t="str">
        <f>IF(AND(V$3&gt;=$D96,V$3&lt;=$E96),IF((V$3-$D96+1)*VLOOKUP($A96,presupuesto!$B:$Q,16,FALSE)&gt;=VLOOKUP($A96,informe!$A:$J,9,FALSE),"cg","c"),"n")</f>
        <v>n</v>
      </c>
      <c r="W96" s="195" t="str">
        <f>IF(AND(W$3&gt;=$D96,W$3&lt;=$E96),IF((W$3-$D96+1)*VLOOKUP($A96,presupuesto!$B:$Q,16,FALSE)&gt;=VLOOKUP($A96,informe!$A:$J,9,FALSE),"cg","c"),"n")</f>
        <v>n</v>
      </c>
      <c r="X96" s="195" t="str">
        <f>IF(AND(X$3&gt;=$D96,X$3&lt;=$E96),IF((X$3-$D96+1)*VLOOKUP($A96,presupuesto!$B:$Q,16,FALSE)&gt;=VLOOKUP($A96,informe!$A:$J,9,FALSE),"cg","c"),"n")</f>
        <v>n</v>
      </c>
      <c r="Y96" s="195" t="str">
        <f>IF(AND(Y$3&gt;=$D96,Y$3&lt;=$E96),IF((Y$3-$D96+1)*VLOOKUP($A96,presupuesto!$B:$Q,16,FALSE)&gt;=VLOOKUP($A96,informe!$A:$J,9,FALSE),"cg","c"),"n")</f>
        <v>n</v>
      </c>
      <c r="Z96" s="195" t="str">
        <f>IF(AND(Z$3&gt;=$D96,Z$3&lt;=$E96),IF((Z$3-$D96+1)*VLOOKUP($A96,presupuesto!$B:$Q,16,FALSE)&gt;=VLOOKUP($A96,informe!$A:$J,9,FALSE),"cg","c"),"n")</f>
        <v>n</v>
      </c>
      <c r="AA96" s="195" t="str">
        <f>IF(AND(AA$3&gt;=$D96,AA$3&lt;=$E96),IF((AA$3-$D96+1)*VLOOKUP($A96,presupuesto!$B:$Q,16,FALSE)&gt;=VLOOKUP($A96,informe!$A:$J,9,FALSE),"cg","c"),"n")</f>
        <v>n</v>
      </c>
      <c r="AB96" s="195" t="str">
        <f>IF(AND(AB$3&gt;=$D96,AB$3&lt;=$E96),IF((AB$3-$D96+1)*VLOOKUP($A96,presupuesto!$B:$Q,16,FALSE)&gt;=VLOOKUP($A96,informe!$A:$J,9,FALSE),"cg","c"),"n")</f>
        <v>n</v>
      </c>
      <c r="AC96" s="195" t="str">
        <f>IF(AND(AC$3&gt;=$D96,AC$3&lt;=$E96),IF((AC$3-$D96+1)*VLOOKUP($A96,presupuesto!$B:$Q,16,FALSE)&gt;=VLOOKUP($A96,informe!$A:$J,9,FALSE),"cg","c"),"n")</f>
        <v>n</v>
      </c>
      <c r="AD96" s="195" t="str">
        <f>IF(AND(AD$3&gt;=$D96,AD$3&lt;=$E96),IF((AD$3-$D96+1)*VLOOKUP($A96,presupuesto!$B:$Q,16,FALSE)&gt;=VLOOKUP($A96,informe!$A:$J,9,FALSE),"cg","c"),"n")</f>
        <v>n</v>
      </c>
      <c r="AE96" s="195" t="str">
        <f>IF(AND(AE$3&gt;=$D96,AE$3&lt;=$E96),IF((AE$3-$D96+1)*VLOOKUP($A96,presupuesto!$B:$Q,16,FALSE)&gt;=VLOOKUP($A96,informe!$A:$J,9,FALSE),"cg","c"),"n")</f>
        <v>n</v>
      </c>
      <c r="AF96" s="195" t="str">
        <f>IF(AND(AF$3&gt;=$D96,AF$3&lt;=$E96),IF((AF$3-$D96+1)*VLOOKUP($A96,presupuesto!$B:$Q,16,FALSE)&gt;=VLOOKUP($A96,informe!$A:$J,9,FALSE),"cg","c"),"n")</f>
        <v>n</v>
      </c>
      <c r="AG96" s="195" t="str">
        <f>IF(AND(AG$3&gt;=$D96,AG$3&lt;=$E96),IF((AG$3-$D96+1)*VLOOKUP($A96,presupuesto!$B:$Q,16,FALSE)&gt;=VLOOKUP($A96,informe!$A:$J,9,FALSE),"cg","c"),"n")</f>
        <v>n</v>
      </c>
      <c r="AH96" s="195" t="str">
        <f>IF(AND(AH$3&gt;=$D96,AH$3&lt;=$E96),IF((AH$3-$D96+1)*VLOOKUP($A96,presupuesto!$B:$Q,16,FALSE)&gt;=VLOOKUP($A96,informe!$A:$J,9,FALSE),"cg","c"),"n")</f>
        <v>n</v>
      </c>
      <c r="AI96" s="195" t="str">
        <f>IF(AND(AI$3&gt;=$D96,AI$3&lt;=$E96),IF((AI$3-$D96+1)*VLOOKUP($A96,presupuesto!$B:$Q,16,FALSE)&gt;=VLOOKUP($A96,informe!$A:$J,9,FALSE),"cg","c"),"n")</f>
        <v>n</v>
      </c>
      <c r="AJ96" s="195" t="str">
        <f>IF(AND(AJ$3&gt;=$D96,AJ$3&lt;=$E96),IF((AJ$3-$D96+1)*VLOOKUP($A96,presupuesto!$B:$Q,16,FALSE)&gt;=VLOOKUP($A96,informe!$A:$J,9,FALSE),"cg","c"),"n")</f>
        <v>n</v>
      </c>
      <c r="AK96" s="196" t="str">
        <f>IF(AND(AK$3&gt;=$D96,AK$3&lt;=$E96),IF((AK$3-$D96+1)*VLOOKUP($A96,presupuesto!$B:$Q,16,FALSE)&gt;=VLOOKUP($A96,informe!$A:$J,9,FALSE),"cg","c"),"n")</f>
        <v>n</v>
      </c>
    </row>
    <row r="97" spans="1:37" s="1" customFormat="1" ht="14.25" customHeight="1" x14ac:dyDescent="0.25">
      <c r="A97" s="193">
        <f>presupuesto!B96</f>
        <v>62</v>
      </c>
      <c r="B97" s="182" t="str">
        <f>presupuesto!C96</f>
        <v xml:space="preserve">         Pintura interior del estanque</v>
      </c>
      <c r="C97" s="173" t="str">
        <f>presupuesto!G96</f>
        <v>30 días</v>
      </c>
      <c r="D97" s="176">
        <f>presupuesto!N96</f>
        <v>45734</v>
      </c>
      <c r="E97" s="176">
        <f>presupuesto!O96</f>
        <v>45763</v>
      </c>
      <c r="F97" s="194" t="str">
        <f>IF(AK97="n",CONCATENATE(" - "),IF(AK97="cg",CONCATENATE(" - "),CONCATENATE(ROUND(IFERROR(VLOOKUP(A97,informe!A:J,9,FALSE)/VLOOKUP(A97,informe!A:J,5,FALSE),0)*100,2),"% ")))</f>
        <v xml:space="preserve"> - </v>
      </c>
      <c r="G97" s="195" t="str">
        <f>IF(AND(G$3&gt;=$D97,G$3&lt;=$E97),IF((G$3-$D97+1)*VLOOKUP($A97,presupuesto!$B:$Q,16,FALSE)&gt;=VLOOKUP($A97,informe!$A:$J,9,FALSE),"cg","c"),"n")</f>
        <v>n</v>
      </c>
      <c r="H97" s="195" t="str">
        <f>IF(AND(H$3&gt;=$D97,H$3&lt;=$E97),IF((H$3-$D97+1)*VLOOKUP($A97,presupuesto!$B:$Q,16,FALSE)&gt;=VLOOKUP($A97,informe!$A:$J,9,FALSE),"cg","c"),"n")</f>
        <v>n</v>
      </c>
      <c r="I97" s="195" t="str">
        <f>IF(AND(I$3&gt;=$D97,I$3&lt;=$E97),IF((I$3-$D97+1)*VLOOKUP($A97,presupuesto!$B:$Q,16,FALSE)&gt;=VLOOKUP($A97,informe!$A:$J,9,FALSE),"cg","c"),"n")</f>
        <v>n</v>
      </c>
      <c r="J97" s="195" t="str">
        <f>IF(AND(J$3&gt;=$D97,J$3&lt;=$E97),IF((J$3-$D97+1)*VLOOKUP($A97,presupuesto!$B:$Q,16,FALSE)&gt;=VLOOKUP($A97,informe!$A:$J,9,FALSE),"cg","c"),"n")</f>
        <v>n</v>
      </c>
      <c r="K97" s="195" t="str">
        <f>IF(AND(K$3&gt;=$D97,K$3&lt;=$E97),IF((K$3-$D97+1)*VLOOKUP($A97,presupuesto!$B:$Q,16,FALSE)&gt;=VLOOKUP($A97,informe!$A:$J,9,FALSE),"cg","c"),"n")</f>
        <v>n</v>
      </c>
      <c r="L97" s="195" t="str">
        <f>IF(AND(L$3&gt;=$D97,L$3&lt;=$E97),IF((L$3-$D97+1)*VLOOKUP($A97,presupuesto!$B:$Q,16,FALSE)&gt;=VLOOKUP($A97,informe!$A:$J,9,FALSE),"cg","c"),"n")</f>
        <v>n</v>
      </c>
      <c r="M97" s="195" t="str">
        <f>IF(AND(M$3&gt;=$D97,M$3&lt;=$E97),IF((M$3-$D97+1)*VLOOKUP($A97,presupuesto!$B:$Q,16,FALSE)&gt;=VLOOKUP($A97,informe!$A:$J,9,FALSE),"cg","c"),"n")</f>
        <v>n</v>
      </c>
      <c r="N97" s="195" t="str">
        <f>IF(AND(N$3&gt;=$D97,N$3&lt;=$E97),IF((N$3-$D97+1)*VLOOKUP($A97,presupuesto!$B:$Q,16,FALSE)&gt;=VLOOKUP($A97,informe!$A:$J,9,FALSE),"cg","c"),"n")</f>
        <v>n</v>
      </c>
      <c r="O97" s="195" t="str">
        <f>IF(AND(O$3&gt;=$D97,O$3&lt;=$E97),IF((O$3-$D97+1)*VLOOKUP($A97,presupuesto!$B:$Q,16,FALSE)&gt;=VLOOKUP($A97,informe!$A:$J,9,FALSE),"cg","c"),"n")</f>
        <v>n</v>
      </c>
      <c r="P97" s="195" t="str">
        <f>IF(AND(P$3&gt;=$D97,P$3&lt;=$E97),IF((P$3-$D97+1)*VLOOKUP($A97,presupuesto!$B:$Q,16,FALSE)&gt;=VLOOKUP($A97,informe!$A:$J,9,FALSE),"cg","c"),"n")</f>
        <v>n</v>
      </c>
      <c r="Q97" s="195" t="str">
        <f>IF(AND(Q$3&gt;=$D97,Q$3&lt;=$E97),IF((Q$3-$D97+1)*VLOOKUP($A97,presupuesto!$B:$Q,16,FALSE)&gt;=VLOOKUP($A97,informe!$A:$J,9,FALSE),"cg","c"),"n")</f>
        <v>n</v>
      </c>
      <c r="R97" s="195" t="str">
        <f>IF(AND(R$3&gt;=$D97,R$3&lt;=$E97),IF((R$3-$D97+1)*VLOOKUP($A97,presupuesto!$B:$Q,16,FALSE)&gt;=VLOOKUP($A97,informe!$A:$J,9,FALSE),"cg","c"),"n")</f>
        <v>n</v>
      </c>
      <c r="S97" s="195" t="str">
        <f>IF(AND(S$3&gt;=$D97,S$3&lt;=$E97),IF((S$3-$D97+1)*VLOOKUP($A97,presupuesto!$B:$Q,16,FALSE)&gt;=VLOOKUP($A97,informe!$A:$J,9,FALSE),"cg","c"),"n")</f>
        <v>n</v>
      </c>
      <c r="T97" s="195" t="str">
        <f>IF(AND(T$3&gt;=$D97,T$3&lt;=$E97),IF((T$3-$D97+1)*VLOOKUP($A97,presupuesto!$B:$Q,16,FALSE)&gt;=VLOOKUP($A97,informe!$A:$J,9,FALSE),"cg","c"),"n")</f>
        <v>n</v>
      </c>
      <c r="U97" s="195" t="str">
        <f>IF(AND(U$3&gt;=$D97,U$3&lt;=$E97),IF((U$3-$D97+1)*VLOOKUP($A97,presupuesto!$B:$Q,16,FALSE)&gt;=VLOOKUP($A97,informe!$A:$J,9,FALSE),"cg","c"),"n")</f>
        <v>n</v>
      </c>
      <c r="V97" s="195" t="str">
        <f>IF(AND(V$3&gt;=$D97,V$3&lt;=$E97),IF((V$3-$D97+1)*VLOOKUP($A97,presupuesto!$B:$Q,16,FALSE)&gt;=VLOOKUP($A97,informe!$A:$J,9,FALSE),"cg","c"),"n")</f>
        <v>n</v>
      </c>
      <c r="W97" s="195" t="str">
        <f>IF(AND(W$3&gt;=$D97,W$3&lt;=$E97),IF((W$3-$D97+1)*VLOOKUP($A97,presupuesto!$B:$Q,16,FALSE)&gt;=VLOOKUP($A97,informe!$A:$J,9,FALSE),"cg","c"),"n")</f>
        <v>n</v>
      </c>
      <c r="X97" s="195" t="str">
        <f>IF(AND(X$3&gt;=$D97,X$3&lt;=$E97),IF((X$3-$D97+1)*VLOOKUP($A97,presupuesto!$B:$Q,16,FALSE)&gt;=VLOOKUP($A97,informe!$A:$J,9,FALSE),"cg","c"),"n")</f>
        <v>n</v>
      </c>
      <c r="Y97" s="195" t="str">
        <f>IF(AND(Y$3&gt;=$D97,Y$3&lt;=$E97),IF((Y$3-$D97+1)*VLOOKUP($A97,presupuesto!$B:$Q,16,FALSE)&gt;=VLOOKUP($A97,informe!$A:$J,9,FALSE),"cg","c"),"n")</f>
        <v>n</v>
      </c>
      <c r="Z97" s="195" t="str">
        <f>IF(AND(Z$3&gt;=$D97,Z$3&lt;=$E97),IF((Z$3-$D97+1)*VLOOKUP($A97,presupuesto!$B:$Q,16,FALSE)&gt;=VLOOKUP($A97,informe!$A:$J,9,FALSE),"cg","c"),"n")</f>
        <v>n</v>
      </c>
      <c r="AA97" s="195" t="str">
        <f>IF(AND(AA$3&gt;=$D97,AA$3&lt;=$E97),IF((AA$3-$D97+1)*VLOOKUP($A97,presupuesto!$B:$Q,16,FALSE)&gt;=VLOOKUP($A97,informe!$A:$J,9,FALSE),"cg","c"),"n")</f>
        <v>n</v>
      </c>
      <c r="AB97" s="195" t="str">
        <f>IF(AND(AB$3&gt;=$D97,AB$3&lt;=$E97),IF((AB$3-$D97+1)*VLOOKUP($A97,presupuesto!$B:$Q,16,FALSE)&gt;=VLOOKUP($A97,informe!$A:$J,9,FALSE),"cg","c"),"n")</f>
        <v>n</v>
      </c>
      <c r="AC97" s="195" t="str">
        <f>IF(AND(AC$3&gt;=$D97,AC$3&lt;=$E97),IF((AC$3-$D97+1)*VLOOKUP($A97,presupuesto!$B:$Q,16,FALSE)&gt;=VLOOKUP($A97,informe!$A:$J,9,FALSE),"cg","c"),"n")</f>
        <v>n</v>
      </c>
      <c r="AD97" s="195" t="str">
        <f>IF(AND(AD$3&gt;=$D97,AD$3&lt;=$E97),IF((AD$3-$D97+1)*VLOOKUP($A97,presupuesto!$B:$Q,16,FALSE)&gt;=VLOOKUP($A97,informe!$A:$J,9,FALSE),"cg","c"),"n")</f>
        <v>n</v>
      </c>
      <c r="AE97" s="195" t="str">
        <f>IF(AND(AE$3&gt;=$D97,AE$3&lt;=$E97),IF((AE$3-$D97+1)*VLOOKUP($A97,presupuesto!$B:$Q,16,FALSE)&gt;=VLOOKUP($A97,informe!$A:$J,9,FALSE),"cg","c"),"n")</f>
        <v>n</v>
      </c>
      <c r="AF97" s="195" t="str">
        <f>IF(AND(AF$3&gt;=$D97,AF$3&lt;=$E97),IF((AF$3-$D97+1)*VLOOKUP($A97,presupuesto!$B:$Q,16,FALSE)&gt;=VLOOKUP($A97,informe!$A:$J,9,FALSE),"cg","c"),"n")</f>
        <v>n</v>
      </c>
      <c r="AG97" s="195" t="str">
        <f>IF(AND(AG$3&gt;=$D97,AG$3&lt;=$E97),IF((AG$3-$D97+1)*VLOOKUP($A97,presupuesto!$B:$Q,16,FALSE)&gt;=VLOOKUP($A97,informe!$A:$J,9,FALSE),"cg","c"),"n")</f>
        <v>n</v>
      </c>
      <c r="AH97" s="195" t="str">
        <f>IF(AND(AH$3&gt;=$D97,AH$3&lt;=$E97),IF((AH$3-$D97+1)*VLOOKUP($A97,presupuesto!$B:$Q,16,FALSE)&gt;=VLOOKUP($A97,informe!$A:$J,9,FALSE),"cg","c"),"n")</f>
        <v>n</v>
      </c>
      <c r="AI97" s="195" t="str">
        <f>IF(AND(AI$3&gt;=$D97,AI$3&lt;=$E97),IF((AI$3-$D97+1)*VLOOKUP($A97,presupuesto!$B:$Q,16,FALSE)&gt;=VLOOKUP($A97,informe!$A:$J,9,FALSE),"cg","c"),"n")</f>
        <v>n</v>
      </c>
      <c r="AJ97" s="195" t="str">
        <f>IF(AND(AJ$3&gt;=$D97,AJ$3&lt;=$E97),IF((AJ$3-$D97+1)*VLOOKUP($A97,presupuesto!$B:$Q,16,FALSE)&gt;=VLOOKUP($A97,informe!$A:$J,9,FALSE),"cg","c"),"n")</f>
        <v>n</v>
      </c>
      <c r="AK97" s="196" t="str">
        <f>IF(AND(AK$3&gt;=$D97,AK$3&lt;=$E97),IF((AK$3-$D97+1)*VLOOKUP($A97,presupuesto!$B:$Q,16,FALSE)&gt;=VLOOKUP($A97,informe!$A:$J,9,FALSE),"cg","c"),"n")</f>
        <v>n</v>
      </c>
    </row>
    <row r="98" spans="1:37" s="1" customFormat="1" ht="14.25" customHeight="1" x14ac:dyDescent="0.25">
      <c r="A98" s="193">
        <f>presupuesto!B97</f>
        <v>63</v>
      </c>
      <c r="B98" s="182" t="str">
        <f>presupuesto!C97</f>
        <v xml:space="preserve">         Pintura Exterior del estanque y Estructura</v>
      </c>
      <c r="C98" s="173" t="str">
        <f>presupuesto!G97</f>
        <v>30 días</v>
      </c>
      <c r="D98" s="176">
        <f>presupuesto!N97</f>
        <v>45741</v>
      </c>
      <c r="E98" s="176">
        <f>presupuesto!O97</f>
        <v>45770</v>
      </c>
      <c r="F98" s="194" t="str">
        <f>IF(AK98="n",CONCATENATE(" - "),IF(AK98="cg",CONCATENATE(" - "),CONCATENATE(ROUND(IFERROR(VLOOKUP(A98,informe!A:J,9,FALSE)/VLOOKUP(A98,informe!A:J,5,FALSE),0)*100,2),"% ")))</f>
        <v xml:space="preserve"> - </v>
      </c>
      <c r="G98" s="195" t="str">
        <f>IF(AND(G$3&gt;=$D98,G$3&lt;=$E98),IF((G$3-$D98+1)*VLOOKUP($A98,presupuesto!$B:$Q,16,FALSE)&gt;=VLOOKUP($A98,informe!$A:$J,9,FALSE),"cg","c"),"n")</f>
        <v>n</v>
      </c>
      <c r="H98" s="195" t="str">
        <f>IF(AND(H$3&gt;=$D98,H$3&lt;=$E98),IF((H$3-$D98+1)*VLOOKUP($A98,presupuesto!$B:$Q,16,FALSE)&gt;=VLOOKUP($A98,informe!$A:$J,9,FALSE),"cg","c"),"n")</f>
        <v>n</v>
      </c>
      <c r="I98" s="195" t="str">
        <f>IF(AND(I$3&gt;=$D98,I$3&lt;=$E98),IF((I$3-$D98+1)*VLOOKUP($A98,presupuesto!$B:$Q,16,FALSE)&gt;=VLOOKUP($A98,informe!$A:$J,9,FALSE),"cg","c"),"n")</f>
        <v>n</v>
      </c>
      <c r="J98" s="195" t="str">
        <f>IF(AND(J$3&gt;=$D98,J$3&lt;=$E98),IF((J$3-$D98+1)*VLOOKUP($A98,presupuesto!$B:$Q,16,FALSE)&gt;=VLOOKUP($A98,informe!$A:$J,9,FALSE),"cg","c"),"n")</f>
        <v>n</v>
      </c>
      <c r="K98" s="195" t="str">
        <f>IF(AND(K$3&gt;=$D98,K$3&lt;=$E98),IF((K$3-$D98+1)*VLOOKUP($A98,presupuesto!$B:$Q,16,FALSE)&gt;=VLOOKUP($A98,informe!$A:$J,9,FALSE),"cg","c"),"n")</f>
        <v>n</v>
      </c>
      <c r="L98" s="195" t="str">
        <f>IF(AND(L$3&gt;=$D98,L$3&lt;=$E98),IF((L$3-$D98+1)*VLOOKUP($A98,presupuesto!$B:$Q,16,FALSE)&gt;=VLOOKUP($A98,informe!$A:$J,9,FALSE),"cg","c"),"n")</f>
        <v>n</v>
      </c>
      <c r="M98" s="195" t="str">
        <f>IF(AND(M$3&gt;=$D98,M$3&lt;=$E98),IF((M$3-$D98+1)*VLOOKUP($A98,presupuesto!$B:$Q,16,FALSE)&gt;=VLOOKUP($A98,informe!$A:$J,9,FALSE),"cg","c"),"n")</f>
        <v>n</v>
      </c>
      <c r="N98" s="195" t="str">
        <f>IF(AND(N$3&gt;=$D98,N$3&lt;=$E98),IF((N$3-$D98+1)*VLOOKUP($A98,presupuesto!$B:$Q,16,FALSE)&gt;=VLOOKUP($A98,informe!$A:$J,9,FALSE),"cg","c"),"n")</f>
        <v>n</v>
      </c>
      <c r="O98" s="195" t="str">
        <f>IF(AND(O$3&gt;=$D98,O$3&lt;=$E98),IF((O$3-$D98+1)*VLOOKUP($A98,presupuesto!$B:$Q,16,FALSE)&gt;=VLOOKUP($A98,informe!$A:$J,9,FALSE),"cg","c"),"n")</f>
        <v>n</v>
      </c>
      <c r="P98" s="195" t="str">
        <f>IF(AND(P$3&gt;=$D98,P$3&lt;=$E98),IF((P$3-$D98+1)*VLOOKUP($A98,presupuesto!$B:$Q,16,FALSE)&gt;=VLOOKUP($A98,informe!$A:$J,9,FALSE),"cg","c"),"n")</f>
        <v>n</v>
      </c>
      <c r="Q98" s="195" t="str">
        <f>IF(AND(Q$3&gt;=$D98,Q$3&lt;=$E98),IF((Q$3-$D98+1)*VLOOKUP($A98,presupuesto!$B:$Q,16,FALSE)&gt;=VLOOKUP($A98,informe!$A:$J,9,FALSE),"cg","c"),"n")</f>
        <v>n</v>
      </c>
      <c r="R98" s="195" t="str">
        <f>IF(AND(R$3&gt;=$D98,R$3&lt;=$E98),IF((R$3-$D98+1)*VLOOKUP($A98,presupuesto!$B:$Q,16,FALSE)&gt;=VLOOKUP($A98,informe!$A:$J,9,FALSE),"cg","c"),"n")</f>
        <v>n</v>
      </c>
      <c r="S98" s="195" t="str">
        <f>IF(AND(S$3&gt;=$D98,S$3&lt;=$E98),IF((S$3-$D98+1)*VLOOKUP($A98,presupuesto!$B:$Q,16,FALSE)&gt;=VLOOKUP($A98,informe!$A:$J,9,FALSE),"cg","c"),"n")</f>
        <v>n</v>
      </c>
      <c r="T98" s="195" t="str">
        <f>IF(AND(T$3&gt;=$D98,T$3&lt;=$E98),IF((T$3-$D98+1)*VLOOKUP($A98,presupuesto!$B:$Q,16,FALSE)&gt;=VLOOKUP($A98,informe!$A:$J,9,FALSE),"cg","c"),"n")</f>
        <v>n</v>
      </c>
      <c r="U98" s="195" t="str">
        <f>IF(AND(U$3&gt;=$D98,U$3&lt;=$E98),IF((U$3-$D98+1)*VLOOKUP($A98,presupuesto!$B:$Q,16,FALSE)&gt;=VLOOKUP($A98,informe!$A:$J,9,FALSE),"cg","c"),"n")</f>
        <v>n</v>
      </c>
      <c r="V98" s="195" t="str">
        <f>IF(AND(V$3&gt;=$D98,V$3&lt;=$E98),IF((V$3-$D98+1)*VLOOKUP($A98,presupuesto!$B:$Q,16,FALSE)&gt;=VLOOKUP($A98,informe!$A:$J,9,FALSE),"cg","c"),"n")</f>
        <v>n</v>
      </c>
      <c r="W98" s="195" t="str">
        <f>IF(AND(W$3&gt;=$D98,W$3&lt;=$E98),IF((W$3-$D98+1)*VLOOKUP($A98,presupuesto!$B:$Q,16,FALSE)&gt;=VLOOKUP($A98,informe!$A:$J,9,FALSE),"cg","c"),"n")</f>
        <v>n</v>
      </c>
      <c r="X98" s="195" t="str">
        <f>IF(AND(X$3&gt;=$D98,X$3&lt;=$E98),IF((X$3-$D98+1)*VLOOKUP($A98,presupuesto!$B:$Q,16,FALSE)&gt;=VLOOKUP($A98,informe!$A:$J,9,FALSE),"cg","c"),"n")</f>
        <v>n</v>
      </c>
      <c r="Y98" s="195" t="str">
        <f>IF(AND(Y$3&gt;=$D98,Y$3&lt;=$E98),IF((Y$3-$D98+1)*VLOOKUP($A98,presupuesto!$B:$Q,16,FALSE)&gt;=VLOOKUP($A98,informe!$A:$J,9,FALSE),"cg","c"),"n")</f>
        <v>n</v>
      </c>
      <c r="Z98" s="195" t="str">
        <f>IF(AND(Z$3&gt;=$D98,Z$3&lt;=$E98),IF((Z$3-$D98+1)*VLOOKUP($A98,presupuesto!$B:$Q,16,FALSE)&gt;=VLOOKUP($A98,informe!$A:$J,9,FALSE),"cg","c"),"n")</f>
        <v>n</v>
      </c>
      <c r="AA98" s="195" t="str">
        <f>IF(AND(AA$3&gt;=$D98,AA$3&lt;=$E98),IF((AA$3-$D98+1)*VLOOKUP($A98,presupuesto!$B:$Q,16,FALSE)&gt;=VLOOKUP($A98,informe!$A:$J,9,FALSE),"cg","c"),"n")</f>
        <v>n</v>
      </c>
      <c r="AB98" s="195" t="str">
        <f>IF(AND(AB$3&gt;=$D98,AB$3&lt;=$E98),IF((AB$3-$D98+1)*VLOOKUP($A98,presupuesto!$B:$Q,16,FALSE)&gt;=VLOOKUP($A98,informe!$A:$J,9,FALSE),"cg","c"),"n")</f>
        <v>n</v>
      </c>
      <c r="AC98" s="195" t="str">
        <f>IF(AND(AC$3&gt;=$D98,AC$3&lt;=$E98),IF((AC$3-$D98+1)*VLOOKUP($A98,presupuesto!$B:$Q,16,FALSE)&gt;=VLOOKUP($A98,informe!$A:$J,9,FALSE),"cg","c"),"n")</f>
        <v>n</v>
      </c>
      <c r="AD98" s="195" t="str">
        <f>IF(AND(AD$3&gt;=$D98,AD$3&lt;=$E98),IF((AD$3-$D98+1)*VLOOKUP($A98,presupuesto!$B:$Q,16,FALSE)&gt;=VLOOKUP($A98,informe!$A:$J,9,FALSE),"cg","c"),"n")</f>
        <v>n</v>
      </c>
      <c r="AE98" s="195" t="str">
        <f>IF(AND(AE$3&gt;=$D98,AE$3&lt;=$E98),IF((AE$3-$D98+1)*VLOOKUP($A98,presupuesto!$B:$Q,16,FALSE)&gt;=VLOOKUP($A98,informe!$A:$J,9,FALSE),"cg","c"),"n")</f>
        <v>n</v>
      </c>
      <c r="AF98" s="195" t="str">
        <f>IF(AND(AF$3&gt;=$D98,AF$3&lt;=$E98),IF((AF$3-$D98+1)*VLOOKUP($A98,presupuesto!$B:$Q,16,FALSE)&gt;=VLOOKUP($A98,informe!$A:$J,9,FALSE),"cg","c"),"n")</f>
        <v>n</v>
      </c>
      <c r="AG98" s="195" t="str">
        <f>IF(AND(AG$3&gt;=$D98,AG$3&lt;=$E98),IF((AG$3-$D98+1)*VLOOKUP($A98,presupuesto!$B:$Q,16,FALSE)&gt;=VLOOKUP($A98,informe!$A:$J,9,FALSE),"cg","c"),"n")</f>
        <v>n</v>
      </c>
      <c r="AH98" s="195" t="str">
        <f>IF(AND(AH$3&gt;=$D98,AH$3&lt;=$E98),IF((AH$3-$D98+1)*VLOOKUP($A98,presupuesto!$B:$Q,16,FALSE)&gt;=VLOOKUP($A98,informe!$A:$J,9,FALSE),"cg","c"),"n")</f>
        <v>n</v>
      </c>
      <c r="AI98" s="195" t="str">
        <f>IF(AND(AI$3&gt;=$D98,AI$3&lt;=$E98),IF((AI$3-$D98+1)*VLOOKUP($A98,presupuesto!$B:$Q,16,FALSE)&gt;=VLOOKUP($A98,informe!$A:$J,9,FALSE),"cg","c"),"n")</f>
        <v>n</v>
      </c>
      <c r="AJ98" s="195" t="str">
        <f>IF(AND(AJ$3&gt;=$D98,AJ$3&lt;=$E98),IF((AJ$3-$D98+1)*VLOOKUP($A98,presupuesto!$B:$Q,16,FALSE)&gt;=VLOOKUP($A98,informe!$A:$J,9,FALSE),"cg","c"),"n")</f>
        <v>n</v>
      </c>
      <c r="AK98" s="196" t="str">
        <f>IF(AND(AK$3&gt;=$D98,AK$3&lt;=$E98),IF((AK$3-$D98+1)*VLOOKUP($A98,presupuesto!$B:$Q,16,FALSE)&gt;=VLOOKUP($A98,informe!$A:$J,9,FALSE),"cg","c"),"n")</f>
        <v>n</v>
      </c>
    </row>
    <row r="99" spans="1:37" s="1" customFormat="1" ht="14.25" customHeight="1" x14ac:dyDescent="0.3">
      <c r="A99" s="197" t="str">
        <f>presupuesto!B98</f>
        <v>D.-</v>
      </c>
      <c r="B99" s="181" t="str">
        <f>presupuesto!C98</f>
        <v xml:space="preserve">      INTERCONEXIONES HIDRÁULICAS</v>
      </c>
      <c r="C99" s="174" t="str">
        <f>presupuesto!G98</f>
        <v>32 días</v>
      </c>
      <c r="D99" s="177">
        <f>presupuesto!N98</f>
        <v>45771</v>
      </c>
      <c r="E99" s="177">
        <f>presupuesto!O98</f>
        <v>45802</v>
      </c>
      <c r="F99" s="194" t="str">
        <f>IF(AK99="n",CONCATENATE(" - "),IF(AK99="cg",CONCATENATE(" - "),CONCATENATE(ROUND(IFERROR(VLOOKUP(A99,informe!A:J,9,FALSE)/VLOOKUP(A99,informe!A:J,5,FALSE),0)*100,2),"% ")))</f>
        <v xml:space="preserve"> - </v>
      </c>
      <c r="G99" s="195" t="str">
        <f>IF(AND(G$3&gt;=$D99,G$3&lt;=$E99),IF((G$3-$D99+1)*VLOOKUP($A99,presupuesto!$B:$Q,16,FALSE)&gt;=VLOOKUP($A99,informe!$A:$J,9,FALSE),"cg","c"),"n")</f>
        <v>n</v>
      </c>
      <c r="H99" s="195" t="str">
        <f>IF(AND(H$3&gt;=$D99,H$3&lt;=$E99),IF((H$3-$D99+1)*VLOOKUP($A99,presupuesto!$B:$Q,16,FALSE)&gt;=VLOOKUP($A99,informe!$A:$J,9,FALSE),"cg","c"),"n")</f>
        <v>n</v>
      </c>
      <c r="I99" s="195" t="str">
        <f>IF(AND(I$3&gt;=$D99,I$3&lt;=$E99),IF((I$3-$D99+1)*VLOOKUP($A99,presupuesto!$B:$Q,16,FALSE)&gt;=VLOOKUP($A99,informe!$A:$J,9,FALSE),"cg","c"),"n")</f>
        <v>n</v>
      </c>
      <c r="J99" s="195" t="str">
        <f>IF(AND(J$3&gt;=$D99,J$3&lt;=$E99),IF((J$3-$D99+1)*VLOOKUP($A99,presupuesto!$B:$Q,16,FALSE)&gt;=VLOOKUP($A99,informe!$A:$J,9,FALSE),"cg","c"),"n")</f>
        <v>n</v>
      </c>
      <c r="K99" s="195" t="str">
        <f>IF(AND(K$3&gt;=$D99,K$3&lt;=$E99),IF((K$3-$D99+1)*VLOOKUP($A99,presupuesto!$B:$Q,16,FALSE)&gt;=VLOOKUP($A99,informe!$A:$J,9,FALSE),"cg","c"),"n")</f>
        <v>n</v>
      </c>
      <c r="L99" s="195" t="str">
        <f>IF(AND(L$3&gt;=$D99,L$3&lt;=$E99),IF((L$3-$D99+1)*VLOOKUP($A99,presupuesto!$B:$Q,16,FALSE)&gt;=VLOOKUP($A99,informe!$A:$J,9,FALSE),"cg","c"),"n")</f>
        <v>n</v>
      </c>
      <c r="M99" s="195" t="str">
        <f>IF(AND(M$3&gt;=$D99,M$3&lt;=$E99),IF((M$3-$D99+1)*VLOOKUP($A99,presupuesto!$B:$Q,16,FALSE)&gt;=VLOOKUP($A99,informe!$A:$J,9,FALSE),"cg","c"),"n")</f>
        <v>n</v>
      </c>
      <c r="N99" s="195" t="str">
        <f>IF(AND(N$3&gt;=$D99,N$3&lt;=$E99),IF((N$3-$D99+1)*VLOOKUP($A99,presupuesto!$B:$Q,16,FALSE)&gt;=VLOOKUP($A99,informe!$A:$J,9,FALSE),"cg","c"),"n")</f>
        <v>n</v>
      </c>
      <c r="O99" s="195" t="str">
        <f>IF(AND(O$3&gt;=$D99,O$3&lt;=$E99),IF((O$3-$D99+1)*VLOOKUP($A99,presupuesto!$B:$Q,16,FALSE)&gt;=VLOOKUP($A99,informe!$A:$J,9,FALSE),"cg","c"),"n")</f>
        <v>n</v>
      </c>
      <c r="P99" s="195" t="str">
        <f>IF(AND(P$3&gt;=$D99,P$3&lt;=$E99),IF((P$3-$D99+1)*VLOOKUP($A99,presupuesto!$B:$Q,16,FALSE)&gt;=VLOOKUP($A99,informe!$A:$J,9,FALSE),"cg","c"),"n")</f>
        <v>n</v>
      </c>
      <c r="Q99" s="195" t="str">
        <f>IF(AND(Q$3&gt;=$D99,Q$3&lt;=$E99),IF((Q$3-$D99+1)*VLOOKUP($A99,presupuesto!$B:$Q,16,FALSE)&gt;=VLOOKUP($A99,informe!$A:$J,9,FALSE),"cg","c"),"n")</f>
        <v>n</v>
      </c>
      <c r="R99" s="195" t="str">
        <f>IF(AND(R$3&gt;=$D99,R$3&lt;=$E99),IF((R$3-$D99+1)*VLOOKUP($A99,presupuesto!$B:$Q,16,FALSE)&gt;=VLOOKUP($A99,informe!$A:$J,9,FALSE),"cg","c"),"n")</f>
        <v>n</v>
      </c>
      <c r="S99" s="195" t="str">
        <f>IF(AND(S$3&gt;=$D99,S$3&lt;=$E99),IF((S$3-$D99+1)*VLOOKUP($A99,presupuesto!$B:$Q,16,FALSE)&gt;=VLOOKUP($A99,informe!$A:$J,9,FALSE),"cg","c"),"n")</f>
        <v>n</v>
      </c>
      <c r="T99" s="195" t="str">
        <f>IF(AND(T$3&gt;=$D99,T$3&lt;=$E99),IF((T$3-$D99+1)*VLOOKUP($A99,presupuesto!$B:$Q,16,FALSE)&gt;=VLOOKUP($A99,informe!$A:$J,9,FALSE),"cg","c"),"n")</f>
        <v>n</v>
      </c>
      <c r="U99" s="195" t="str">
        <f>IF(AND(U$3&gt;=$D99,U$3&lt;=$E99),IF((U$3-$D99+1)*VLOOKUP($A99,presupuesto!$B:$Q,16,FALSE)&gt;=VLOOKUP($A99,informe!$A:$J,9,FALSE),"cg","c"),"n")</f>
        <v>n</v>
      </c>
      <c r="V99" s="195" t="str">
        <f>IF(AND(V$3&gt;=$D99,V$3&lt;=$E99),IF((V$3-$D99+1)*VLOOKUP($A99,presupuesto!$B:$Q,16,FALSE)&gt;=VLOOKUP($A99,informe!$A:$J,9,FALSE),"cg","c"),"n")</f>
        <v>n</v>
      </c>
      <c r="W99" s="195" t="str">
        <f>IF(AND(W$3&gt;=$D99,W$3&lt;=$E99),IF((W$3-$D99+1)*VLOOKUP($A99,presupuesto!$B:$Q,16,FALSE)&gt;=VLOOKUP($A99,informe!$A:$J,9,FALSE),"cg","c"),"n")</f>
        <v>n</v>
      </c>
      <c r="X99" s="195" t="str">
        <f>IF(AND(X$3&gt;=$D99,X$3&lt;=$E99),IF((X$3-$D99+1)*VLOOKUP($A99,presupuesto!$B:$Q,16,FALSE)&gt;=VLOOKUP($A99,informe!$A:$J,9,FALSE),"cg","c"),"n")</f>
        <v>n</v>
      </c>
      <c r="Y99" s="195" t="str">
        <f>IF(AND(Y$3&gt;=$D99,Y$3&lt;=$E99),IF((Y$3-$D99+1)*VLOOKUP($A99,presupuesto!$B:$Q,16,FALSE)&gt;=VLOOKUP($A99,informe!$A:$J,9,FALSE),"cg","c"),"n")</f>
        <v>n</v>
      </c>
      <c r="Z99" s="195" t="str">
        <f>IF(AND(Z$3&gt;=$D99,Z$3&lt;=$E99),IF((Z$3-$D99+1)*VLOOKUP($A99,presupuesto!$B:$Q,16,FALSE)&gt;=VLOOKUP($A99,informe!$A:$J,9,FALSE),"cg","c"),"n")</f>
        <v>n</v>
      </c>
      <c r="AA99" s="195" t="str">
        <f>IF(AND(AA$3&gt;=$D99,AA$3&lt;=$E99),IF((AA$3-$D99+1)*VLOOKUP($A99,presupuesto!$B:$Q,16,FALSE)&gt;=VLOOKUP($A99,informe!$A:$J,9,FALSE),"cg","c"),"n")</f>
        <v>n</v>
      </c>
      <c r="AB99" s="195" t="str">
        <f>IF(AND(AB$3&gt;=$D99,AB$3&lt;=$E99),IF((AB$3-$D99+1)*VLOOKUP($A99,presupuesto!$B:$Q,16,FALSE)&gt;=VLOOKUP($A99,informe!$A:$J,9,FALSE),"cg","c"),"n")</f>
        <v>n</v>
      </c>
      <c r="AC99" s="195" t="str">
        <f>IF(AND(AC$3&gt;=$D99,AC$3&lt;=$E99),IF((AC$3-$D99+1)*VLOOKUP($A99,presupuesto!$B:$Q,16,FALSE)&gt;=VLOOKUP($A99,informe!$A:$J,9,FALSE),"cg","c"),"n")</f>
        <v>n</v>
      </c>
      <c r="AD99" s="195" t="str">
        <f>IF(AND(AD$3&gt;=$D99,AD$3&lt;=$E99),IF((AD$3-$D99+1)*VLOOKUP($A99,presupuesto!$B:$Q,16,FALSE)&gt;=VLOOKUP($A99,informe!$A:$J,9,FALSE),"cg","c"),"n")</f>
        <v>n</v>
      </c>
      <c r="AE99" s="195" t="str">
        <f>IF(AND(AE$3&gt;=$D99,AE$3&lt;=$E99),IF((AE$3-$D99+1)*VLOOKUP($A99,presupuesto!$B:$Q,16,FALSE)&gt;=VLOOKUP($A99,informe!$A:$J,9,FALSE),"cg","c"),"n")</f>
        <v>n</v>
      </c>
      <c r="AF99" s="195" t="str">
        <f>IF(AND(AF$3&gt;=$D99,AF$3&lt;=$E99),IF((AF$3-$D99+1)*VLOOKUP($A99,presupuesto!$B:$Q,16,FALSE)&gt;=VLOOKUP($A99,informe!$A:$J,9,FALSE),"cg","c"),"n")</f>
        <v>n</v>
      </c>
      <c r="AG99" s="195" t="str">
        <f>IF(AND(AG$3&gt;=$D99,AG$3&lt;=$E99),IF((AG$3-$D99+1)*VLOOKUP($A99,presupuesto!$B:$Q,16,FALSE)&gt;=VLOOKUP($A99,informe!$A:$J,9,FALSE),"cg","c"),"n")</f>
        <v>n</v>
      </c>
      <c r="AH99" s="195" t="str">
        <f>IF(AND(AH$3&gt;=$D99,AH$3&lt;=$E99),IF((AH$3-$D99+1)*VLOOKUP($A99,presupuesto!$B:$Q,16,FALSE)&gt;=VLOOKUP($A99,informe!$A:$J,9,FALSE),"cg","c"),"n")</f>
        <v>n</v>
      </c>
      <c r="AI99" s="195" t="str">
        <f>IF(AND(AI$3&gt;=$D99,AI$3&lt;=$E99),IF((AI$3-$D99+1)*VLOOKUP($A99,presupuesto!$B:$Q,16,FALSE)&gt;=VLOOKUP($A99,informe!$A:$J,9,FALSE),"cg","c"),"n")</f>
        <v>n</v>
      </c>
      <c r="AJ99" s="195" t="str">
        <f>IF(AND(AJ$3&gt;=$D99,AJ$3&lt;=$E99),IF((AJ$3-$D99+1)*VLOOKUP($A99,presupuesto!$B:$Q,16,FALSE)&gt;=VLOOKUP($A99,informe!$A:$J,9,FALSE),"cg","c"),"n")</f>
        <v>n</v>
      </c>
      <c r="AK99" s="196" t="str">
        <f>IF(AND(AK$3&gt;=$D99,AK$3&lt;=$E99),IF((AK$3-$D99+1)*VLOOKUP($A99,presupuesto!$B:$Q,16,FALSE)&gt;=VLOOKUP($A99,informe!$A:$J,9,FALSE),"cg","c"),"n")</f>
        <v>n</v>
      </c>
    </row>
    <row r="100" spans="1:37" s="1" customFormat="1" ht="14.25" customHeight="1" x14ac:dyDescent="0.3">
      <c r="A100" s="197" t="str">
        <f>presupuesto!B99</f>
        <v>D.1.-</v>
      </c>
      <c r="B100" s="181" t="str">
        <f>presupuesto!C99</f>
        <v xml:space="preserve">         Suministro, transporte, transporte interno, colocación y prueba de Tuberías de pvc</v>
      </c>
      <c r="C100" s="174" t="str">
        <f>presupuesto!G99</f>
        <v>2 días</v>
      </c>
      <c r="D100" s="177">
        <f>presupuesto!N99</f>
        <v>45801</v>
      </c>
      <c r="E100" s="177">
        <f>presupuesto!O99</f>
        <v>45802</v>
      </c>
      <c r="F100" s="194" t="str">
        <f>IF(AK100="n",CONCATENATE(" - "),IF(AK100="cg",CONCATENATE(" - "),CONCATENATE(ROUND(IFERROR(VLOOKUP(A100,informe!A:J,9,FALSE)/VLOOKUP(A100,informe!A:J,5,FALSE),0)*100,2),"% ")))</f>
        <v xml:space="preserve"> - </v>
      </c>
      <c r="G100" s="195" t="str">
        <f>IF(AND(G$3&gt;=$D100,G$3&lt;=$E100),IF((G$3-$D100+1)*VLOOKUP($A100,presupuesto!$B:$Q,16,FALSE)&gt;=VLOOKUP($A100,informe!$A:$J,9,FALSE),"cg","c"),"n")</f>
        <v>n</v>
      </c>
      <c r="H100" s="195" t="str">
        <f>IF(AND(H$3&gt;=$D100,H$3&lt;=$E100),IF((H$3-$D100+1)*VLOOKUP($A100,presupuesto!$B:$Q,16,FALSE)&gt;=VLOOKUP($A100,informe!$A:$J,9,FALSE),"cg","c"),"n")</f>
        <v>n</v>
      </c>
      <c r="I100" s="195" t="str">
        <f>IF(AND(I$3&gt;=$D100,I$3&lt;=$E100),IF((I$3-$D100+1)*VLOOKUP($A100,presupuesto!$B:$Q,16,FALSE)&gt;=VLOOKUP($A100,informe!$A:$J,9,FALSE),"cg","c"),"n")</f>
        <v>n</v>
      </c>
      <c r="J100" s="195" t="str">
        <f>IF(AND(J$3&gt;=$D100,J$3&lt;=$E100),IF((J$3-$D100+1)*VLOOKUP($A100,presupuesto!$B:$Q,16,FALSE)&gt;=VLOOKUP($A100,informe!$A:$J,9,FALSE),"cg","c"),"n")</f>
        <v>n</v>
      </c>
      <c r="K100" s="195" t="str">
        <f>IF(AND(K$3&gt;=$D100,K$3&lt;=$E100),IF((K$3-$D100+1)*VLOOKUP($A100,presupuesto!$B:$Q,16,FALSE)&gt;=VLOOKUP($A100,informe!$A:$J,9,FALSE),"cg","c"),"n")</f>
        <v>n</v>
      </c>
      <c r="L100" s="195" t="str">
        <f>IF(AND(L$3&gt;=$D100,L$3&lt;=$E100),IF((L$3-$D100+1)*VLOOKUP($A100,presupuesto!$B:$Q,16,FALSE)&gt;=VLOOKUP($A100,informe!$A:$J,9,FALSE),"cg","c"),"n")</f>
        <v>n</v>
      </c>
      <c r="M100" s="195" t="str">
        <f>IF(AND(M$3&gt;=$D100,M$3&lt;=$E100),IF((M$3-$D100+1)*VLOOKUP($A100,presupuesto!$B:$Q,16,FALSE)&gt;=VLOOKUP($A100,informe!$A:$J,9,FALSE),"cg","c"),"n")</f>
        <v>n</v>
      </c>
      <c r="N100" s="195" t="str">
        <f>IF(AND(N$3&gt;=$D100,N$3&lt;=$E100),IF((N$3-$D100+1)*VLOOKUP($A100,presupuesto!$B:$Q,16,FALSE)&gt;=VLOOKUP($A100,informe!$A:$J,9,FALSE),"cg","c"),"n")</f>
        <v>n</v>
      </c>
      <c r="O100" s="195" t="str">
        <f>IF(AND(O$3&gt;=$D100,O$3&lt;=$E100),IF((O$3-$D100+1)*VLOOKUP($A100,presupuesto!$B:$Q,16,FALSE)&gt;=VLOOKUP($A100,informe!$A:$J,9,FALSE),"cg","c"),"n")</f>
        <v>n</v>
      </c>
      <c r="P100" s="195" t="str">
        <f>IF(AND(P$3&gt;=$D100,P$3&lt;=$E100),IF((P$3-$D100+1)*VLOOKUP($A100,presupuesto!$B:$Q,16,FALSE)&gt;=VLOOKUP($A100,informe!$A:$J,9,FALSE),"cg","c"),"n")</f>
        <v>n</v>
      </c>
      <c r="Q100" s="195" t="str">
        <f>IF(AND(Q$3&gt;=$D100,Q$3&lt;=$E100),IF((Q$3-$D100+1)*VLOOKUP($A100,presupuesto!$B:$Q,16,FALSE)&gt;=VLOOKUP($A100,informe!$A:$J,9,FALSE),"cg","c"),"n")</f>
        <v>n</v>
      </c>
      <c r="R100" s="195" t="str">
        <f>IF(AND(R$3&gt;=$D100,R$3&lt;=$E100),IF((R$3-$D100+1)*VLOOKUP($A100,presupuesto!$B:$Q,16,FALSE)&gt;=VLOOKUP($A100,informe!$A:$J,9,FALSE),"cg","c"),"n")</f>
        <v>n</v>
      </c>
      <c r="S100" s="195" t="str">
        <f>IF(AND(S$3&gt;=$D100,S$3&lt;=$E100),IF((S$3-$D100+1)*VLOOKUP($A100,presupuesto!$B:$Q,16,FALSE)&gt;=VLOOKUP($A100,informe!$A:$J,9,FALSE),"cg","c"),"n")</f>
        <v>n</v>
      </c>
      <c r="T100" s="195" t="str">
        <f>IF(AND(T$3&gt;=$D100,T$3&lt;=$E100),IF((T$3-$D100+1)*VLOOKUP($A100,presupuesto!$B:$Q,16,FALSE)&gt;=VLOOKUP($A100,informe!$A:$J,9,FALSE),"cg","c"),"n")</f>
        <v>n</v>
      </c>
      <c r="U100" s="195" t="str">
        <f>IF(AND(U$3&gt;=$D100,U$3&lt;=$E100),IF((U$3-$D100+1)*VLOOKUP($A100,presupuesto!$B:$Q,16,FALSE)&gt;=VLOOKUP($A100,informe!$A:$J,9,FALSE),"cg","c"),"n")</f>
        <v>n</v>
      </c>
      <c r="V100" s="195" t="str">
        <f>IF(AND(V$3&gt;=$D100,V$3&lt;=$E100),IF((V$3-$D100+1)*VLOOKUP($A100,presupuesto!$B:$Q,16,FALSE)&gt;=VLOOKUP($A100,informe!$A:$J,9,FALSE),"cg","c"),"n")</f>
        <v>n</v>
      </c>
      <c r="W100" s="195" t="str">
        <f>IF(AND(W$3&gt;=$D100,W$3&lt;=$E100),IF((W$3-$D100+1)*VLOOKUP($A100,presupuesto!$B:$Q,16,FALSE)&gt;=VLOOKUP($A100,informe!$A:$J,9,FALSE),"cg","c"),"n")</f>
        <v>n</v>
      </c>
      <c r="X100" s="195" t="str">
        <f>IF(AND(X$3&gt;=$D100,X$3&lt;=$E100),IF((X$3-$D100+1)*VLOOKUP($A100,presupuesto!$B:$Q,16,FALSE)&gt;=VLOOKUP($A100,informe!$A:$J,9,FALSE),"cg","c"),"n")</f>
        <v>n</v>
      </c>
      <c r="Y100" s="195" t="str">
        <f>IF(AND(Y$3&gt;=$D100,Y$3&lt;=$E100),IF((Y$3-$D100+1)*VLOOKUP($A100,presupuesto!$B:$Q,16,FALSE)&gt;=VLOOKUP($A100,informe!$A:$J,9,FALSE),"cg","c"),"n")</f>
        <v>n</v>
      </c>
      <c r="Z100" s="195" t="str">
        <f>IF(AND(Z$3&gt;=$D100,Z$3&lt;=$E100),IF((Z$3-$D100+1)*VLOOKUP($A100,presupuesto!$B:$Q,16,FALSE)&gt;=VLOOKUP($A100,informe!$A:$J,9,FALSE),"cg","c"),"n")</f>
        <v>n</v>
      </c>
      <c r="AA100" s="195" t="str">
        <f>IF(AND(AA$3&gt;=$D100,AA$3&lt;=$E100),IF((AA$3-$D100+1)*VLOOKUP($A100,presupuesto!$B:$Q,16,FALSE)&gt;=VLOOKUP($A100,informe!$A:$J,9,FALSE),"cg","c"),"n")</f>
        <v>n</v>
      </c>
      <c r="AB100" s="195" t="str">
        <f>IF(AND(AB$3&gt;=$D100,AB$3&lt;=$E100),IF((AB$3-$D100+1)*VLOOKUP($A100,presupuesto!$B:$Q,16,FALSE)&gt;=VLOOKUP($A100,informe!$A:$J,9,FALSE),"cg","c"),"n")</f>
        <v>n</v>
      </c>
      <c r="AC100" s="195" t="str">
        <f>IF(AND(AC$3&gt;=$D100,AC$3&lt;=$E100),IF((AC$3-$D100+1)*VLOOKUP($A100,presupuesto!$B:$Q,16,FALSE)&gt;=VLOOKUP($A100,informe!$A:$J,9,FALSE),"cg","c"),"n")</f>
        <v>n</v>
      </c>
      <c r="AD100" s="195" t="str">
        <f>IF(AND(AD$3&gt;=$D100,AD$3&lt;=$E100),IF((AD$3-$D100+1)*VLOOKUP($A100,presupuesto!$B:$Q,16,FALSE)&gt;=VLOOKUP($A100,informe!$A:$J,9,FALSE),"cg","c"),"n")</f>
        <v>n</v>
      </c>
      <c r="AE100" s="195" t="str">
        <f>IF(AND(AE$3&gt;=$D100,AE$3&lt;=$E100),IF((AE$3-$D100+1)*VLOOKUP($A100,presupuesto!$B:$Q,16,FALSE)&gt;=VLOOKUP($A100,informe!$A:$J,9,FALSE),"cg","c"),"n")</f>
        <v>n</v>
      </c>
      <c r="AF100" s="195" t="str">
        <f>IF(AND(AF$3&gt;=$D100,AF$3&lt;=$E100),IF((AF$3-$D100+1)*VLOOKUP($A100,presupuesto!$B:$Q,16,FALSE)&gt;=VLOOKUP($A100,informe!$A:$J,9,FALSE),"cg","c"),"n")</f>
        <v>n</v>
      </c>
      <c r="AG100" s="195" t="str">
        <f>IF(AND(AG$3&gt;=$D100,AG$3&lt;=$E100),IF((AG$3-$D100+1)*VLOOKUP($A100,presupuesto!$B:$Q,16,FALSE)&gt;=VLOOKUP($A100,informe!$A:$J,9,FALSE),"cg","c"),"n")</f>
        <v>n</v>
      </c>
      <c r="AH100" s="195" t="str">
        <f>IF(AND(AH$3&gt;=$D100,AH$3&lt;=$E100),IF((AH$3-$D100+1)*VLOOKUP($A100,presupuesto!$B:$Q,16,FALSE)&gt;=VLOOKUP($A100,informe!$A:$J,9,FALSE),"cg","c"),"n")</f>
        <v>n</v>
      </c>
      <c r="AI100" s="195" t="str">
        <f>IF(AND(AI$3&gt;=$D100,AI$3&lt;=$E100),IF((AI$3-$D100+1)*VLOOKUP($A100,presupuesto!$B:$Q,16,FALSE)&gt;=VLOOKUP($A100,informe!$A:$J,9,FALSE),"cg","c"),"n")</f>
        <v>n</v>
      </c>
      <c r="AJ100" s="195" t="str">
        <f>IF(AND(AJ$3&gt;=$D100,AJ$3&lt;=$E100),IF((AJ$3-$D100+1)*VLOOKUP($A100,presupuesto!$B:$Q,16,FALSE)&gt;=VLOOKUP($A100,informe!$A:$J,9,FALSE),"cg","c"),"n")</f>
        <v>n</v>
      </c>
      <c r="AK100" s="196" t="str">
        <f>IF(AND(AK$3&gt;=$D100,AK$3&lt;=$E100),IF((AK$3-$D100+1)*VLOOKUP($A100,presupuesto!$B:$Q,16,FALSE)&gt;=VLOOKUP($A100,informe!$A:$J,9,FALSE),"cg","c"),"n")</f>
        <v>n</v>
      </c>
    </row>
    <row r="101" spans="1:37" s="1" customFormat="1" ht="14.25" customHeight="1" x14ac:dyDescent="0.25">
      <c r="A101" s="197">
        <f>presupuesto!B100</f>
        <v>64</v>
      </c>
      <c r="B101" s="182" t="str">
        <f>presupuesto!C100</f>
        <v xml:space="preserve">            Suministro, Transporte y Transporte Interno, colocación y prueba de tuberías PVC C-6 75 mm</v>
      </c>
      <c r="C101" s="174" t="str">
        <f>presupuesto!G100</f>
        <v>2 días</v>
      </c>
      <c r="D101" s="177">
        <f>presupuesto!N100</f>
        <v>45801</v>
      </c>
      <c r="E101" s="177">
        <f>presupuesto!O100</f>
        <v>45802</v>
      </c>
      <c r="F101" s="194" t="str">
        <f>IF(AK101="n",CONCATENATE(" - "),IF(AK101="cg",CONCATENATE(" - "),CONCATENATE(ROUND(IFERROR(VLOOKUP(A101,informe!A:J,9,FALSE)/VLOOKUP(A101,informe!A:J,5,FALSE),0)*100,2),"% ")))</f>
        <v xml:space="preserve"> - </v>
      </c>
      <c r="G101" s="195" t="str">
        <f>IF(AND(G$3&gt;=$D101,G$3&lt;=$E101),IF((G$3-$D101+1)*VLOOKUP($A101,presupuesto!$B:$Q,16,FALSE)&gt;=VLOOKUP($A101,informe!$A:$J,9,FALSE),"cg","c"),"n")</f>
        <v>n</v>
      </c>
      <c r="H101" s="195" t="str">
        <f>IF(AND(H$3&gt;=$D101,H$3&lt;=$E101),IF((H$3-$D101+1)*VLOOKUP($A101,presupuesto!$B:$Q,16,FALSE)&gt;=VLOOKUP($A101,informe!$A:$J,9,FALSE),"cg","c"),"n")</f>
        <v>n</v>
      </c>
      <c r="I101" s="195" t="str">
        <f>IF(AND(I$3&gt;=$D101,I$3&lt;=$E101),IF((I$3-$D101+1)*VLOOKUP($A101,presupuesto!$B:$Q,16,FALSE)&gt;=VLOOKUP($A101,informe!$A:$J,9,FALSE),"cg","c"),"n")</f>
        <v>n</v>
      </c>
      <c r="J101" s="195" t="str">
        <f>IF(AND(J$3&gt;=$D101,J$3&lt;=$E101),IF((J$3-$D101+1)*VLOOKUP($A101,presupuesto!$B:$Q,16,FALSE)&gt;=VLOOKUP($A101,informe!$A:$J,9,FALSE),"cg","c"),"n")</f>
        <v>n</v>
      </c>
      <c r="K101" s="195" t="str">
        <f>IF(AND(K$3&gt;=$D101,K$3&lt;=$E101),IF((K$3-$D101+1)*VLOOKUP($A101,presupuesto!$B:$Q,16,FALSE)&gt;=VLOOKUP($A101,informe!$A:$J,9,FALSE),"cg","c"),"n")</f>
        <v>n</v>
      </c>
      <c r="L101" s="195" t="str">
        <f>IF(AND(L$3&gt;=$D101,L$3&lt;=$E101),IF((L$3-$D101+1)*VLOOKUP($A101,presupuesto!$B:$Q,16,FALSE)&gt;=VLOOKUP($A101,informe!$A:$J,9,FALSE),"cg","c"),"n")</f>
        <v>n</v>
      </c>
      <c r="M101" s="195" t="str">
        <f>IF(AND(M$3&gt;=$D101,M$3&lt;=$E101),IF((M$3-$D101+1)*VLOOKUP($A101,presupuesto!$B:$Q,16,FALSE)&gt;=VLOOKUP($A101,informe!$A:$J,9,FALSE),"cg","c"),"n")</f>
        <v>n</v>
      </c>
      <c r="N101" s="195" t="str">
        <f>IF(AND(N$3&gt;=$D101,N$3&lt;=$E101),IF((N$3-$D101+1)*VLOOKUP($A101,presupuesto!$B:$Q,16,FALSE)&gt;=VLOOKUP($A101,informe!$A:$J,9,FALSE),"cg","c"),"n")</f>
        <v>n</v>
      </c>
      <c r="O101" s="195" t="str">
        <f>IF(AND(O$3&gt;=$D101,O$3&lt;=$E101),IF((O$3-$D101+1)*VLOOKUP($A101,presupuesto!$B:$Q,16,FALSE)&gt;=VLOOKUP($A101,informe!$A:$J,9,FALSE),"cg","c"),"n")</f>
        <v>n</v>
      </c>
      <c r="P101" s="195" t="str">
        <f>IF(AND(P$3&gt;=$D101,P$3&lt;=$E101),IF((P$3-$D101+1)*VLOOKUP($A101,presupuesto!$B:$Q,16,FALSE)&gt;=VLOOKUP($A101,informe!$A:$J,9,FALSE),"cg","c"),"n")</f>
        <v>n</v>
      </c>
      <c r="Q101" s="195" t="str">
        <f>IF(AND(Q$3&gt;=$D101,Q$3&lt;=$E101),IF((Q$3-$D101+1)*VLOOKUP($A101,presupuesto!$B:$Q,16,FALSE)&gt;=VLOOKUP($A101,informe!$A:$J,9,FALSE),"cg","c"),"n")</f>
        <v>n</v>
      </c>
      <c r="R101" s="195" t="str">
        <f>IF(AND(R$3&gt;=$D101,R$3&lt;=$E101),IF((R$3-$D101+1)*VLOOKUP($A101,presupuesto!$B:$Q,16,FALSE)&gt;=VLOOKUP($A101,informe!$A:$J,9,FALSE),"cg","c"),"n")</f>
        <v>n</v>
      </c>
      <c r="S101" s="195" t="str">
        <f>IF(AND(S$3&gt;=$D101,S$3&lt;=$E101),IF((S$3-$D101+1)*VLOOKUP($A101,presupuesto!$B:$Q,16,FALSE)&gt;=VLOOKUP($A101,informe!$A:$J,9,FALSE),"cg","c"),"n")</f>
        <v>n</v>
      </c>
      <c r="T101" s="195" t="str">
        <f>IF(AND(T$3&gt;=$D101,T$3&lt;=$E101),IF((T$3-$D101+1)*VLOOKUP($A101,presupuesto!$B:$Q,16,FALSE)&gt;=VLOOKUP($A101,informe!$A:$J,9,FALSE),"cg","c"),"n")</f>
        <v>n</v>
      </c>
      <c r="U101" s="195" t="str">
        <f>IF(AND(U$3&gt;=$D101,U$3&lt;=$E101),IF((U$3-$D101+1)*VLOOKUP($A101,presupuesto!$B:$Q,16,FALSE)&gt;=VLOOKUP($A101,informe!$A:$J,9,FALSE),"cg","c"),"n")</f>
        <v>n</v>
      </c>
      <c r="V101" s="195" t="str">
        <f>IF(AND(V$3&gt;=$D101,V$3&lt;=$E101),IF((V$3-$D101+1)*VLOOKUP($A101,presupuesto!$B:$Q,16,FALSE)&gt;=VLOOKUP($A101,informe!$A:$J,9,FALSE),"cg","c"),"n")</f>
        <v>n</v>
      </c>
      <c r="W101" s="195" t="str">
        <f>IF(AND(W$3&gt;=$D101,W$3&lt;=$E101),IF((W$3-$D101+1)*VLOOKUP($A101,presupuesto!$B:$Q,16,FALSE)&gt;=VLOOKUP($A101,informe!$A:$J,9,FALSE),"cg","c"),"n")</f>
        <v>n</v>
      </c>
      <c r="X101" s="195" t="str">
        <f>IF(AND(X$3&gt;=$D101,X$3&lt;=$E101),IF((X$3-$D101+1)*VLOOKUP($A101,presupuesto!$B:$Q,16,FALSE)&gt;=VLOOKUP($A101,informe!$A:$J,9,FALSE),"cg","c"),"n")</f>
        <v>n</v>
      </c>
      <c r="Y101" s="195" t="str">
        <f>IF(AND(Y$3&gt;=$D101,Y$3&lt;=$E101),IF((Y$3-$D101+1)*VLOOKUP($A101,presupuesto!$B:$Q,16,FALSE)&gt;=VLOOKUP($A101,informe!$A:$J,9,FALSE),"cg","c"),"n")</f>
        <v>n</v>
      </c>
      <c r="Z101" s="195" t="str">
        <f>IF(AND(Z$3&gt;=$D101,Z$3&lt;=$E101),IF((Z$3-$D101+1)*VLOOKUP($A101,presupuesto!$B:$Q,16,FALSE)&gt;=VLOOKUP($A101,informe!$A:$J,9,FALSE),"cg","c"),"n")</f>
        <v>n</v>
      </c>
      <c r="AA101" s="195" t="str">
        <f>IF(AND(AA$3&gt;=$D101,AA$3&lt;=$E101),IF((AA$3-$D101+1)*VLOOKUP($A101,presupuesto!$B:$Q,16,FALSE)&gt;=VLOOKUP($A101,informe!$A:$J,9,FALSE),"cg","c"),"n")</f>
        <v>n</v>
      </c>
      <c r="AB101" s="195" t="str">
        <f>IF(AND(AB$3&gt;=$D101,AB$3&lt;=$E101),IF((AB$3-$D101+1)*VLOOKUP($A101,presupuesto!$B:$Q,16,FALSE)&gt;=VLOOKUP($A101,informe!$A:$J,9,FALSE),"cg","c"),"n")</f>
        <v>n</v>
      </c>
      <c r="AC101" s="195" t="str">
        <f>IF(AND(AC$3&gt;=$D101,AC$3&lt;=$E101),IF((AC$3-$D101+1)*VLOOKUP($A101,presupuesto!$B:$Q,16,FALSE)&gt;=VLOOKUP($A101,informe!$A:$J,9,FALSE),"cg","c"),"n")</f>
        <v>n</v>
      </c>
      <c r="AD101" s="195" t="str">
        <f>IF(AND(AD$3&gt;=$D101,AD$3&lt;=$E101),IF((AD$3-$D101+1)*VLOOKUP($A101,presupuesto!$B:$Q,16,FALSE)&gt;=VLOOKUP($A101,informe!$A:$J,9,FALSE),"cg","c"),"n")</f>
        <v>n</v>
      </c>
      <c r="AE101" s="195" t="str">
        <f>IF(AND(AE$3&gt;=$D101,AE$3&lt;=$E101),IF((AE$3-$D101+1)*VLOOKUP($A101,presupuesto!$B:$Q,16,FALSE)&gt;=VLOOKUP($A101,informe!$A:$J,9,FALSE),"cg","c"),"n")</f>
        <v>n</v>
      </c>
      <c r="AF101" s="195" t="str">
        <f>IF(AND(AF$3&gt;=$D101,AF$3&lt;=$E101),IF((AF$3-$D101+1)*VLOOKUP($A101,presupuesto!$B:$Q,16,FALSE)&gt;=VLOOKUP($A101,informe!$A:$J,9,FALSE),"cg","c"),"n")</f>
        <v>n</v>
      </c>
      <c r="AG101" s="195" t="str">
        <f>IF(AND(AG$3&gt;=$D101,AG$3&lt;=$E101),IF((AG$3-$D101+1)*VLOOKUP($A101,presupuesto!$B:$Q,16,FALSE)&gt;=VLOOKUP($A101,informe!$A:$J,9,FALSE),"cg","c"),"n")</f>
        <v>n</v>
      </c>
      <c r="AH101" s="195" t="str">
        <f>IF(AND(AH$3&gt;=$D101,AH$3&lt;=$E101),IF((AH$3-$D101+1)*VLOOKUP($A101,presupuesto!$B:$Q,16,FALSE)&gt;=VLOOKUP($A101,informe!$A:$J,9,FALSE),"cg","c"),"n")</f>
        <v>n</v>
      </c>
      <c r="AI101" s="195" t="str">
        <f>IF(AND(AI$3&gt;=$D101,AI$3&lt;=$E101),IF((AI$3-$D101+1)*VLOOKUP($A101,presupuesto!$B:$Q,16,FALSE)&gt;=VLOOKUP($A101,informe!$A:$J,9,FALSE),"cg","c"),"n")</f>
        <v>n</v>
      </c>
      <c r="AJ101" s="195" t="str">
        <f>IF(AND(AJ$3&gt;=$D101,AJ$3&lt;=$E101),IF((AJ$3-$D101+1)*VLOOKUP($A101,presupuesto!$B:$Q,16,FALSE)&gt;=VLOOKUP($A101,informe!$A:$J,9,FALSE),"cg","c"),"n")</f>
        <v>n</v>
      </c>
      <c r="AK101" s="196" t="str">
        <f>IF(AND(AK$3&gt;=$D101,AK$3&lt;=$E101),IF((AK$3-$D101+1)*VLOOKUP($A101,presupuesto!$B:$Q,16,FALSE)&gt;=VLOOKUP($A101,informe!$A:$J,9,FALSE),"cg","c"),"n")</f>
        <v>n</v>
      </c>
    </row>
    <row r="102" spans="1:37" s="1" customFormat="1" ht="14.25" customHeight="1" x14ac:dyDescent="0.3">
      <c r="A102" s="197" t="str">
        <f>presupuesto!B101</f>
        <v>D.2.-</v>
      </c>
      <c r="B102" s="181" t="str">
        <f>presupuesto!C101</f>
        <v xml:space="preserve">         Suministro, transporte, transporte interno, colocación y prueba de Tuberías de Acero Galvanizado</v>
      </c>
      <c r="C102" s="174" t="str">
        <f>presupuesto!G101</f>
        <v>30 días</v>
      </c>
      <c r="D102" s="177">
        <f>presupuesto!N101</f>
        <v>45771</v>
      </c>
      <c r="E102" s="177">
        <f>presupuesto!O101</f>
        <v>45800</v>
      </c>
      <c r="F102" s="194" t="str">
        <f>IF(AK102="n",CONCATENATE(" - "),IF(AK102="cg",CONCATENATE(" - "),CONCATENATE(ROUND(IFERROR(VLOOKUP(A102,informe!A:J,9,FALSE)/VLOOKUP(A102,informe!A:J,5,FALSE),0)*100,2),"% ")))</f>
        <v xml:space="preserve"> - </v>
      </c>
      <c r="G102" s="195" t="str">
        <f>IF(AND(G$3&gt;=$D102,G$3&lt;=$E102),IF((G$3-$D102+1)*VLOOKUP($A102,presupuesto!$B:$Q,16,FALSE)&gt;=VLOOKUP($A102,informe!$A:$J,9,FALSE),"cg","c"),"n")</f>
        <v>n</v>
      </c>
      <c r="H102" s="195" t="str">
        <f>IF(AND(H$3&gt;=$D102,H$3&lt;=$E102),IF((H$3-$D102+1)*VLOOKUP($A102,presupuesto!$B:$Q,16,FALSE)&gt;=VLOOKUP($A102,informe!$A:$J,9,FALSE),"cg","c"),"n")</f>
        <v>n</v>
      </c>
      <c r="I102" s="195" t="str">
        <f>IF(AND(I$3&gt;=$D102,I$3&lt;=$E102),IF((I$3-$D102+1)*VLOOKUP($A102,presupuesto!$B:$Q,16,FALSE)&gt;=VLOOKUP($A102,informe!$A:$J,9,FALSE),"cg","c"),"n")</f>
        <v>n</v>
      </c>
      <c r="J102" s="195" t="str">
        <f>IF(AND(J$3&gt;=$D102,J$3&lt;=$E102),IF((J$3-$D102+1)*VLOOKUP($A102,presupuesto!$B:$Q,16,FALSE)&gt;=VLOOKUP($A102,informe!$A:$J,9,FALSE),"cg","c"),"n")</f>
        <v>n</v>
      </c>
      <c r="K102" s="195" t="str">
        <f>IF(AND(K$3&gt;=$D102,K$3&lt;=$E102),IF((K$3-$D102+1)*VLOOKUP($A102,presupuesto!$B:$Q,16,FALSE)&gt;=VLOOKUP($A102,informe!$A:$J,9,FALSE),"cg","c"),"n")</f>
        <v>n</v>
      </c>
      <c r="L102" s="195" t="str">
        <f>IF(AND(L$3&gt;=$D102,L$3&lt;=$E102),IF((L$3-$D102+1)*VLOOKUP($A102,presupuesto!$B:$Q,16,FALSE)&gt;=VLOOKUP($A102,informe!$A:$J,9,FALSE),"cg","c"),"n")</f>
        <v>n</v>
      </c>
      <c r="M102" s="195" t="str">
        <f>IF(AND(M$3&gt;=$D102,M$3&lt;=$E102),IF((M$3-$D102+1)*VLOOKUP($A102,presupuesto!$B:$Q,16,FALSE)&gt;=VLOOKUP($A102,informe!$A:$J,9,FALSE),"cg","c"),"n")</f>
        <v>n</v>
      </c>
      <c r="N102" s="195" t="str">
        <f>IF(AND(N$3&gt;=$D102,N$3&lt;=$E102),IF((N$3-$D102+1)*VLOOKUP($A102,presupuesto!$B:$Q,16,FALSE)&gt;=VLOOKUP($A102,informe!$A:$J,9,FALSE),"cg","c"),"n")</f>
        <v>n</v>
      </c>
      <c r="O102" s="195" t="str">
        <f>IF(AND(O$3&gt;=$D102,O$3&lt;=$E102),IF((O$3-$D102+1)*VLOOKUP($A102,presupuesto!$B:$Q,16,FALSE)&gt;=VLOOKUP($A102,informe!$A:$J,9,FALSE),"cg","c"),"n")</f>
        <v>n</v>
      </c>
      <c r="P102" s="195" t="str">
        <f>IF(AND(P$3&gt;=$D102,P$3&lt;=$E102),IF((P$3-$D102+1)*VLOOKUP($A102,presupuesto!$B:$Q,16,FALSE)&gt;=VLOOKUP($A102,informe!$A:$J,9,FALSE),"cg","c"),"n")</f>
        <v>n</v>
      </c>
      <c r="Q102" s="195" t="str">
        <f>IF(AND(Q$3&gt;=$D102,Q$3&lt;=$E102),IF((Q$3-$D102+1)*VLOOKUP($A102,presupuesto!$B:$Q,16,FALSE)&gt;=VLOOKUP($A102,informe!$A:$J,9,FALSE),"cg","c"),"n")</f>
        <v>n</v>
      </c>
      <c r="R102" s="195" t="str">
        <f>IF(AND(R$3&gt;=$D102,R$3&lt;=$E102),IF((R$3-$D102+1)*VLOOKUP($A102,presupuesto!$B:$Q,16,FALSE)&gt;=VLOOKUP($A102,informe!$A:$J,9,FALSE),"cg","c"),"n")</f>
        <v>n</v>
      </c>
      <c r="S102" s="195" t="str">
        <f>IF(AND(S$3&gt;=$D102,S$3&lt;=$E102),IF((S$3-$D102+1)*VLOOKUP($A102,presupuesto!$B:$Q,16,FALSE)&gt;=VLOOKUP($A102,informe!$A:$J,9,FALSE),"cg","c"),"n")</f>
        <v>n</v>
      </c>
      <c r="T102" s="195" t="str">
        <f>IF(AND(T$3&gt;=$D102,T$3&lt;=$E102),IF((T$3-$D102+1)*VLOOKUP($A102,presupuesto!$B:$Q,16,FALSE)&gt;=VLOOKUP($A102,informe!$A:$J,9,FALSE),"cg","c"),"n")</f>
        <v>n</v>
      </c>
      <c r="U102" s="195" t="str">
        <f>IF(AND(U$3&gt;=$D102,U$3&lt;=$E102),IF((U$3-$D102+1)*VLOOKUP($A102,presupuesto!$B:$Q,16,FALSE)&gt;=VLOOKUP($A102,informe!$A:$J,9,FALSE),"cg","c"),"n")</f>
        <v>n</v>
      </c>
      <c r="V102" s="195" t="str">
        <f>IF(AND(V$3&gt;=$D102,V$3&lt;=$E102),IF((V$3-$D102+1)*VLOOKUP($A102,presupuesto!$B:$Q,16,FALSE)&gt;=VLOOKUP($A102,informe!$A:$J,9,FALSE),"cg","c"),"n")</f>
        <v>n</v>
      </c>
      <c r="W102" s="195" t="str">
        <f>IF(AND(W$3&gt;=$D102,W$3&lt;=$E102),IF((W$3-$D102+1)*VLOOKUP($A102,presupuesto!$B:$Q,16,FALSE)&gt;=VLOOKUP($A102,informe!$A:$J,9,FALSE),"cg","c"),"n")</f>
        <v>n</v>
      </c>
      <c r="X102" s="195" t="str">
        <f>IF(AND(X$3&gt;=$D102,X$3&lt;=$E102),IF((X$3-$D102+1)*VLOOKUP($A102,presupuesto!$B:$Q,16,FALSE)&gt;=VLOOKUP($A102,informe!$A:$J,9,FALSE),"cg","c"),"n")</f>
        <v>n</v>
      </c>
      <c r="Y102" s="195" t="str">
        <f>IF(AND(Y$3&gt;=$D102,Y$3&lt;=$E102),IF((Y$3-$D102+1)*VLOOKUP($A102,presupuesto!$B:$Q,16,FALSE)&gt;=VLOOKUP($A102,informe!$A:$J,9,FALSE),"cg","c"),"n")</f>
        <v>n</v>
      </c>
      <c r="Z102" s="195" t="str">
        <f>IF(AND(Z$3&gt;=$D102,Z$3&lt;=$E102),IF((Z$3-$D102+1)*VLOOKUP($A102,presupuesto!$B:$Q,16,FALSE)&gt;=VLOOKUP($A102,informe!$A:$J,9,FALSE),"cg","c"),"n")</f>
        <v>n</v>
      </c>
      <c r="AA102" s="195" t="str">
        <f>IF(AND(AA$3&gt;=$D102,AA$3&lt;=$E102),IF((AA$3-$D102+1)*VLOOKUP($A102,presupuesto!$B:$Q,16,FALSE)&gt;=VLOOKUP($A102,informe!$A:$J,9,FALSE),"cg","c"),"n")</f>
        <v>n</v>
      </c>
      <c r="AB102" s="195" t="str">
        <f>IF(AND(AB$3&gt;=$D102,AB$3&lt;=$E102),IF((AB$3-$D102+1)*VLOOKUP($A102,presupuesto!$B:$Q,16,FALSE)&gt;=VLOOKUP($A102,informe!$A:$J,9,FALSE),"cg","c"),"n")</f>
        <v>n</v>
      </c>
      <c r="AC102" s="195" t="str">
        <f>IF(AND(AC$3&gt;=$D102,AC$3&lt;=$E102),IF((AC$3-$D102+1)*VLOOKUP($A102,presupuesto!$B:$Q,16,FALSE)&gt;=VLOOKUP($A102,informe!$A:$J,9,FALSE),"cg","c"),"n")</f>
        <v>n</v>
      </c>
      <c r="AD102" s="195" t="str">
        <f>IF(AND(AD$3&gt;=$D102,AD$3&lt;=$E102),IF((AD$3-$D102+1)*VLOOKUP($A102,presupuesto!$B:$Q,16,FALSE)&gt;=VLOOKUP($A102,informe!$A:$J,9,FALSE),"cg","c"),"n")</f>
        <v>n</v>
      </c>
      <c r="AE102" s="195" t="str">
        <f>IF(AND(AE$3&gt;=$D102,AE$3&lt;=$E102),IF((AE$3-$D102+1)*VLOOKUP($A102,presupuesto!$B:$Q,16,FALSE)&gt;=VLOOKUP($A102,informe!$A:$J,9,FALSE),"cg","c"),"n")</f>
        <v>n</v>
      </c>
      <c r="AF102" s="195" t="str">
        <f>IF(AND(AF$3&gt;=$D102,AF$3&lt;=$E102),IF((AF$3-$D102+1)*VLOOKUP($A102,presupuesto!$B:$Q,16,FALSE)&gt;=VLOOKUP($A102,informe!$A:$J,9,FALSE),"cg","c"),"n")</f>
        <v>n</v>
      </c>
      <c r="AG102" s="195" t="str">
        <f>IF(AND(AG$3&gt;=$D102,AG$3&lt;=$E102),IF((AG$3-$D102+1)*VLOOKUP($A102,presupuesto!$B:$Q,16,FALSE)&gt;=VLOOKUP($A102,informe!$A:$J,9,FALSE),"cg","c"),"n")</f>
        <v>n</v>
      </c>
      <c r="AH102" s="195" t="str">
        <f>IF(AND(AH$3&gt;=$D102,AH$3&lt;=$E102),IF((AH$3-$D102+1)*VLOOKUP($A102,presupuesto!$B:$Q,16,FALSE)&gt;=VLOOKUP($A102,informe!$A:$J,9,FALSE),"cg","c"),"n")</f>
        <v>n</v>
      </c>
      <c r="AI102" s="195" t="str">
        <f>IF(AND(AI$3&gt;=$D102,AI$3&lt;=$E102),IF((AI$3-$D102+1)*VLOOKUP($A102,presupuesto!$B:$Q,16,FALSE)&gt;=VLOOKUP($A102,informe!$A:$J,9,FALSE),"cg","c"),"n")</f>
        <v>n</v>
      </c>
      <c r="AJ102" s="195" t="str">
        <f>IF(AND(AJ$3&gt;=$D102,AJ$3&lt;=$E102),IF((AJ$3-$D102+1)*VLOOKUP($A102,presupuesto!$B:$Q,16,FALSE)&gt;=VLOOKUP($A102,informe!$A:$J,9,FALSE),"cg","c"),"n")</f>
        <v>n</v>
      </c>
      <c r="AK102" s="196" t="str">
        <f>IF(AND(AK$3&gt;=$D102,AK$3&lt;=$E102),IF((AK$3-$D102+1)*VLOOKUP($A102,presupuesto!$B:$Q,16,FALSE)&gt;=VLOOKUP($A102,informe!$A:$J,9,FALSE),"cg","c"),"n")</f>
        <v>n</v>
      </c>
    </row>
    <row r="103" spans="1:37" ht="14.25" customHeight="1" x14ac:dyDescent="0.25">
      <c r="A103" s="197">
        <f>presupuesto!B102</f>
        <v>65</v>
      </c>
      <c r="B103" s="182" t="str">
        <f>presupuesto!C102</f>
        <v xml:space="preserve">            Acero Galvanizado D=3”</v>
      </c>
      <c r="C103" s="174" t="str">
        <f>presupuesto!G102</f>
        <v>30 días</v>
      </c>
      <c r="D103" s="177">
        <f>presupuesto!N102</f>
        <v>45771</v>
      </c>
      <c r="E103" s="177">
        <f>presupuesto!O102</f>
        <v>45800</v>
      </c>
      <c r="F103" s="194" t="str">
        <f>IF(AK103="n",CONCATENATE(" - "),IF(AK103="cg",CONCATENATE(" - "),CONCATENATE(ROUND(IFERROR(VLOOKUP(A103,informe!A:J,9,FALSE)/VLOOKUP(A103,informe!A:J,5,FALSE),0)*100,2),"% ")))</f>
        <v xml:space="preserve"> - </v>
      </c>
      <c r="G103" s="195" t="str">
        <f>IF(AND(G$3&gt;=$D103,G$3&lt;=$E103),IF((G$3-$D103+1)*VLOOKUP($A103,presupuesto!$B:$Q,16,FALSE)&gt;=VLOOKUP($A103,informe!$A:$J,9,FALSE),"cg","c"),"n")</f>
        <v>n</v>
      </c>
      <c r="H103" s="195" t="str">
        <f>IF(AND(H$3&gt;=$D103,H$3&lt;=$E103),IF((H$3-$D103+1)*VLOOKUP($A103,presupuesto!$B:$Q,16,FALSE)&gt;=VLOOKUP($A103,informe!$A:$J,9,FALSE),"cg","c"),"n")</f>
        <v>n</v>
      </c>
      <c r="I103" s="195" t="str">
        <f>IF(AND(I$3&gt;=$D103,I$3&lt;=$E103),IF((I$3-$D103+1)*VLOOKUP($A103,presupuesto!$B:$Q,16,FALSE)&gt;=VLOOKUP($A103,informe!$A:$J,9,FALSE),"cg","c"),"n")</f>
        <v>n</v>
      </c>
      <c r="J103" s="195" t="str">
        <f>IF(AND(J$3&gt;=$D103,J$3&lt;=$E103),IF((J$3-$D103+1)*VLOOKUP($A103,presupuesto!$B:$Q,16,FALSE)&gt;=VLOOKUP($A103,informe!$A:$J,9,FALSE),"cg","c"),"n")</f>
        <v>n</v>
      </c>
      <c r="K103" s="195" t="str">
        <f>IF(AND(K$3&gt;=$D103,K$3&lt;=$E103),IF((K$3-$D103+1)*VLOOKUP($A103,presupuesto!$B:$Q,16,FALSE)&gt;=VLOOKUP($A103,informe!$A:$J,9,FALSE),"cg","c"),"n")</f>
        <v>n</v>
      </c>
      <c r="L103" s="195" t="str">
        <f>IF(AND(L$3&gt;=$D103,L$3&lt;=$E103),IF((L$3-$D103+1)*VLOOKUP($A103,presupuesto!$B:$Q,16,FALSE)&gt;=VLOOKUP($A103,informe!$A:$J,9,FALSE),"cg","c"),"n")</f>
        <v>n</v>
      </c>
      <c r="M103" s="195" t="str">
        <f>IF(AND(M$3&gt;=$D103,M$3&lt;=$E103),IF((M$3-$D103+1)*VLOOKUP($A103,presupuesto!$B:$Q,16,FALSE)&gt;=VLOOKUP($A103,informe!$A:$J,9,FALSE),"cg","c"),"n")</f>
        <v>n</v>
      </c>
      <c r="N103" s="195" t="str">
        <f>IF(AND(N$3&gt;=$D103,N$3&lt;=$E103),IF((N$3-$D103+1)*VLOOKUP($A103,presupuesto!$B:$Q,16,FALSE)&gt;=VLOOKUP($A103,informe!$A:$J,9,FALSE),"cg","c"),"n")</f>
        <v>n</v>
      </c>
      <c r="O103" s="195" t="str">
        <f>IF(AND(O$3&gt;=$D103,O$3&lt;=$E103),IF((O$3-$D103+1)*VLOOKUP($A103,presupuesto!$B:$Q,16,FALSE)&gt;=VLOOKUP($A103,informe!$A:$J,9,FALSE),"cg","c"),"n")</f>
        <v>n</v>
      </c>
      <c r="P103" s="195" t="str">
        <f>IF(AND(P$3&gt;=$D103,P$3&lt;=$E103),IF((P$3-$D103+1)*VLOOKUP($A103,presupuesto!$B:$Q,16,FALSE)&gt;=VLOOKUP($A103,informe!$A:$J,9,FALSE),"cg","c"),"n")</f>
        <v>n</v>
      </c>
      <c r="Q103" s="195" t="str">
        <f>IF(AND(Q$3&gt;=$D103,Q$3&lt;=$E103),IF((Q$3-$D103+1)*VLOOKUP($A103,presupuesto!$B:$Q,16,FALSE)&gt;=VLOOKUP($A103,informe!$A:$J,9,FALSE),"cg","c"),"n")</f>
        <v>n</v>
      </c>
      <c r="R103" s="195" t="str">
        <f>IF(AND(R$3&gt;=$D103,R$3&lt;=$E103),IF((R$3-$D103+1)*VLOOKUP($A103,presupuesto!$B:$Q,16,FALSE)&gt;=VLOOKUP($A103,informe!$A:$J,9,FALSE),"cg","c"),"n")</f>
        <v>n</v>
      </c>
      <c r="S103" s="195" t="str">
        <f>IF(AND(S$3&gt;=$D103,S$3&lt;=$E103),IF((S$3-$D103+1)*VLOOKUP($A103,presupuesto!$B:$Q,16,FALSE)&gt;=VLOOKUP($A103,informe!$A:$J,9,FALSE),"cg","c"),"n")</f>
        <v>n</v>
      </c>
      <c r="T103" s="195" t="str">
        <f>IF(AND(T$3&gt;=$D103,T$3&lt;=$E103),IF((T$3-$D103+1)*VLOOKUP($A103,presupuesto!$B:$Q,16,FALSE)&gt;=VLOOKUP($A103,informe!$A:$J,9,FALSE),"cg","c"),"n")</f>
        <v>n</v>
      </c>
      <c r="U103" s="195" t="str">
        <f>IF(AND(U$3&gt;=$D103,U$3&lt;=$E103),IF((U$3-$D103+1)*VLOOKUP($A103,presupuesto!$B:$Q,16,FALSE)&gt;=VLOOKUP($A103,informe!$A:$J,9,FALSE),"cg","c"),"n")</f>
        <v>n</v>
      </c>
      <c r="V103" s="195" t="str">
        <f>IF(AND(V$3&gt;=$D103,V$3&lt;=$E103),IF((V$3-$D103+1)*VLOOKUP($A103,presupuesto!$B:$Q,16,FALSE)&gt;=VLOOKUP($A103,informe!$A:$J,9,FALSE),"cg","c"),"n")</f>
        <v>n</v>
      </c>
      <c r="W103" s="195" t="str">
        <f>IF(AND(W$3&gt;=$D103,W$3&lt;=$E103),IF((W$3-$D103+1)*VLOOKUP($A103,presupuesto!$B:$Q,16,FALSE)&gt;=VLOOKUP($A103,informe!$A:$J,9,FALSE),"cg","c"),"n")</f>
        <v>n</v>
      </c>
      <c r="X103" s="195" t="str">
        <f>IF(AND(X$3&gt;=$D103,X$3&lt;=$E103),IF((X$3-$D103+1)*VLOOKUP($A103,presupuesto!$B:$Q,16,FALSE)&gt;=VLOOKUP($A103,informe!$A:$J,9,FALSE),"cg","c"),"n")</f>
        <v>n</v>
      </c>
      <c r="Y103" s="195" t="str">
        <f>IF(AND(Y$3&gt;=$D103,Y$3&lt;=$E103),IF((Y$3-$D103+1)*VLOOKUP($A103,presupuesto!$B:$Q,16,FALSE)&gt;=VLOOKUP($A103,informe!$A:$J,9,FALSE),"cg","c"),"n")</f>
        <v>n</v>
      </c>
      <c r="Z103" s="195" t="str">
        <f>IF(AND(Z$3&gt;=$D103,Z$3&lt;=$E103),IF((Z$3-$D103+1)*VLOOKUP($A103,presupuesto!$B:$Q,16,FALSE)&gt;=VLOOKUP($A103,informe!$A:$J,9,FALSE),"cg","c"),"n")</f>
        <v>n</v>
      </c>
      <c r="AA103" s="195" t="str">
        <f>IF(AND(AA$3&gt;=$D103,AA$3&lt;=$E103),IF((AA$3-$D103+1)*VLOOKUP($A103,presupuesto!$B:$Q,16,FALSE)&gt;=VLOOKUP($A103,informe!$A:$J,9,FALSE),"cg","c"),"n")</f>
        <v>n</v>
      </c>
      <c r="AB103" s="195" t="str">
        <f>IF(AND(AB$3&gt;=$D103,AB$3&lt;=$E103),IF((AB$3-$D103+1)*VLOOKUP($A103,presupuesto!$B:$Q,16,FALSE)&gt;=VLOOKUP($A103,informe!$A:$J,9,FALSE),"cg","c"),"n")</f>
        <v>n</v>
      </c>
      <c r="AC103" s="195" t="str">
        <f>IF(AND(AC$3&gt;=$D103,AC$3&lt;=$E103),IF((AC$3-$D103+1)*VLOOKUP($A103,presupuesto!$B:$Q,16,FALSE)&gt;=VLOOKUP($A103,informe!$A:$J,9,FALSE),"cg","c"),"n")</f>
        <v>n</v>
      </c>
      <c r="AD103" s="195" t="str">
        <f>IF(AND(AD$3&gt;=$D103,AD$3&lt;=$E103),IF((AD$3-$D103+1)*VLOOKUP($A103,presupuesto!$B:$Q,16,FALSE)&gt;=VLOOKUP($A103,informe!$A:$J,9,FALSE),"cg","c"),"n")</f>
        <v>n</v>
      </c>
      <c r="AE103" s="195" t="str">
        <f>IF(AND(AE$3&gt;=$D103,AE$3&lt;=$E103),IF((AE$3-$D103+1)*VLOOKUP($A103,presupuesto!$B:$Q,16,FALSE)&gt;=VLOOKUP($A103,informe!$A:$J,9,FALSE),"cg","c"),"n")</f>
        <v>n</v>
      </c>
      <c r="AF103" s="195" t="str">
        <f>IF(AND(AF$3&gt;=$D103,AF$3&lt;=$E103),IF((AF$3-$D103+1)*VLOOKUP($A103,presupuesto!$B:$Q,16,FALSE)&gt;=VLOOKUP($A103,informe!$A:$J,9,FALSE),"cg","c"),"n")</f>
        <v>n</v>
      </c>
      <c r="AG103" s="195" t="str">
        <f>IF(AND(AG$3&gt;=$D103,AG$3&lt;=$E103),IF((AG$3-$D103+1)*VLOOKUP($A103,presupuesto!$B:$Q,16,FALSE)&gt;=VLOOKUP($A103,informe!$A:$J,9,FALSE),"cg","c"),"n")</f>
        <v>n</v>
      </c>
      <c r="AH103" s="195" t="str">
        <f>IF(AND(AH$3&gt;=$D103,AH$3&lt;=$E103),IF((AH$3-$D103+1)*VLOOKUP($A103,presupuesto!$B:$Q,16,FALSE)&gt;=VLOOKUP($A103,informe!$A:$J,9,FALSE),"cg","c"),"n")</f>
        <v>n</v>
      </c>
      <c r="AI103" s="195" t="str">
        <f>IF(AND(AI$3&gt;=$D103,AI$3&lt;=$E103),IF((AI$3-$D103+1)*VLOOKUP($A103,presupuesto!$B:$Q,16,FALSE)&gt;=VLOOKUP($A103,informe!$A:$J,9,FALSE),"cg","c"),"n")</f>
        <v>n</v>
      </c>
      <c r="AJ103" s="195" t="str">
        <f>IF(AND(AJ$3&gt;=$D103,AJ$3&lt;=$E103),IF((AJ$3-$D103+1)*VLOOKUP($A103,presupuesto!$B:$Q,16,FALSE)&gt;=VLOOKUP($A103,informe!$A:$J,9,FALSE),"cg","c"),"n")</f>
        <v>n</v>
      </c>
      <c r="AK103" s="196" t="str">
        <f>IF(AND(AK$3&gt;=$D103,AK$3&lt;=$E103),IF((AK$3-$D103+1)*VLOOKUP($A103,presupuesto!$B:$Q,16,FALSE)&gt;=VLOOKUP($A103,informe!$A:$J,9,FALSE),"cg","c"),"n")</f>
        <v>n</v>
      </c>
    </row>
    <row r="104" spans="1:37" ht="14.25" customHeight="1" x14ac:dyDescent="0.3">
      <c r="A104" s="197" t="str">
        <f>presupuesto!B103</f>
        <v>D.3.-</v>
      </c>
      <c r="B104" s="181" t="str">
        <f>presupuesto!C103</f>
        <v xml:space="preserve">         Suministro, transporte, transporte interno, colocación y prueba de Piezas Especiales con/sin mecanismo</v>
      </c>
      <c r="C104" s="174" t="str">
        <f>presupuesto!G103</f>
        <v>30 días</v>
      </c>
      <c r="D104" s="177">
        <f>presupuesto!N103</f>
        <v>45771</v>
      </c>
      <c r="E104" s="177">
        <f>presupuesto!O103</f>
        <v>45800</v>
      </c>
      <c r="F104" s="194" t="str">
        <f>IF(AK104="n",CONCATENATE(" - "),IF(AK104="cg",CONCATENATE(" - "),CONCATENATE(ROUND(IFERROR(VLOOKUP(A104,informe!A:J,9,FALSE)/VLOOKUP(A104,informe!A:J,5,FALSE),0)*100,2),"% ")))</f>
        <v xml:space="preserve"> - </v>
      </c>
      <c r="G104" s="195" t="str">
        <f>IF(AND(G$3&gt;=$D104,G$3&lt;=$E104),IF((G$3-$D104+1)*VLOOKUP($A104,presupuesto!$B:$Q,16,FALSE)&gt;=VLOOKUP($A104,informe!$A:$J,9,FALSE),"cg","c"),"n")</f>
        <v>n</v>
      </c>
      <c r="H104" s="195" t="str">
        <f>IF(AND(H$3&gt;=$D104,H$3&lt;=$E104),IF((H$3-$D104+1)*VLOOKUP($A104,presupuesto!$B:$Q,16,FALSE)&gt;=VLOOKUP($A104,informe!$A:$J,9,FALSE),"cg","c"),"n")</f>
        <v>n</v>
      </c>
      <c r="I104" s="195" t="str">
        <f>IF(AND(I$3&gt;=$D104,I$3&lt;=$E104),IF((I$3-$D104+1)*VLOOKUP($A104,presupuesto!$B:$Q,16,FALSE)&gt;=VLOOKUP($A104,informe!$A:$J,9,FALSE),"cg","c"),"n")</f>
        <v>n</v>
      </c>
      <c r="J104" s="195" t="str">
        <f>IF(AND(J$3&gt;=$D104,J$3&lt;=$E104),IF((J$3-$D104+1)*VLOOKUP($A104,presupuesto!$B:$Q,16,FALSE)&gt;=VLOOKUP($A104,informe!$A:$J,9,FALSE),"cg","c"),"n")</f>
        <v>n</v>
      </c>
      <c r="K104" s="195" t="str">
        <f>IF(AND(K$3&gt;=$D104,K$3&lt;=$E104),IF((K$3-$D104+1)*VLOOKUP($A104,presupuesto!$B:$Q,16,FALSE)&gt;=VLOOKUP($A104,informe!$A:$J,9,FALSE),"cg","c"),"n")</f>
        <v>n</v>
      </c>
      <c r="L104" s="195" t="str">
        <f>IF(AND(L$3&gt;=$D104,L$3&lt;=$E104),IF((L$3-$D104+1)*VLOOKUP($A104,presupuesto!$B:$Q,16,FALSE)&gt;=VLOOKUP($A104,informe!$A:$J,9,FALSE),"cg","c"),"n")</f>
        <v>n</v>
      </c>
      <c r="M104" s="195" t="str">
        <f>IF(AND(M$3&gt;=$D104,M$3&lt;=$E104),IF((M$3-$D104+1)*VLOOKUP($A104,presupuesto!$B:$Q,16,FALSE)&gt;=VLOOKUP($A104,informe!$A:$J,9,FALSE),"cg","c"),"n")</f>
        <v>n</v>
      </c>
      <c r="N104" s="195" t="str">
        <f>IF(AND(N$3&gt;=$D104,N$3&lt;=$E104),IF((N$3-$D104+1)*VLOOKUP($A104,presupuesto!$B:$Q,16,FALSE)&gt;=VLOOKUP($A104,informe!$A:$J,9,FALSE),"cg","c"),"n")</f>
        <v>n</v>
      </c>
      <c r="O104" s="195" t="str">
        <f>IF(AND(O$3&gt;=$D104,O$3&lt;=$E104),IF((O$3-$D104+1)*VLOOKUP($A104,presupuesto!$B:$Q,16,FALSE)&gt;=VLOOKUP($A104,informe!$A:$J,9,FALSE),"cg","c"),"n")</f>
        <v>n</v>
      </c>
      <c r="P104" s="195" t="str">
        <f>IF(AND(P$3&gt;=$D104,P$3&lt;=$E104),IF((P$3-$D104+1)*VLOOKUP($A104,presupuesto!$B:$Q,16,FALSE)&gt;=VLOOKUP($A104,informe!$A:$J,9,FALSE),"cg","c"),"n")</f>
        <v>n</v>
      </c>
      <c r="Q104" s="195" t="str">
        <f>IF(AND(Q$3&gt;=$D104,Q$3&lt;=$E104),IF((Q$3-$D104+1)*VLOOKUP($A104,presupuesto!$B:$Q,16,FALSE)&gt;=VLOOKUP($A104,informe!$A:$J,9,FALSE),"cg","c"),"n")</f>
        <v>n</v>
      </c>
      <c r="R104" s="195" t="str">
        <f>IF(AND(R$3&gt;=$D104,R$3&lt;=$E104),IF((R$3-$D104+1)*VLOOKUP($A104,presupuesto!$B:$Q,16,FALSE)&gt;=VLOOKUP($A104,informe!$A:$J,9,FALSE),"cg","c"),"n")</f>
        <v>n</v>
      </c>
      <c r="S104" s="195" t="str">
        <f>IF(AND(S$3&gt;=$D104,S$3&lt;=$E104),IF((S$3-$D104+1)*VLOOKUP($A104,presupuesto!$B:$Q,16,FALSE)&gt;=VLOOKUP($A104,informe!$A:$J,9,FALSE),"cg","c"),"n")</f>
        <v>n</v>
      </c>
      <c r="T104" s="195" t="str">
        <f>IF(AND(T$3&gt;=$D104,T$3&lt;=$E104),IF((T$3-$D104+1)*VLOOKUP($A104,presupuesto!$B:$Q,16,FALSE)&gt;=VLOOKUP($A104,informe!$A:$J,9,FALSE),"cg","c"),"n")</f>
        <v>n</v>
      </c>
      <c r="U104" s="195" t="str">
        <f>IF(AND(U$3&gt;=$D104,U$3&lt;=$E104),IF((U$3-$D104+1)*VLOOKUP($A104,presupuesto!$B:$Q,16,FALSE)&gt;=VLOOKUP($A104,informe!$A:$J,9,FALSE),"cg","c"),"n")</f>
        <v>n</v>
      </c>
      <c r="V104" s="195" t="str">
        <f>IF(AND(V$3&gt;=$D104,V$3&lt;=$E104),IF((V$3-$D104+1)*VLOOKUP($A104,presupuesto!$B:$Q,16,FALSE)&gt;=VLOOKUP($A104,informe!$A:$J,9,FALSE),"cg","c"),"n")</f>
        <v>n</v>
      </c>
      <c r="W104" s="195" t="str">
        <f>IF(AND(W$3&gt;=$D104,W$3&lt;=$E104),IF((W$3-$D104+1)*VLOOKUP($A104,presupuesto!$B:$Q,16,FALSE)&gt;=VLOOKUP($A104,informe!$A:$J,9,FALSE),"cg","c"),"n")</f>
        <v>n</v>
      </c>
      <c r="X104" s="195" t="str">
        <f>IF(AND(X$3&gt;=$D104,X$3&lt;=$E104),IF((X$3-$D104+1)*VLOOKUP($A104,presupuesto!$B:$Q,16,FALSE)&gt;=VLOOKUP($A104,informe!$A:$J,9,FALSE),"cg","c"),"n")</f>
        <v>n</v>
      </c>
      <c r="Y104" s="195" t="str">
        <f>IF(AND(Y$3&gt;=$D104,Y$3&lt;=$E104),IF((Y$3-$D104+1)*VLOOKUP($A104,presupuesto!$B:$Q,16,FALSE)&gt;=VLOOKUP($A104,informe!$A:$J,9,FALSE),"cg","c"),"n")</f>
        <v>n</v>
      </c>
      <c r="Z104" s="195" t="str">
        <f>IF(AND(Z$3&gt;=$D104,Z$3&lt;=$E104),IF((Z$3-$D104+1)*VLOOKUP($A104,presupuesto!$B:$Q,16,FALSE)&gt;=VLOOKUP($A104,informe!$A:$J,9,FALSE),"cg","c"),"n")</f>
        <v>n</v>
      </c>
      <c r="AA104" s="195" t="str">
        <f>IF(AND(AA$3&gt;=$D104,AA$3&lt;=$E104),IF((AA$3-$D104+1)*VLOOKUP($A104,presupuesto!$B:$Q,16,FALSE)&gt;=VLOOKUP($A104,informe!$A:$J,9,FALSE),"cg","c"),"n")</f>
        <v>n</v>
      </c>
      <c r="AB104" s="195" t="str">
        <f>IF(AND(AB$3&gt;=$D104,AB$3&lt;=$E104),IF((AB$3-$D104+1)*VLOOKUP($A104,presupuesto!$B:$Q,16,FALSE)&gt;=VLOOKUP($A104,informe!$A:$J,9,FALSE),"cg","c"),"n")</f>
        <v>n</v>
      </c>
      <c r="AC104" s="195" t="str">
        <f>IF(AND(AC$3&gt;=$D104,AC$3&lt;=$E104),IF((AC$3-$D104+1)*VLOOKUP($A104,presupuesto!$B:$Q,16,FALSE)&gt;=VLOOKUP($A104,informe!$A:$J,9,FALSE),"cg","c"),"n")</f>
        <v>n</v>
      </c>
      <c r="AD104" s="195" t="str">
        <f>IF(AND(AD$3&gt;=$D104,AD$3&lt;=$E104),IF((AD$3-$D104+1)*VLOOKUP($A104,presupuesto!$B:$Q,16,FALSE)&gt;=VLOOKUP($A104,informe!$A:$J,9,FALSE),"cg","c"),"n")</f>
        <v>n</v>
      </c>
      <c r="AE104" s="195" t="str">
        <f>IF(AND(AE$3&gt;=$D104,AE$3&lt;=$E104),IF((AE$3-$D104+1)*VLOOKUP($A104,presupuesto!$B:$Q,16,FALSE)&gt;=VLOOKUP($A104,informe!$A:$J,9,FALSE),"cg","c"),"n")</f>
        <v>n</v>
      </c>
      <c r="AF104" s="195" t="str">
        <f>IF(AND(AF$3&gt;=$D104,AF$3&lt;=$E104),IF((AF$3-$D104+1)*VLOOKUP($A104,presupuesto!$B:$Q,16,FALSE)&gt;=VLOOKUP($A104,informe!$A:$J,9,FALSE),"cg","c"),"n")</f>
        <v>n</v>
      </c>
      <c r="AG104" s="195" t="str">
        <f>IF(AND(AG$3&gt;=$D104,AG$3&lt;=$E104),IF((AG$3-$D104+1)*VLOOKUP($A104,presupuesto!$B:$Q,16,FALSE)&gt;=VLOOKUP($A104,informe!$A:$J,9,FALSE),"cg","c"),"n")</f>
        <v>n</v>
      </c>
      <c r="AH104" s="195" t="str">
        <f>IF(AND(AH$3&gt;=$D104,AH$3&lt;=$E104),IF((AH$3-$D104+1)*VLOOKUP($A104,presupuesto!$B:$Q,16,FALSE)&gt;=VLOOKUP($A104,informe!$A:$J,9,FALSE),"cg","c"),"n")</f>
        <v>n</v>
      </c>
      <c r="AI104" s="195" t="str">
        <f>IF(AND(AI$3&gt;=$D104,AI$3&lt;=$E104),IF((AI$3-$D104+1)*VLOOKUP($A104,presupuesto!$B:$Q,16,FALSE)&gt;=VLOOKUP($A104,informe!$A:$J,9,FALSE),"cg","c"),"n")</f>
        <v>n</v>
      </c>
      <c r="AJ104" s="195" t="str">
        <f>IF(AND(AJ$3&gt;=$D104,AJ$3&lt;=$E104),IF((AJ$3-$D104+1)*VLOOKUP($A104,presupuesto!$B:$Q,16,FALSE)&gt;=VLOOKUP($A104,informe!$A:$J,9,FALSE),"cg","c"),"n")</f>
        <v>n</v>
      </c>
      <c r="AK104" s="196" t="str">
        <f>IF(AND(AK$3&gt;=$D104,AK$3&lt;=$E104),IF((AK$3-$D104+1)*VLOOKUP($A104,presupuesto!$B:$Q,16,FALSE)&gt;=VLOOKUP($A104,informe!$A:$J,9,FALSE),"cg","c"),"n")</f>
        <v>n</v>
      </c>
    </row>
    <row r="105" spans="1:37" ht="14.25" customHeight="1" x14ac:dyDescent="0.25">
      <c r="A105" s="193">
        <f>presupuesto!B104</f>
        <v>66</v>
      </c>
      <c r="B105" s="182" t="str">
        <f>presupuesto!C104</f>
        <v xml:space="preserve">            Piezas especiales de Fierro Fundido</v>
      </c>
      <c r="C105" s="173" t="str">
        <f>presupuesto!G104</f>
        <v>30 días</v>
      </c>
      <c r="D105" s="176">
        <f>presupuesto!N104</f>
        <v>45771</v>
      </c>
      <c r="E105" s="176">
        <f>presupuesto!O104</f>
        <v>45800</v>
      </c>
      <c r="F105" s="194" t="str">
        <f>IF(AK105="n",CONCATENATE(" - "),IF(AK105="cg",CONCATENATE(" - "),CONCATENATE(ROUND(IFERROR(VLOOKUP(A105,informe!A:J,9,FALSE)/VLOOKUP(A105,informe!A:J,5,FALSE),0)*100,2),"% ")))</f>
        <v xml:space="preserve"> - </v>
      </c>
      <c r="G105" s="195" t="str">
        <f>IF(AND(G$3&gt;=$D105,G$3&lt;=$E105),IF((G$3-$D105+1)*VLOOKUP($A105,presupuesto!$B:$Q,16,FALSE)&gt;=VLOOKUP($A105,informe!$A:$J,9,FALSE),"cg","c"),"n")</f>
        <v>n</v>
      </c>
      <c r="H105" s="195" t="str">
        <f>IF(AND(H$3&gt;=$D105,H$3&lt;=$E105),IF((H$3-$D105+1)*VLOOKUP($A105,presupuesto!$B:$Q,16,FALSE)&gt;=VLOOKUP($A105,informe!$A:$J,9,FALSE),"cg","c"),"n")</f>
        <v>n</v>
      </c>
      <c r="I105" s="195" t="str">
        <f>IF(AND(I$3&gt;=$D105,I$3&lt;=$E105),IF((I$3-$D105+1)*VLOOKUP($A105,presupuesto!$B:$Q,16,FALSE)&gt;=VLOOKUP($A105,informe!$A:$J,9,FALSE),"cg","c"),"n")</f>
        <v>n</v>
      </c>
      <c r="J105" s="195" t="str">
        <f>IF(AND(J$3&gt;=$D105,J$3&lt;=$E105),IF((J$3-$D105+1)*VLOOKUP($A105,presupuesto!$B:$Q,16,FALSE)&gt;=VLOOKUP($A105,informe!$A:$J,9,FALSE),"cg","c"),"n")</f>
        <v>n</v>
      </c>
      <c r="K105" s="195" t="str">
        <f>IF(AND(K$3&gt;=$D105,K$3&lt;=$E105),IF((K$3-$D105+1)*VLOOKUP($A105,presupuesto!$B:$Q,16,FALSE)&gt;=VLOOKUP($A105,informe!$A:$J,9,FALSE),"cg","c"),"n")</f>
        <v>n</v>
      </c>
      <c r="L105" s="195" t="str">
        <f>IF(AND(L$3&gt;=$D105,L$3&lt;=$E105),IF((L$3-$D105+1)*VLOOKUP($A105,presupuesto!$B:$Q,16,FALSE)&gt;=VLOOKUP($A105,informe!$A:$J,9,FALSE),"cg","c"),"n")</f>
        <v>n</v>
      </c>
      <c r="M105" s="195" t="str">
        <f>IF(AND(M$3&gt;=$D105,M$3&lt;=$E105),IF((M$3-$D105+1)*VLOOKUP($A105,presupuesto!$B:$Q,16,FALSE)&gt;=VLOOKUP($A105,informe!$A:$J,9,FALSE),"cg","c"),"n")</f>
        <v>n</v>
      </c>
      <c r="N105" s="195" t="str">
        <f>IF(AND(N$3&gt;=$D105,N$3&lt;=$E105),IF((N$3-$D105+1)*VLOOKUP($A105,presupuesto!$B:$Q,16,FALSE)&gt;=VLOOKUP($A105,informe!$A:$J,9,FALSE),"cg","c"),"n")</f>
        <v>n</v>
      </c>
      <c r="O105" s="195" t="str">
        <f>IF(AND(O$3&gt;=$D105,O$3&lt;=$E105),IF((O$3-$D105+1)*VLOOKUP($A105,presupuesto!$B:$Q,16,FALSE)&gt;=VLOOKUP($A105,informe!$A:$J,9,FALSE),"cg","c"),"n")</f>
        <v>n</v>
      </c>
      <c r="P105" s="195" t="str">
        <f>IF(AND(P$3&gt;=$D105,P$3&lt;=$E105),IF((P$3-$D105+1)*VLOOKUP($A105,presupuesto!$B:$Q,16,FALSE)&gt;=VLOOKUP($A105,informe!$A:$J,9,FALSE),"cg","c"),"n")</f>
        <v>n</v>
      </c>
      <c r="Q105" s="195" t="str">
        <f>IF(AND(Q$3&gt;=$D105,Q$3&lt;=$E105),IF((Q$3-$D105+1)*VLOOKUP($A105,presupuesto!$B:$Q,16,FALSE)&gt;=VLOOKUP($A105,informe!$A:$J,9,FALSE),"cg","c"),"n")</f>
        <v>n</v>
      </c>
      <c r="R105" s="195" t="str">
        <f>IF(AND(R$3&gt;=$D105,R$3&lt;=$E105),IF((R$3-$D105+1)*VLOOKUP($A105,presupuesto!$B:$Q,16,FALSE)&gt;=VLOOKUP($A105,informe!$A:$J,9,FALSE),"cg","c"),"n")</f>
        <v>n</v>
      </c>
      <c r="S105" s="195" t="str">
        <f>IF(AND(S$3&gt;=$D105,S$3&lt;=$E105),IF((S$3-$D105+1)*VLOOKUP($A105,presupuesto!$B:$Q,16,FALSE)&gt;=VLOOKUP($A105,informe!$A:$J,9,FALSE),"cg","c"),"n")</f>
        <v>n</v>
      </c>
      <c r="T105" s="195" t="str">
        <f>IF(AND(T$3&gt;=$D105,T$3&lt;=$E105),IF((T$3-$D105+1)*VLOOKUP($A105,presupuesto!$B:$Q,16,FALSE)&gt;=VLOOKUP($A105,informe!$A:$J,9,FALSE),"cg","c"),"n")</f>
        <v>n</v>
      </c>
      <c r="U105" s="195" t="str">
        <f>IF(AND(U$3&gt;=$D105,U$3&lt;=$E105),IF((U$3-$D105+1)*VLOOKUP($A105,presupuesto!$B:$Q,16,FALSE)&gt;=VLOOKUP($A105,informe!$A:$J,9,FALSE),"cg","c"),"n")</f>
        <v>n</v>
      </c>
      <c r="V105" s="195" t="str">
        <f>IF(AND(V$3&gt;=$D105,V$3&lt;=$E105),IF((V$3-$D105+1)*VLOOKUP($A105,presupuesto!$B:$Q,16,FALSE)&gt;=VLOOKUP($A105,informe!$A:$J,9,FALSE),"cg","c"),"n")</f>
        <v>n</v>
      </c>
      <c r="W105" s="195" t="str">
        <f>IF(AND(W$3&gt;=$D105,W$3&lt;=$E105),IF((W$3-$D105+1)*VLOOKUP($A105,presupuesto!$B:$Q,16,FALSE)&gt;=VLOOKUP($A105,informe!$A:$J,9,FALSE),"cg","c"),"n")</f>
        <v>n</v>
      </c>
      <c r="X105" s="195" t="str">
        <f>IF(AND(X$3&gt;=$D105,X$3&lt;=$E105),IF((X$3-$D105+1)*VLOOKUP($A105,presupuesto!$B:$Q,16,FALSE)&gt;=VLOOKUP($A105,informe!$A:$J,9,FALSE),"cg","c"),"n")</f>
        <v>n</v>
      </c>
      <c r="Y105" s="195" t="str">
        <f>IF(AND(Y$3&gt;=$D105,Y$3&lt;=$E105),IF((Y$3-$D105+1)*VLOOKUP($A105,presupuesto!$B:$Q,16,FALSE)&gt;=VLOOKUP($A105,informe!$A:$J,9,FALSE),"cg","c"),"n")</f>
        <v>n</v>
      </c>
      <c r="Z105" s="195" t="str">
        <f>IF(AND(Z$3&gt;=$D105,Z$3&lt;=$E105),IF((Z$3-$D105+1)*VLOOKUP($A105,presupuesto!$B:$Q,16,FALSE)&gt;=VLOOKUP($A105,informe!$A:$J,9,FALSE),"cg","c"),"n")</f>
        <v>n</v>
      </c>
      <c r="AA105" s="195" t="str">
        <f>IF(AND(AA$3&gt;=$D105,AA$3&lt;=$E105),IF((AA$3-$D105+1)*VLOOKUP($A105,presupuesto!$B:$Q,16,FALSE)&gt;=VLOOKUP($A105,informe!$A:$J,9,FALSE),"cg","c"),"n")</f>
        <v>n</v>
      </c>
      <c r="AB105" s="195" t="str">
        <f>IF(AND(AB$3&gt;=$D105,AB$3&lt;=$E105),IF((AB$3-$D105+1)*VLOOKUP($A105,presupuesto!$B:$Q,16,FALSE)&gt;=VLOOKUP($A105,informe!$A:$J,9,FALSE),"cg","c"),"n")</f>
        <v>n</v>
      </c>
      <c r="AC105" s="195" t="str">
        <f>IF(AND(AC$3&gt;=$D105,AC$3&lt;=$E105),IF((AC$3-$D105+1)*VLOOKUP($A105,presupuesto!$B:$Q,16,FALSE)&gt;=VLOOKUP($A105,informe!$A:$J,9,FALSE),"cg","c"),"n")</f>
        <v>n</v>
      </c>
      <c r="AD105" s="195" t="str">
        <f>IF(AND(AD$3&gt;=$D105,AD$3&lt;=$E105),IF((AD$3-$D105+1)*VLOOKUP($A105,presupuesto!$B:$Q,16,FALSE)&gt;=VLOOKUP($A105,informe!$A:$J,9,FALSE),"cg","c"),"n")</f>
        <v>n</v>
      </c>
      <c r="AE105" s="195" t="str">
        <f>IF(AND(AE$3&gt;=$D105,AE$3&lt;=$E105),IF((AE$3-$D105+1)*VLOOKUP($A105,presupuesto!$B:$Q,16,FALSE)&gt;=VLOOKUP($A105,informe!$A:$J,9,FALSE),"cg","c"),"n")</f>
        <v>n</v>
      </c>
      <c r="AF105" s="195" t="str">
        <f>IF(AND(AF$3&gt;=$D105,AF$3&lt;=$E105),IF((AF$3-$D105+1)*VLOOKUP($A105,presupuesto!$B:$Q,16,FALSE)&gt;=VLOOKUP($A105,informe!$A:$J,9,FALSE),"cg","c"),"n")</f>
        <v>n</v>
      </c>
      <c r="AG105" s="195" t="str">
        <f>IF(AND(AG$3&gt;=$D105,AG$3&lt;=$E105),IF((AG$3-$D105+1)*VLOOKUP($A105,presupuesto!$B:$Q,16,FALSE)&gt;=VLOOKUP($A105,informe!$A:$J,9,FALSE),"cg","c"),"n")</f>
        <v>n</v>
      </c>
      <c r="AH105" s="195" t="str">
        <f>IF(AND(AH$3&gt;=$D105,AH$3&lt;=$E105),IF((AH$3-$D105+1)*VLOOKUP($A105,presupuesto!$B:$Q,16,FALSE)&gt;=VLOOKUP($A105,informe!$A:$J,9,FALSE),"cg","c"),"n")</f>
        <v>n</v>
      </c>
      <c r="AI105" s="195" t="str">
        <f>IF(AND(AI$3&gt;=$D105,AI$3&lt;=$E105),IF((AI$3-$D105+1)*VLOOKUP($A105,presupuesto!$B:$Q,16,FALSE)&gt;=VLOOKUP($A105,informe!$A:$J,9,FALSE),"cg","c"),"n")</f>
        <v>n</v>
      </c>
      <c r="AJ105" s="195" t="str">
        <f>IF(AND(AJ$3&gt;=$D105,AJ$3&lt;=$E105),IF((AJ$3-$D105+1)*VLOOKUP($A105,presupuesto!$B:$Q,16,FALSE)&gt;=VLOOKUP($A105,informe!$A:$J,9,FALSE),"cg","c"),"n")</f>
        <v>n</v>
      </c>
      <c r="AK105" s="196" t="str">
        <f>IF(AND(AK$3&gt;=$D105,AK$3&lt;=$E105),IF((AK$3-$D105+1)*VLOOKUP($A105,presupuesto!$B:$Q,16,FALSE)&gt;=VLOOKUP($A105,informe!$A:$J,9,FALSE),"cg","c"),"n")</f>
        <v>n</v>
      </c>
    </row>
    <row r="106" spans="1:37" ht="14.25" customHeight="1" x14ac:dyDescent="0.25">
      <c r="A106" s="197">
        <f>presupuesto!B105</f>
        <v>67</v>
      </c>
      <c r="B106" s="182" t="str">
        <f>presupuesto!C105</f>
        <v xml:space="preserve">            Piezas especiales de Acero</v>
      </c>
      <c r="C106" s="174" t="str">
        <f>presupuesto!G105</f>
        <v>15 días</v>
      </c>
      <c r="D106" s="177">
        <f>presupuesto!N105</f>
        <v>45786</v>
      </c>
      <c r="E106" s="177">
        <f>presupuesto!O105</f>
        <v>45800</v>
      </c>
      <c r="F106" s="194" t="str">
        <f>IF(AK106="n",CONCATENATE(" - "),IF(AK106="cg",CONCATENATE(" - "),CONCATENATE(ROUND(IFERROR(VLOOKUP(A106,informe!A:J,9,FALSE)/VLOOKUP(A106,informe!A:J,5,FALSE),0)*100,2),"% ")))</f>
        <v xml:space="preserve"> - </v>
      </c>
      <c r="G106" s="195" t="str">
        <f>IF(AND(G$3&gt;=$D106,G$3&lt;=$E106),IF((G$3-$D106+1)*VLOOKUP($A106,presupuesto!$B:$Q,16,FALSE)&gt;=VLOOKUP($A106,informe!$A:$J,9,FALSE),"cg","c"),"n")</f>
        <v>n</v>
      </c>
      <c r="H106" s="195" t="str">
        <f>IF(AND(H$3&gt;=$D106,H$3&lt;=$E106),IF((H$3-$D106+1)*VLOOKUP($A106,presupuesto!$B:$Q,16,FALSE)&gt;=VLOOKUP($A106,informe!$A:$J,9,FALSE),"cg","c"),"n")</f>
        <v>n</v>
      </c>
      <c r="I106" s="195" t="str">
        <f>IF(AND(I$3&gt;=$D106,I$3&lt;=$E106),IF((I$3-$D106+1)*VLOOKUP($A106,presupuesto!$B:$Q,16,FALSE)&gt;=VLOOKUP($A106,informe!$A:$J,9,FALSE),"cg","c"),"n")</f>
        <v>n</v>
      </c>
      <c r="J106" s="195" t="str">
        <f>IF(AND(J$3&gt;=$D106,J$3&lt;=$E106),IF((J$3-$D106+1)*VLOOKUP($A106,presupuesto!$B:$Q,16,FALSE)&gt;=VLOOKUP($A106,informe!$A:$J,9,FALSE),"cg","c"),"n")</f>
        <v>n</v>
      </c>
      <c r="K106" s="195" t="str">
        <f>IF(AND(K$3&gt;=$D106,K$3&lt;=$E106),IF((K$3-$D106+1)*VLOOKUP($A106,presupuesto!$B:$Q,16,FALSE)&gt;=VLOOKUP($A106,informe!$A:$J,9,FALSE),"cg","c"),"n")</f>
        <v>n</v>
      </c>
      <c r="L106" s="195" t="str">
        <f>IF(AND(L$3&gt;=$D106,L$3&lt;=$E106),IF((L$3-$D106+1)*VLOOKUP($A106,presupuesto!$B:$Q,16,FALSE)&gt;=VLOOKUP($A106,informe!$A:$J,9,FALSE),"cg","c"),"n")</f>
        <v>n</v>
      </c>
      <c r="M106" s="195" t="str">
        <f>IF(AND(M$3&gt;=$D106,M$3&lt;=$E106),IF((M$3-$D106+1)*VLOOKUP($A106,presupuesto!$B:$Q,16,FALSE)&gt;=VLOOKUP($A106,informe!$A:$J,9,FALSE),"cg","c"),"n")</f>
        <v>n</v>
      </c>
      <c r="N106" s="195" t="str">
        <f>IF(AND(N$3&gt;=$D106,N$3&lt;=$E106),IF((N$3-$D106+1)*VLOOKUP($A106,presupuesto!$B:$Q,16,FALSE)&gt;=VLOOKUP($A106,informe!$A:$J,9,FALSE),"cg","c"),"n")</f>
        <v>n</v>
      </c>
      <c r="O106" s="195" t="str">
        <f>IF(AND(O$3&gt;=$D106,O$3&lt;=$E106),IF((O$3-$D106+1)*VLOOKUP($A106,presupuesto!$B:$Q,16,FALSE)&gt;=VLOOKUP($A106,informe!$A:$J,9,FALSE),"cg","c"),"n")</f>
        <v>n</v>
      </c>
      <c r="P106" s="195" t="str">
        <f>IF(AND(P$3&gt;=$D106,P$3&lt;=$E106),IF((P$3-$D106+1)*VLOOKUP($A106,presupuesto!$B:$Q,16,FALSE)&gt;=VLOOKUP($A106,informe!$A:$J,9,FALSE),"cg","c"),"n")</f>
        <v>n</v>
      </c>
      <c r="Q106" s="195" t="str">
        <f>IF(AND(Q$3&gt;=$D106,Q$3&lt;=$E106),IF((Q$3-$D106+1)*VLOOKUP($A106,presupuesto!$B:$Q,16,FALSE)&gt;=VLOOKUP($A106,informe!$A:$J,9,FALSE),"cg","c"),"n")</f>
        <v>n</v>
      </c>
      <c r="R106" s="195" t="str">
        <f>IF(AND(R$3&gt;=$D106,R$3&lt;=$E106),IF((R$3-$D106+1)*VLOOKUP($A106,presupuesto!$B:$Q,16,FALSE)&gt;=VLOOKUP($A106,informe!$A:$J,9,FALSE),"cg","c"),"n")</f>
        <v>n</v>
      </c>
      <c r="S106" s="195" t="str">
        <f>IF(AND(S$3&gt;=$D106,S$3&lt;=$E106),IF((S$3-$D106+1)*VLOOKUP($A106,presupuesto!$B:$Q,16,FALSE)&gt;=VLOOKUP($A106,informe!$A:$J,9,FALSE),"cg","c"),"n")</f>
        <v>n</v>
      </c>
      <c r="T106" s="195" t="str">
        <f>IF(AND(T$3&gt;=$D106,T$3&lt;=$E106),IF((T$3-$D106+1)*VLOOKUP($A106,presupuesto!$B:$Q,16,FALSE)&gt;=VLOOKUP($A106,informe!$A:$J,9,FALSE),"cg","c"),"n")</f>
        <v>n</v>
      </c>
      <c r="U106" s="195" t="str">
        <f>IF(AND(U$3&gt;=$D106,U$3&lt;=$E106),IF((U$3-$D106+1)*VLOOKUP($A106,presupuesto!$B:$Q,16,FALSE)&gt;=VLOOKUP($A106,informe!$A:$J,9,FALSE),"cg","c"),"n")</f>
        <v>n</v>
      </c>
      <c r="V106" s="195" t="str">
        <f>IF(AND(V$3&gt;=$D106,V$3&lt;=$E106),IF((V$3-$D106+1)*VLOOKUP($A106,presupuesto!$B:$Q,16,FALSE)&gt;=VLOOKUP($A106,informe!$A:$J,9,FALSE),"cg","c"),"n")</f>
        <v>n</v>
      </c>
      <c r="W106" s="195" t="str">
        <f>IF(AND(W$3&gt;=$D106,W$3&lt;=$E106),IF((W$3-$D106+1)*VLOOKUP($A106,presupuesto!$B:$Q,16,FALSE)&gt;=VLOOKUP($A106,informe!$A:$J,9,FALSE),"cg","c"),"n")</f>
        <v>n</v>
      </c>
      <c r="X106" s="195" t="str">
        <f>IF(AND(X$3&gt;=$D106,X$3&lt;=$E106),IF((X$3-$D106+1)*VLOOKUP($A106,presupuesto!$B:$Q,16,FALSE)&gt;=VLOOKUP($A106,informe!$A:$J,9,FALSE),"cg","c"),"n")</f>
        <v>n</v>
      </c>
      <c r="Y106" s="195" t="str">
        <f>IF(AND(Y$3&gt;=$D106,Y$3&lt;=$E106),IF((Y$3-$D106+1)*VLOOKUP($A106,presupuesto!$B:$Q,16,FALSE)&gt;=VLOOKUP($A106,informe!$A:$J,9,FALSE),"cg","c"),"n")</f>
        <v>n</v>
      </c>
      <c r="Z106" s="195" t="str">
        <f>IF(AND(Z$3&gt;=$D106,Z$3&lt;=$E106),IF((Z$3-$D106+1)*VLOOKUP($A106,presupuesto!$B:$Q,16,FALSE)&gt;=VLOOKUP($A106,informe!$A:$J,9,FALSE),"cg","c"),"n")</f>
        <v>n</v>
      </c>
      <c r="AA106" s="195" t="str">
        <f>IF(AND(AA$3&gt;=$D106,AA$3&lt;=$E106),IF((AA$3-$D106+1)*VLOOKUP($A106,presupuesto!$B:$Q,16,FALSE)&gt;=VLOOKUP($A106,informe!$A:$J,9,FALSE),"cg","c"),"n")</f>
        <v>n</v>
      </c>
      <c r="AB106" s="195" t="str">
        <f>IF(AND(AB$3&gt;=$D106,AB$3&lt;=$E106),IF((AB$3-$D106+1)*VLOOKUP($A106,presupuesto!$B:$Q,16,FALSE)&gt;=VLOOKUP($A106,informe!$A:$J,9,FALSE),"cg","c"),"n")</f>
        <v>n</v>
      </c>
      <c r="AC106" s="195" t="str">
        <f>IF(AND(AC$3&gt;=$D106,AC$3&lt;=$E106),IF((AC$3-$D106+1)*VLOOKUP($A106,presupuesto!$B:$Q,16,FALSE)&gt;=VLOOKUP($A106,informe!$A:$J,9,FALSE),"cg","c"),"n")</f>
        <v>n</v>
      </c>
      <c r="AD106" s="195" t="str">
        <f>IF(AND(AD$3&gt;=$D106,AD$3&lt;=$E106),IF((AD$3-$D106+1)*VLOOKUP($A106,presupuesto!$B:$Q,16,FALSE)&gt;=VLOOKUP($A106,informe!$A:$J,9,FALSE),"cg","c"),"n")</f>
        <v>n</v>
      </c>
      <c r="AE106" s="195" t="str">
        <f>IF(AND(AE$3&gt;=$D106,AE$3&lt;=$E106),IF((AE$3-$D106+1)*VLOOKUP($A106,presupuesto!$B:$Q,16,FALSE)&gt;=VLOOKUP($A106,informe!$A:$J,9,FALSE),"cg","c"),"n")</f>
        <v>n</v>
      </c>
      <c r="AF106" s="195" t="str">
        <f>IF(AND(AF$3&gt;=$D106,AF$3&lt;=$E106),IF((AF$3-$D106+1)*VLOOKUP($A106,presupuesto!$B:$Q,16,FALSE)&gt;=VLOOKUP($A106,informe!$A:$J,9,FALSE),"cg","c"),"n")</f>
        <v>n</v>
      </c>
      <c r="AG106" s="195" t="str">
        <f>IF(AND(AG$3&gt;=$D106,AG$3&lt;=$E106),IF((AG$3-$D106+1)*VLOOKUP($A106,presupuesto!$B:$Q,16,FALSE)&gt;=VLOOKUP($A106,informe!$A:$J,9,FALSE),"cg","c"),"n")</f>
        <v>n</v>
      </c>
      <c r="AH106" s="195" t="str">
        <f>IF(AND(AH$3&gt;=$D106,AH$3&lt;=$E106),IF((AH$3-$D106+1)*VLOOKUP($A106,presupuesto!$B:$Q,16,FALSE)&gt;=VLOOKUP($A106,informe!$A:$J,9,FALSE),"cg","c"),"n")</f>
        <v>n</v>
      </c>
      <c r="AI106" s="195" t="str">
        <f>IF(AND(AI$3&gt;=$D106,AI$3&lt;=$E106),IF((AI$3-$D106+1)*VLOOKUP($A106,presupuesto!$B:$Q,16,FALSE)&gt;=VLOOKUP($A106,informe!$A:$J,9,FALSE),"cg","c"),"n")</f>
        <v>n</v>
      </c>
      <c r="AJ106" s="195" t="str">
        <f>IF(AND(AJ$3&gt;=$D106,AJ$3&lt;=$E106),IF((AJ$3-$D106+1)*VLOOKUP($A106,presupuesto!$B:$Q,16,FALSE)&gt;=VLOOKUP($A106,informe!$A:$J,9,FALSE),"cg","c"),"n")</f>
        <v>n</v>
      </c>
      <c r="AK106" s="196" t="str">
        <f>IF(AND(AK$3&gt;=$D106,AK$3&lt;=$E106),IF((AK$3-$D106+1)*VLOOKUP($A106,presupuesto!$B:$Q,16,FALSE)&gt;=VLOOKUP($A106,informe!$A:$J,9,FALSE),"cg","c"),"n")</f>
        <v>n</v>
      </c>
    </row>
    <row r="107" spans="1:37" ht="14.25" customHeight="1" x14ac:dyDescent="0.25">
      <c r="A107" s="197">
        <f>presupuesto!B106</f>
        <v>68</v>
      </c>
      <c r="B107" s="182" t="str">
        <f>presupuesto!C106</f>
        <v xml:space="preserve">            Piezas especiales de Conduit</v>
      </c>
      <c r="C107" s="174" t="str">
        <f>presupuesto!G106</f>
        <v>2 días</v>
      </c>
      <c r="D107" s="177">
        <f>presupuesto!N106</f>
        <v>45799</v>
      </c>
      <c r="E107" s="177">
        <f>presupuesto!O106</f>
        <v>45800</v>
      </c>
      <c r="F107" s="194" t="str">
        <f>IF(AK107="n",CONCATENATE(" - "),IF(AK107="cg",CONCATENATE(" - "),CONCATENATE(ROUND(IFERROR(VLOOKUP(A107,informe!A:J,9,FALSE)/VLOOKUP(A107,informe!A:J,5,FALSE),0)*100,2),"% ")))</f>
        <v xml:space="preserve"> - </v>
      </c>
      <c r="G107" s="195" t="str">
        <f>IF(AND(G$3&gt;=$D107,G$3&lt;=$E107),IF((G$3-$D107+1)*VLOOKUP($A107,presupuesto!$B:$Q,16,FALSE)&gt;=VLOOKUP($A107,informe!$A:$J,9,FALSE),"cg","c"),"n")</f>
        <v>n</v>
      </c>
      <c r="H107" s="195" t="str">
        <f>IF(AND(H$3&gt;=$D107,H$3&lt;=$E107),IF((H$3-$D107+1)*VLOOKUP($A107,presupuesto!$B:$Q,16,FALSE)&gt;=VLOOKUP($A107,informe!$A:$J,9,FALSE),"cg","c"),"n")</f>
        <v>n</v>
      </c>
      <c r="I107" s="195" t="str">
        <f>IF(AND(I$3&gt;=$D107,I$3&lt;=$E107),IF((I$3-$D107+1)*VLOOKUP($A107,presupuesto!$B:$Q,16,FALSE)&gt;=VLOOKUP($A107,informe!$A:$J,9,FALSE),"cg","c"),"n")</f>
        <v>n</v>
      </c>
      <c r="J107" s="195" t="str">
        <f>IF(AND(J$3&gt;=$D107,J$3&lt;=$E107),IF((J$3-$D107+1)*VLOOKUP($A107,presupuesto!$B:$Q,16,FALSE)&gt;=VLOOKUP($A107,informe!$A:$J,9,FALSE),"cg","c"),"n")</f>
        <v>n</v>
      </c>
      <c r="K107" s="195" t="str">
        <f>IF(AND(K$3&gt;=$D107,K$3&lt;=$E107),IF((K$3-$D107+1)*VLOOKUP($A107,presupuesto!$B:$Q,16,FALSE)&gt;=VLOOKUP($A107,informe!$A:$J,9,FALSE),"cg","c"),"n")</f>
        <v>n</v>
      </c>
      <c r="L107" s="195" t="str">
        <f>IF(AND(L$3&gt;=$D107,L$3&lt;=$E107),IF((L$3-$D107+1)*VLOOKUP($A107,presupuesto!$B:$Q,16,FALSE)&gt;=VLOOKUP($A107,informe!$A:$J,9,FALSE),"cg","c"),"n")</f>
        <v>n</v>
      </c>
      <c r="M107" s="195" t="str">
        <f>IF(AND(M$3&gt;=$D107,M$3&lt;=$E107),IF((M$3-$D107+1)*VLOOKUP($A107,presupuesto!$B:$Q,16,FALSE)&gt;=VLOOKUP($A107,informe!$A:$J,9,FALSE),"cg","c"),"n")</f>
        <v>n</v>
      </c>
      <c r="N107" s="195" t="str">
        <f>IF(AND(N$3&gt;=$D107,N$3&lt;=$E107),IF((N$3-$D107+1)*VLOOKUP($A107,presupuesto!$B:$Q,16,FALSE)&gt;=VLOOKUP($A107,informe!$A:$J,9,FALSE),"cg","c"),"n")</f>
        <v>n</v>
      </c>
      <c r="O107" s="195" t="str">
        <f>IF(AND(O$3&gt;=$D107,O$3&lt;=$E107),IF((O$3-$D107+1)*VLOOKUP($A107,presupuesto!$B:$Q,16,FALSE)&gt;=VLOOKUP($A107,informe!$A:$J,9,FALSE),"cg","c"),"n")</f>
        <v>n</v>
      </c>
      <c r="P107" s="195" t="str">
        <f>IF(AND(P$3&gt;=$D107,P$3&lt;=$E107),IF((P$3-$D107+1)*VLOOKUP($A107,presupuesto!$B:$Q,16,FALSE)&gt;=VLOOKUP($A107,informe!$A:$J,9,FALSE),"cg","c"),"n")</f>
        <v>n</v>
      </c>
      <c r="Q107" s="195" t="str">
        <f>IF(AND(Q$3&gt;=$D107,Q$3&lt;=$E107),IF((Q$3-$D107+1)*VLOOKUP($A107,presupuesto!$B:$Q,16,FALSE)&gt;=VLOOKUP($A107,informe!$A:$J,9,FALSE),"cg","c"),"n")</f>
        <v>n</v>
      </c>
      <c r="R107" s="195" t="str">
        <f>IF(AND(R$3&gt;=$D107,R$3&lt;=$E107),IF((R$3-$D107+1)*VLOOKUP($A107,presupuesto!$B:$Q,16,FALSE)&gt;=VLOOKUP($A107,informe!$A:$J,9,FALSE),"cg","c"),"n")</f>
        <v>n</v>
      </c>
      <c r="S107" s="195" t="str">
        <f>IF(AND(S$3&gt;=$D107,S$3&lt;=$E107),IF((S$3-$D107+1)*VLOOKUP($A107,presupuesto!$B:$Q,16,FALSE)&gt;=VLOOKUP($A107,informe!$A:$J,9,FALSE),"cg","c"),"n")</f>
        <v>n</v>
      </c>
      <c r="T107" s="195" t="str">
        <f>IF(AND(T$3&gt;=$D107,T$3&lt;=$E107),IF((T$3-$D107+1)*VLOOKUP($A107,presupuesto!$B:$Q,16,FALSE)&gt;=VLOOKUP($A107,informe!$A:$J,9,FALSE),"cg","c"),"n")</f>
        <v>n</v>
      </c>
      <c r="U107" s="195" t="str">
        <f>IF(AND(U$3&gt;=$D107,U$3&lt;=$E107),IF((U$3-$D107+1)*VLOOKUP($A107,presupuesto!$B:$Q,16,FALSE)&gt;=VLOOKUP($A107,informe!$A:$J,9,FALSE),"cg","c"),"n")</f>
        <v>n</v>
      </c>
      <c r="V107" s="195" t="str">
        <f>IF(AND(V$3&gt;=$D107,V$3&lt;=$E107),IF((V$3-$D107+1)*VLOOKUP($A107,presupuesto!$B:$Q,16,FALSE)&gt;=VLOOKUP($A107,informe!$A:$J,9,FALSE),"cg","c"),"n")</f>
        <v>n</v>
      </c>
      <c r="W107" s="195" t="str">
        <f>IF(AND(W$3&gt;=$D107,W$3&lt;=$E107),IF((W$3-$D107+1)*VLOOKUP($A107,presupuesto!$B:$Q,16,FALSE)&gt;=VLOOKUP($A107,informe!$A:$J,9,FALSE),"cg","c"),"n")</f>
        <v>n</v>
      </c>
      <c r="X107" s="195" t="str">
        <f>IF(AND(X$3&gt;=$D107,X$3&lt;=$E107),IF((X$3-$D107+1)*VLOOKUP($A107,presupuesto!$B:$Q,16,FALSE)&gt;=VLOOKUP($A107,informe!$A:$J,9,FALSE),"cg","c"),"n")</f>
        <v>n</v>
      </c>
      <c r="Y107" s="195" t="str">
        <f>IF(AND(Y$3&gt;=$D107,Y$3&lt;=$E107),IF((Y$3-$D107+1)*VLOOKUP($A107,presupuesto!$B:$Q,16,FALSE)&gt;=VLOOKUP($A107,informe!$A:$J,9,FALSE),"cg","c"),"n")</f>
        <v>n</v>
      </c>
      <c r="Z107" s="195" t="str">
        <f>IF(AND(Z$3&gt;=$D107,Z$3&lt;=$E107),IF((Z$3-$D107+1)*VLOOKUP($A107,presupuesto!$B:$Q,16,FALSE)&gt;=VLOOKUP($A107,informe!$A:$J,9,FALSE),"cg","c"),"n")</f>
        <v>n</v>
      </c>
      <c r="AA107" s="195" t="str">
        <f>IF(AND(AA$3&gt;=$D107,AA$3&lt;=$E107),IF((AA$3-$D107+1)*VLOOKUP($A107,presupuesto!$B:$Q,16,FALSE)&gt;=VLOOKUP($A107,informe!$A:$J,9,FALSE),"cg","c"),"n")</f>
        <v>n</v>
      </c>
      <c r="AB107" s="195" t="str">
        <f>IF(AND(AB$3&gt;=$D107,AB$3&lt;=$E107),IF((AB$3-$D107+1)*VLOOKUP($A107,presupuesto!$B:$Q,16,FALSE)&gt;=VLOOKUP($A107,informe!$A:$J,9,FALSE),"cg","c"),"n")</f>
        <v>n</v>
      </c>
      <c r="AC107" s="195" t="str">
        <f>IF(AND(AC$3&gt;=$D107,AC$3&lt;=$E107),IF((AC$3-$D107+1)*VLOOKUP($A107,presupuesto!$B:$Q,16,FALSE)&gt;=VLOOKUP($A107,informe!$A:$J,9,FALSE),"cg","c"),"n")</f>
        <v>n</v>
      </c>
      <c r="AD107" s="195" t="str">
        <f>IF(AND(AD$3&gt;=$D107,AD$3&lt;=$E107),IF((AD$3-$D107+1)*VLOOKUP($A107,presupuesto!$B:$Q,16,FALSE)&gt;=VLOOKUP($A107,informe!$A:$J,9,FALSE),"cg","c"),"n")</f>
        <v>n</v>
      </c>
      <c r="AE107" s="195" t="str">
        <f>IF(AND(AE$3&gt;=$D107,AE$3&lt;=$E107),IF((AE$3-$D107+1)*VLOOKUP($A107,presupuesto!$B:$Q,16,FALSE)&gt;=VLOOKUP($A107,informe!$A:$J,9,FALSE),"cg","c"),"n")</f>
        <v>n</v>
      </c>
      <c r="AF107" s="195" t="str">
        <f>IF(AND(AF$3&gt;=$D107,AF$3&lt;=$E107),IF((AF$3-$D107+1)*VLOOKUP($A107,presupuesto!$B:$Q,16,FALSE)&gt;=VLOOKUP($A107,informe!$A:$J,9,FALSE),"cg","c"),"n")</f>
        <v>n</v>
      </c>
      <c r="AG107" s="195" t="str">
        <f>IF(AND(AG$3&gt;=$D107,AG$3&lt;=$E107),IF((AG$3-$D107+1)*VLOOKUP($A107,presupuesto!$B:$Q,16,FALSE)&gt;=VLOOKUP($A107,informe!$A:$J,9,FALSE),"cg","c"),"n")</f>
        <v>n</v>
      </c>
      <c r="AH107" s="195" t="str">
        <f>IF(AND(AH$3&gt;=$D107,AH$3&lt;=$E107),IF((AH$3-$D107+1)*VLOOKUP($A107,presupuesto!$B:$Q,16,FALSE)&gt;=VLOOKUP($A107,informe!$A:$J,9,FALSE),"cg","c"),"n")</f>
        <v>n</v>
      </c>
      <c r="AI107" s="195" t="str">
        <f>IF(AND(AI$3&gt;=$D107,AI$3&lt;=$E107),IF((AI$3-$D107+1)*VLOOKUP($A107,presupuesto!$B:$Q,16,FALSE)&gt;=VLOOKUP($A107,informe!$A:$J,9,FALSE),"cg","c"),"n")</f>
        <v>n</v>
      </c>
      <c r="AJ107" s="195" t="str">
        <f>IF(AND(AJ$3&gt;=$D107,AJ$3&lt;=$E107),IF((AJ$3-$D107+1)*VLOOKUP($A107,presupuesto!$B:$Q,16,FALSE)&gt;=VLOOKUP($A107,informe!$A:$J,9,FALSE),"cg","c"),"n")</f>
        <v>n</v>
      </c>
      <c r="AK107" s="196" t="str">
        <f>IF(AND(AK$3&gt;=$D107,AK$3&lt;=$E107),IF((AK$3-$D107+1)*VLOOKUP($A107,presupuesto!$B:$Q,16,FALSE)&gt;=VLOOKUP($A107,informe!$A:$J,9,FALSE),"cg","c"),"n")</f>
        <v>n</v>
      </c>
    </row>
    <row r="108" spans="1:37" ht="14.25" customHeight="1" x14ac:dyDescent="0.25">
      <c r="A108" s="193">
        <f>presupuesto!B107</f>
        <v>69</v>
      </c>
      <c r="B108" s="182" t="str">
        <f>presupuesto!C107</f>
        <v xml:space="preserve">            Piezas Especiales con mecanismo</v>
      </c>
      <c r="C108" s="173" t="str">
        <f>presupuesto!G107</f>
        <v>20 días</v>
      </c>
      <c r="D108" s="176">
        <f>presupuesto!N107</f>
        <v>45781</v>
      </c>
      <c r="E108" s="176">
        <f>presupuesto!O107</f>
        <v>45800</v>
      </c>
      <c r="F108" s="194" t="str">
        <f>IF(AK108="n",CONCATENATE(" - "),IF(AK108="cg",CONCATENATE(" - "),CONCATENATE(ROUND(IFERROR(VLOOKUP(A108,informe!A:J,9,FALSE)/VLOOKUP(A108,informe!A:J,5,FALSE),0)*100,2),"% ")))</f>
        <v xml:space="preserve"> - </v>
      </c>
      <c r="G108" s="195" t="str">
        <f>IF(AND(G$3&gt;=$D108,G$3&lt;=$E108),IF((G$3-$D108+1)*VLOOKUP($A108,presupuesto!$B:$Q,16,FALSE)&gt;=VLOOKUP($A108,informe!$A:$J,9,FALSE),"cg","c"),"n")</f>
        <v>n</v>
      </c>
      <c r="H108" s="195" t="str">
        <f>IF(AND(H$3&gt;=$D108,H$3&lt;=$E108),IF((H$3-$D108+1)*VLOOKUP($A108,presupuesto!$B:$Q,16,FALSE)&gt;=VLOOKUP($A108,informe!$A:$J,9,FALSE),"cg","c"),"n")</f>
        <v>n</v>
      </c>
      <c r="I108" s="195" t="str">
        <f>IF(AND(I$3&gt;=$D108,I$3&lt;=$E108),IF((I$3-$D108+1)*VLOOKUP($A108,presupuesto!$B:$Q,16,FALSE)&gt;=VLOOKUP($A108,informe!$A:$J,9,FALSE),"cg","c"),"n")</f>
        <v>n</v>
      </c>
      <c r="J108" s="195" t="str">
        <f>IF(AND(J$3&gt;=$D108,J$3&lt;=$E108),IF((J$3-$D108+1)*VLOOKUP($A108,presupuesto!$B:$Q,16,FALSE)&gt;=VLOOKUP($A108,informe!$A:$J,9,FALSE),"cg","c"),"n")</f>
        <v>n</v>
      </c>
      <c r="K108" s="195" t="str">
        <f>IF(AND(K$3&gt;=$D108,K$3&lt;=$E108),IF((K$3-$D108+1)*VLOOKUP($A108,presupuesto!$B:$Q,16,FALSE)&gt;=VLOOKUP($A108,informe!$A:$J,9,FALSE),"cg","c"),"n")</f>
        <v>n</v>
      </c>
      <c r="L108" s="195" t="str">
        <f>IF(AND(L$3&gt;=$D108,L$3&lt;=$E108),IF((L$3-$D108+1)*VLOOKUP($A108,presupuesto!$B:$Q,16,FALSE)&gt;=VLOOKUP($A108,informe!$A:$J,9,FALSE),"cg","c"),"n")</f>
        <v>n</v>
      </c>
      <c r="M108" s="195" t="str">
        <f>IF(AND(M$3&gt;=$D108,M$3&lt;=$E108),IF((M$3-$D108+1)*VLOOKUP($A108,presupuesto!$B:$Q,16,FALSE)&gt;=VLOOKUP($A108,informe!$A:$J,9,FALSE),"cg","c"),"n")</f>
        <v>n</v>
      </c>
      <c r="N108" s="195" t="str">
        <f>IF(AND(N$3&gt;=$D108,N$3&lt;=$E108),IF((N$3-$D108+1)*VLOOKUP($A108,presupuesto!$B:$Q,16,FALSE)&gt;=VLOOKUP($A108,informe!$A:$J,9,FALSE),"cg","c"),"n")</f>
        <v>n</v>
      </c>
      <c r="O108" s="195" t="str">
        <f>IF(AND(O$3&gt;=$D108,O$3&lt;=$E108),IF((O$3-$D108+1)*VLOOKUP($A108,presupuesto!$B:$Q,16,FALSE)&gt;=VLOOKUP($A108,informe!$A:$J,9,FALSE),"cg","c"),"n")</f>
        <v>n</v>
      </c>
      <c r="P108" s="195" t="str">
        <f>IF(AND(P$3&gt;=$D108,P$3&lt;=$E108),IF((P$3-$D108+1)*VLOOKUP($A108,presupuesto!$B:$Q,16,FALSE)&gt;=VLOOKUP($A108,informe!$A:$J,9,FALSE),"cg","c"),"n")</f>
        <v>n</v>
      </c>
      <c r="Q108" s="195" t="str">
        <f>IF(AND(Q$3&gt;=$D108,Q$3&lt;=$E108),IF((Q$3-$D108+1)*VLOOKUP($A108,presupuesto!$B:$Q,16,FALSE)&gt;=VLOOKUP($A108,informe!$A:$J,9,FALSE),"cg","c"),"n")</f>
        <v>n</v>
      </c>
      <c r="R108" s="195" t="str">
        <f>IF(AND(R$3&gt;=$D108,R$3&lt;=$E108),IF((R$3-$D108+1)*VLOOKUP($A108,presupuesto!$B:$Q,16,FALSE)&gt;=VLOOKUP($A108,informe!$A:$J,9,FALSE),"cg","c"),"n")</f>
        <v>n</v>
      </c>
      <c r="S108" s="195" t="str">
        <f>IF(AND(S$3&gt;=$D108,S$3&lt;=$E108),IF((S$3-$D108+1)*VLOOKUP($A108,presupuesto!$B:$Q,16,FALSE)&gt;=VLOOKUP($A108,informe!$A:$J,9,FALSE),"cg","c"),"n")</f>
        <v>n</v>
      </c>
      <c r="T108" s="195" t="str">
        <f>IF(AND(T$3&gt;=$D108,T$3&lt;=$E108),IF((T$3-$D108+1)*VLOOKUP($A108,presupuesto!$B:$Q,16,FALSE)&gt;=VLOOKUP($A108,informe!$A:$J,9,FALSE),"cg","c"),"n")</f>
        <v>n</v>
      </c>
      <c r="U108" s="195" t="str">
        <f>IF(AND(U$3&gt;=$D108,U$3&lt;=$E108),IF((U$3-$D108+1)*VLOOKUP($A108,presupuesto!$B:$Q,16,FALSE)&gt;=VLOOKUP($A108,informe!$A:$J,9,FALSE),"cg","c"),"n")</f>
        <v>n</v>
      </c>
      <c r="V108" s="195" t="str">
        <f>IF(AND(V$3&gt;=$D108,V$3&lt;=$E108),IF((V$3-$D108+1)*VLOOKUP($A108,presupuesto!$B:$Q,16,FALSE)&gt;=VLOOKUP($A108,informe!$A:$J,9,FALSE),"cg","c"),"n")</f>
        <v>n</v>
      </c>
      <c r="W108" s="195" t="str">
        <f>IF(AND(W$3&gt;=$D108,W$3&lt;=$E108),IF((W$3-$D108+1)*VLOOKUP($A108,presupuesto!$B:$Q,16,FALSE)&gt;=VLOOKUP($A108,informe!$A:$J,9,FALSE),"cg","c"),"n")</f>
        <v>n</v>
      </c>
      <c r="X108" s="195" t="str">
        <f>IF(AND(X$3&gt;=$D108,X$3&lt;=$E108),IF((X$3-$D108+1)*VLOOKUP($A108,presupuesto!$B:$Q,16,FALSE)&gt;=VLOOKUP($A108,informe!$A:$J,9,FALSE),"cg","c"),"n")</f>
        <v>n</v>
      </c>
      <c r="Y108" s="195" t="str">
        <f>IF(AND(Y$3&gt;=$D108,Y$3&lt;=$E108),IF((Y$3-$D108+1)*VLOOKUP($A108,presupuesto!$B:$Q,16,FALSE)&gt;=VLOOKUP($A108,informe!$A:$J,9,FALSE),"cg","c"),"n")</f>
        <v>n</v>
      </c>
      <c r="Z108" s="195" t="str">
        <f>IF(AND(Z$3&gt;=$D108,Z$3&lt;=$E108),IF((Z$3-$D108+1)*VLOOKUP($A108,presupuesto!$B:$Q,16,FALSE)&gt;=VLOOKUP($A108,informe!$A:$J,9,FALSE),"cg","c"),"n")</f>
        <v>n</v>
      </c>
      <c r="AA108" s="195" t="str">
        <f>IF(AND(AA$3&gt;=$D108,AA$3&lt;=$E108),IF((AA$3-$D108+1)*VLOOKUP($A108,presupuesto!$B:$Q,16,FALSE)&gt;=VLOOKUP($A108,informe!$A:$J,9,FALSE),"cg","c"),"n")</f>
        <v>n</v>
      </c>
      <c r="AB108" s="195" t="str">
        <f>IF(AND(AB$3&gt;=$D108,AB$3&lt;=$E108),IF((AB$3-$D108+1)*VLOOKUP($A108,presupuesto!$B:$Q,16,FALSE)&gt;=VLOOKUP($A108,informe!$A:$J,9,FALSE),"cg","c"),"n")</f>
        <v>n</v>
      </c>
      <c r="AC108" s="195" t="str">
        <f>IF(AND(AC$3&gt;=$D108,AC$3&lt;=$E108),IF((AC$3-$D108+1)*VLOOKUP($A108,presupuesto!$B:$Q,16,FALSE)&gt;=VLOOKUP($A108,informe!$A:$J,9,FALSE),"cg","c"),"n")</f>
        <v>n</v>
      </c>
      <c r="AD108" s="195" t="str">
        <f>IF(AND(AD$3&gt;=$D108,AD$3&lt;=$E108),IF((AD$3-$D108+1)*VLOOKUP($A108,presupuesto!$B:$Q,16,FALSE)&gt;=VLOOKUP($A108,informe!$A:$J,9,FALSE),"cg","c"),"n")</f>
        <v>n</v>
      </c>
      <c r="AE108" s="195" t="str">
        <f>IF(AND(AE$3&gt;=$D108,AE$3&lt;=$E108),IF((AE$3-$D108+1)*VLOOKUP($A108,presupuesto!$B:$Q,16,FALSE)&gt;=VLOOKUP($A108,informe!$A:$J,9,FALSE),"cg","c"),"n")</f>
        <v>n</v>
      </c>
      <c r="AF108" s="195" t="str">
        <f>IF(AND(AF$3&gt;=$D108,AF$3&lt;=$E108),IF((AF$3-$D108+1)*VLOOKUP($A108,presupuesto!$B:$Q,16,FALSE)&gt;=VLOOKUP($A108,informe!$A:$J,9,FALSE),"cg","c"),"n")</f>
        <v>n</v>
      </c>
      <c r="AG108" s="195" t="str">
        <f>IF(AND(AG$3&gt;=$D108,AG$3&lt;=$E108),IF((AG$3-$D108+1)*VLOOKUP($A108,presupuesto!$B:$Q,16,FALSE)&gt;=VLOOKUP($A108,informe!$A:$J,9,FALSE),"cg","c"),"n")</f>
        <v>n</v>
      </c>
      <c r="AH108" s="195" t="str">
        <f>IF(AND(AH$3&gt;=$D108,AH$3&lt;=$E108),IF((AH$3-$D108+1)*VLOOKUP($A108,presupuesto!$B:$Q,16,FALSE)&gt;=VLOOKUP($A108,informe!$A:$J,9,FALSE),"cg","c"),"n")</f>
        <v>n</v>
      </c>
      <c r="AI108" s="195" t="str">
        <f>IF(AND(AI$3&gt;=$D108,AI$3&lt;=$E108),IF((AI$3-$D108+1)*VLOOKUP($A108,presupuesto!$B:$Q,16,FALSE)&gt;=VLOOKUP($A108,informe!$A:$J,9,FALSE),"cg","c"),"n")</f>
        <v>n</v>
      </c>
      <c r="AJ108" s="195" t="str">
        <f>IF(AND(AJ$3&gt;=$D108,AJ$3&lt;=$E108),IF((AJ$3-$D108+1)*VLOOKUP($A108,presupuesto!$B:$Q,16,FALSE)&gt;=VLOOKUP($A108,informe!$A:$J,9,FALSE),"cg","c"),"n")</f>
        <v>n</v>
      </c>
      <c r="AK108" s="196" t="str">
        <f>IF(AND(AK$3&gt;=$D108,AK$3&lt;=$E108),IF((AK$3-$D108+1)*VLOOKUP($A108,presupuesto!$B:$Q,16,FALSE)&gt;=VLOOKUP($A108,informe!$A:$J,9,FALSE),"cg","c"),"n")</f>
        <v>n</v>
      </c>
    </row>
    <row r="109" spans="1:37" ht="14.25" customHeight="1" x14ac:dyDescent="0.25">
      <c r="A109" s="197">
        <f>presupuesto!B108</f>
        <v>70</v>
      </c>
      <c r="B109" s="182" t="str">
        <f>presupuesto!C108</f>
        <v xml:space="preserve">            Macromedidor con camara de protección</v>
      </c>
      <c r="C109" s="174" t="str">
        <f>presupuesto!G108</f>
        <v>20 días</v>
      </c>
      <c r="D109" s="177">
        <f>presupuesto!N108</f>
        <v>45781</v>
      </c>
      <c r="E109" s="177">
        <f>presupuesto!O108</f>
        <v>45800</v>
      </c>
      <c r="F109" s="194" t="str">
        <f>IF(AK109="n",CONCATENATE(" - "),IF(AK109="cg",CONCATENATE(" - "),CONCATENATE(ROUND(IFERROR(VLOOKUP(A109,informe!A:J,9,FALSE)/VLOOKUP(A109,informe!A:J,5,FALSE),0)*100,2),"% ")))</f>
        <v xml:space="preserve"> - </v>
      </c>
      <c r="G109" s="195" t="str">
        <f>IF(AND(G$3&gt;=$D109,G$3&lt;=$E109),IF((G$3-$D109+1)*VLOOKUP($A109,presupuesto!$B:$Q,16,FALSE)&gt;=VLOOKUP($A109,informe!$A:$J,9,FALSE),"cg","c"),"n")</f>
        <v>n</v>
      </c>
      <c r="H109" s="195" t="str">
        <f>IF(AND(H$3&gt;=$D109,H$3&lt;=$E109),IF((H$3-$D109+1)*VLOOKUP($A109,presupuesto!$B:$Q,16,FALSE)&gt;=VLOOKUP($A109,informe!$A:$J,9,FALSE),"cg","c"),"n")</f>
        <v>n</v>
      </c>
      <c r="I109" s="195" t="str">
        <f>IF(AND(I$3&gt;=$D109,I$3&lt;=$E109),IF((I$3-$D109+1)*VLOOKUP($A109,presupuesto!$B:$Q,16,FALSE)&gt;=VLOOKUP($A109,informe!$A:$J,9,FALSE),"cg","c"),"n")</f>
        <v>n</v>
      </c>
      <c r="J109" s="195" t="str">
        <f>IF(AND(J$3&gt;=$D109,J$3&lt;=$E109),IF((J$3-$D109+1)*VLOOKUP($A109,presupuesto!$B:$Q,16,FALSE)&gt;=VLOOKUP($A109,informe!$A:$J,9,FALSE),"cg","c"),"n")</f>
        <v>n</v>
      </c>
      <c r="K109" s="195" t="str">
        <f>IF(AND(K$3&gt;=$D109,K$3&lt;=$E109),IF((K$3-$D109+1)*VLOOKUP($A109,presupuesto!$B:$Q,16,FALSE)&gt;=VLOOKUP($A109,informe!$A:$J,9,FALSE),"cg","c"),"n")</f>
        <v>n</v>
      </c>
      <c r="L109" s="195" t="str">
        <f>IF(AND(L$3&gt;=$D109,L$3&lt;=$E109),IF((L$3-$D109+1)*VLOOKUP($A109,presupuesto!$B:$Q,16,FALSE)&gt;=VLOOKUP($A109,informe!$A:$J,9,FALSE),"cg","c"),"n")</f>
        <v>n</v>
      </c>
      <c r="M109" s="195" t="str">
        <f>IF(AND(M$3&gt;=$D109,M$3&lt;=$E109),IF((M$3-$D109+1)*VLOOKUP($A109,presupuesto!$B:$Q,16,FALSE)&gt;=VLOOKUP($A109,informe!$A:$J,9,FALSE),"cg","c"),"n")</f>
        <v>n</v>
      </c>
      <c r="N109" s="195" t="str">
        <f>IF(AND(N$3&gt;=$D109,N$3&lt;=$E109),IF((N$3-$D109+1)*VLOOKUP($A109,presupuesto!$B:$Q,16,FALSE)&gt;=VLOOKUP($A109,informe!$A:$J,9,FALSE),"cg","c"),"n")</f>
        <v>n</v>
      </c>
      <c r="O109" s="195" t="str">
        <f>IF(AND(O$3&gt;=$D109,O$3&lt;=$E109),IF((O$3-$D109+1)*VLOOKUP($A109,presupuesto!$B:$Q,16,FALSE)&gt;=VLOOKUP($A109,informe!$A:$J,9,FALSE),"cg","c"),"n")</f>
        <v>n</v>
      </c>
      <c r="P109" s="195" t="str">
        <f>IF(AND(P$3&gt;=$D109,P$3&lt;=$E109),IF((P$3-$D109+1)*VLOOKUP($A109,presupuesto!$B:$Q,16,FALSE)&gt;=VLOOKUP($A109,informe!$A:$J,9,FALSE),"cg","c"),"n")</f>
        <v>n</v>
      </c>
      <c r="Q109" s="195" t="str">
        <f>IF(AND(Q$3&gt;=$D109,Q$3&lt;=$E109),IF((Q$3-$D109+1)*VLOOKUP($A109,presupuesto!$B:$Q,16,FALSE)&gt;=VLOOKUP($A109,informe!$A:$J,9,FALSE),"cg","c"),"n")</f>
        <v>n</v>
      </c>
      <c r="R109" s="195" t="str">
        <f>IF(AND(R$3&gt;=$D109,R$3&lt;=$E109),IF((R$3-$D109+1)*VLOOKUP($A109,presupuesto!$B:$Q,16,FALSE)&gt;=VLOOKUP($A109,informe!$A:$J,9,FALSE),"cg","c"),"n")</f>
        <v>n</v>
      </c>
      <c r="S109" s="195" t="str">
        <f>IF(AND(S$3&gt;=$D109,S$3&lt;=$E109),IF((S$3-$D109+1)*VLOOKUP($A109,presupuesto!$B:$Q,16,FALSE)&gt;=VLOOKUP($A109,informe!$A:$J,9,FALSE),"cg","c"),"n")</f>
        <v>n</v>
      </c>
      <c r="T109" s="195" t="str">
        <f>IF(AND(T$3&gt;=$D109,T$3&lt;=$E109),IF((T$3-$D109+1)*VLOOKUP($A109,presupuesto!$B:$Q,16,FALSE)&gt;=VLOOKUP($A109,informe!$A:$J,9,FALSE),"cg","c"),"n")</f>
        <v>n</v>
      </c>
      <c r="U109" s="195" t="str">
        <f>IF(AND(U$3&gt;=$D109,U$3&lt;=$E109),IF((U$3-$D109+1)*VLOOKUP($A109,presupuesto!$B:$Q,16,FALSE)&gt;=VLOOKUP($A109,informe!$A:$J,9,FALSE),"cg","c"),"n")</f>
        <v>n</v>
      </c>
      <c r="V109" s="195" t="str">
        <f>IF(AND(V$3&gt;=$D109,V$3&lt;=$E109),IF((V$3-$D109+1)*VLOOKUP($A109,presupuesto!$B:$Q,16,FALSE)&gt;=VLOOKUP($A109,informe!$A:$J,9,FALSE),"cg","c"),"n")</f>
        <v>n</v>
      </c>
      <c r="W109" s="195" t="str">
        <f>IF(AND(W$3&gt;=$D109,W$3&lt;=$E109),IF((W$3-$D109+1)*VLOOKUP($A109,presupuesto!$B:$Q,16,FALSE)&gt;=VLOOKUP($A109,informe!$A:$J,9,FALSE),"cg","c"),"n")</f>
        <v>n</v>
      </c>
      <c r="X109" s="195" t="str">
        <f>IF(AND(X$3&gt;=$D109,X$3&lt;=$E109),IF((X$3-$D109+1)*VLOOKUP($A109,presupuesto!$B:$Q,16,FALSE)&gt;=VLOOKUP($A109,informe!$A:$J,9,FALSE),"cg","c"),"n")</f>
        <v>n</v>
      </c>
      <c r="Y109" s="195" t="str">
        <f>IF(AND(Y$3&gt;=$D109,Y$3&lt;=$E109),IF((Y$3-$D109+1)*VLOOKUP($A109,presupuesto!$B:$Q,16,FALSE)&gt;=VLOOKUP($A109,informe!$A:$J,9,FALSE),"cg","c"),"n")</f>
        <v>n</v>
      </c>
      <c r="Z109" s="195" t="str">
        <f>IF(AND(Z$3&gt;=$D109,Z$3&lt;=$E109),IF((Z$3-$D109+1)*VLOOKUP($A109,presupuesto!$B:$Q,16,FALSE)&gt;=VLOOKUP($A109,informe!$A:$J,9,FALSE),"cg","c"),"n")</f>
        <v>n</v>
      </c>
      <c r="AA109" s="195" t="str">
        <f>IF(AND(AA$3&gt;=$D109,AA$3&lt;=$E109),IF((AA$3-$D109+1)*VLOOKUP($A109,presupuesto!$B:$Q,16,FALSE)&gt;=VLOOKUP($A109,informe!$A:$J,9,FALSE),"cg","c"),"n")</f>
        <v>n</v>
      </c>
      <c r="AB109" s="195" t="str">
        <f>IF(AND(AB$3&gt;=$D109,AB$3&lt;=$E109),IF((AB$3-$D109+1)*VLOOKUP($A109,presupuesto!$B:$Q,16,FALSE)&gt;=VLOOKUP($A109,informe!$A:$J,9,FALSE),"cg","c"),"n")</f>
        <v>n</v>
      </c>
      <c r="AC109" s="195" t="str">
        <f>IF(AND(AC$3&gt;=$D109,AC$3&lt;=$E109),IF((AC$3-$D109+1)*VLOOKUP($A109,presupuesto!$B:$Q,16,FALSE)&gt;=VLOOKUP($A109,informe!$A:$J,9,FALSE),"cg","c"),"n")</f>
        <v>n</v>
      </c>
      <c r="AD109" s="195" t="str">
        <f>IF(AND(AD$3&gt;=$D109,AD$3&lt;=$E109),IF((AD$3-$D109+1)*VLOOKUP($A109,presupuesto!$B:$Q,16,FALSE)&gt;=VLOOKUP($A109,informe!$A:$J,9,FALSE),"cg","c"),"n")</f>
        <v>n</v>
      </c>
      <c r="AE109" s="195" t="str">
        <f>IF(AND(AE$3&gt;=$D109,AE$3&lt;=$E109),IF((AE$3-$D109+1)*VLOOKUP($A109,presupuesto!$B:$Q,16,FALSE)&gt;=VLOOKUP($A109,informe!$A:$J,9,FALSE),"cg","c"),"n")</f>
        <v>n</v>
      </c>
      <c r="AF109" s="195" t="str">
        <f>IF(AND(AF$3&gt;=$D109,AF$3&lt;=$E109),IF((AF$3-$D109+1)*VLOOKUP($A109,presupuesto!$B:$Q,16,FALSE)&gt;=VLOOKUP($A109,informe!$A:$J,9,FALSE),"cg","c"),"n")</f>
        <v>n</v>
      </c>
      <c r="AG109" s="195" t="str">
        <f>IF(AND(AG$3&gt;=$D109,AG$3&lt;=$E109),IF((AG$3-$D109+1)*VLOOKUP($A109,presupuesto!$B:$Q,16,FALSE)&gt;=VLOOKUP($A109,informe!$A:$J,9,FALSE),"cg","c"),"n")</f>
        <v>n</v>
      </c>
      <c r="AH109" s="195" t="str">
        <f>IF(AND(AH$3&gt;=$D109,AH$3&lt;=$E109),IF((AH$3-$D109+1)*VLOOKUP($A109,presupuesto!$B:$Q,16,FALSE)&gt;=VLOOKUP($A109,informe!$A:$J,9,FALSE),"cg","c"),"n")</f>
        <v>n</v>
      </c>
      <c r="AI109" s="195" t="str">
        <f>IF(AND(AI$3&gt;=$D109,AI$3&lt;=$E109),IF((AI$3-$D109+1)*VLOOKUP($A109,presupuesto!$B:$Q,16,FALSE)&gt;=VLOOKUP($A109,informe!$A:$J,9,FALSE),"cg","c"),"n")</f>
        <v>n</v>
      </c>
      <c r="AJ109" s="195" t="str">
        <f>IF(AND(AJ$3&gt;=$D109,AJ$3&lt;=$E109),IF((AJ$3-$D109+1)*VLOOKUP($A109,presupuesto!$B:$Q,16,FALSE)&gt;=VLOOKUP($A109,informe!$A:$J,9,FALSE),"cg","c"),"n")</f>
        <v>n</v>
      </c>
      <c r="AK109" s="196" t="str">
        <f>IF(AND(AK$3&gt;=$D109,AK$3&lt;=$E109),IF((AK$3-$D109+1)*VLOOKUP($A109,presupuesto!$B:$Q,16,FALSE)&gt;=VLOOKUP($A109,informe!$A:$J,9,FALSE),"cg","c"),"n")</f>
        <v>n</v>
      </c>
    </row>
    <row r="110" spans="1:37" ht="14.25" customHeight="1" x14ac:dyDescent="0.3">
      <c r="A110" s="193" t="str">
        <f>presupuesto!B109</f>
        <v>E.-</v>
      </c>
      <c r="B110" s="181" t="str">
        <f>presupuesto!C109</f>
        <v xml:space="preserve">      OBRAS VARIAS</v>
      </c>
      <c r="C110" s="173" t="str">
        <f>presupuesto!G109</f>
        <v>15 días</v>
      </c>
      <c r="D110" s="176">
        <f>presupuesto!N109</f>
        <v>45801</v>
      </c>
      <c r="E110" s="176">
        <f>presupuesto!O109</f>
        <v>45815</v>
      </c>
      <c r="F110" s="194" t="str">
        <f>IF(AK110="n",CONCATENATE(" - "),IF(AK110="cg",CONCATENATE(" - "),CONCATENATE(ROUND(IFERROR(VLOOKUP(A110,informe!A:J,9,FALSE)/VLOOKUP(A110,informe!A:J,5,FALSE),0)*100,2),"% ")))</f>
        <v xml:space="preserve"> - </v>
      </c>
      <c r="G110" s="195" t="str">
        <f>IF(AND(G$3&gt;=$D110,G$3&lt;=$E110),IF((G$3-$D110+1)*VLOOKUP($A110,presupuesto!$B:$Q,16,FALSE)&gt;=VLOOKUP($A110,informe!$A:$J,9,FALSE),"cg","c"),"n")</f>
        <v>n</v>
      </c>
      <c r="H110" s="195" t="str">
        <f>IF(AND(H$3&gt;=$D110,H$3&lt;=$E110),IF((H$3-$D110+1)*VLOOKUP($A110,presupuesto!$B:$Q,16,FALSE)&gt;=VLOOKUP($A110,informe!$A:$J,9,FALSE),"cg","c"),"n")</f>
        <v>n</v>
      </c>
      <c r="I110" s="195" t="str">
        <f>IF(AND(I$3&gt;=$D110,I$3&lt;=$E110),IF((I$3-$D110+1)*VLOOKUP($A110,presupuesto!$B:$Q,16,FALSE)&gt;=VLOOKUP($A110,informe!$A:$J,9,FALSE),"cg","c"),"n")</f>
        <v>n</v>
      </c>
      <c r="J110" s="195" t="str">
        <f>IF(AND(J$3&gt;=$D110,J$3&lt;=$E110),IF((J$3-$D110+1)*VLOOKUP($A110,presupuesto!$B:$Q,16,FALSE)&gt;=VLOOKUP($A110,informe!$A:$J,9,FALSE),"cg","c"),"n")</f>
        <v>n</v>
      </c>
      <c r="K110" s="195" t="str">
        <f>IF(AND(K$3&gt;=$D110,K$3&lt;=$E110),IF((K$3-$D110+1)*VLOOKUP($A110,presupuesto!$B:$Q,16,FALSE)&gt;=VLOOKUP($A110,informe!$A:$J,9,FALSE),"cg","c"),"n")</f>
        <v>n</v>
      </c>
      <c r="L110" s="195" t="str">
        <f>IF(AND(L$3&gt;=$D110,L$3&lt;=$E110),IF((L$3-$D110+1)*VLOOKUP($A110,presupuesto!$B:$Q,16,FALSE)&gt;=VLOOKUP($A110,informe!$A:$J,9,FALSE),"cg","c"),"n")</f>
        <v>n</v>
      </c>
      <c r="M110" s="195" t="str">
        <f>IF(AND(M$3&gt;=$D110,M$3&lt;=$E110),IF((M$3-$D110+1)*VLOOKUP($A110,presupuesto!$B:$Q,16,FALSE)&gt;=VLOOKUP($A110,informe!$A:$J,9,FALSE),"cg","c"),"n")</f>
        <v>n</v>
      </c>
      <c r="N110" s="195" t="str">
        <f>IF(AND(N$3&gt;=$D110,N$3&lt;=$E110),IF((N$3-$D110+1)*VLOOKUP($A110,presupuesto!$B:$Q,16,FALSE)&gt;=VLOOKUP($A110,informe!$A:$J,9,FALSE),"cg","c"),"n")</f>
        <v>n</v>
      </c>
      <c r="O110" s="195" t="str">
        <f>IF(AND(O$3&gt;=$D110,O$3&lt;=$E110),IF((O$3-$D110+1)*VLOOKUP($A110,presupuesto!$B:$Q,16,FALSE)&gt;=VLOOKUP($A110,informe!$A:$J,9,FALSE),"cg","c"),"n")</f>
        <v>n</v>
      </c>
      <c r="P110" s="195" t="str">
        <f>IF(AND(P$3&gt;=$D110,P$3&lt;=$E110),IF((P$3-$D110+1)*VLOOKUP($A110,presupuesto!$B:$Q,16,FALSE)&gt;=VLOOKUP($A110,informe!$A:$J,9,FALSE),"cg","c"),"n")</f>
        <v>n</v>
      </c>
      <c r="Q110" s="195" t="str">
        <f>IF(AND(Q$3&gt;=$D110,Q$3&lt;=$E110),IF((Q$3-$D110+1)*VLOOKUP($A110,presupuesto!$B:$Q,16,FALSE)&gt;=VLOOKUP($A110,informe!$A:$J,9,FALSE),"cg","c"),"n")</f>
        <v>n</v>
      </c>
      <c r="R110" s="195" t="str">
        <f>IF(AND(R$3&gt;=$D110,R$3&lt;=$E110),IF((R$3-$D110+1)*VLOOKUP($A110,presupuesto!$B:$Q,16,FALSE)&gt;=VLOOKUP($A110,informe!$A:$J,9,FALSE),"cg","c"),"n")</f>
        <v>n</v>
      </c>
      <c r="S110" s="195" t="str">
        <f>IF(AND(S$3&gt;=$D110,S$3&lt;=$E110),IF((S$3-$D110+1)*VLOOKUP($A110,presupuesto!$B:$Q,16,FALSE)&gt;=VLOOKUP($A110,informe!$A:$J,9,FALSE),"cg","c"),"n")</f>
        <v>n</v>
      </c>
      <c r="T110" s="195" t="str">
        <f>IF(AND(T$3&gt;=$D110,T$3&lt;=$E110),IF((T$3-$D110+1)*VLOOKUP($A110,presupuesto!$B:$Q,16,FALSE)&gt;=VLOOKUP($A110,informe!$A:$J,9,FALSE),"cg","c"),"n")</f>
        <v>n</v>
      </c>
      <c r="U110" s="195" t="str">
        <f>IF(AND(U$3&gt;=$D110,U$3&lt;=$E110),IF((U$3-$D110+1)*VLOOKUP($A110,presupuesto!$B:$Q,16,FALSE)&gt;=VLOOKUP($A110,informe!$A:$J,9,FALSE),"cg","c"),"n")</f>
        <v>n</v>
      </c>
      <c r="V110" s="195" t="str">
        <f>IF(AND(V$3&gt;=$D110,V$3&lt;=$E110),IF((V$3-$D110+1)*VLOOKUP($A110,presupuesto!$B:$Q,16,FALSE)&gt;=VLOOKUP($A110,informe!$A:$J,9,FALSE),"cg","c"),"n")</f>
        <v>n</v>
      </c>
      <c r="W110" s="195" t="str">
        <f>IF(AND(W$3&gt;=$D110,W$3&lt;=$E110),IF((W$3-$D110+1)*VLOOKUP($A110,presupuesto!$B:$Q,16,FALSE)&gt;=VLOOKUP($A110,informe!$A:$J,9,FALSE),"cg","c"),"n")</f>
        <v>n</v>
      </c>
      <c r="X110" s="195" t="str">
        <f>IF(AND(X$3&gt;=$D110,X$3&lt;=$E110),IF((X$3-$D110+1)*VLOOKUP($A110,presupuesto!$B:$Q,16,FALSE)&gt;=VLOOKUP($A110,informe!$A:$J,9,FALSE),"cg","c"),"n")</f>
        <v>n</v>
      </c>
      <c r="Y110" s="195" t="str">
        <f>IF(AND(Y$3&gt;=$D110,Y$3&lt;=$E110),IF((Y$3-$D110+1)*VLOOKUP($A110,presupuesto!$B:$Q,16,FALSE)&gt;=VLOOKUP($A110,informe!$A:$J,9,FALSE),"cg","c"),"n")</f>
        <v>n</v>
      </c>
      <c r="Z110" s="195" t="str">
        <f>IF(AND(Z$3&gt;=$D110,Z$3&lt;=$E110),IF((Z$3-$D110+1)*VLOOKUP($A110,presupuesto!$B:$Q,16,FALSE)&gt;=VLOOKUP($A110,informe!$A:$J,9,FALSE),"cg","c"),"n")</f>
        <v>n</v>
      </c>
      <c r="AA110" s="195" t="str">
        <f>IF(AND(AA$3&gt;=$D110,AA$3&lt;=$E110),IF((AA$3-$D110+1)*VLOOKUP($A110,presupuesto!$B:$Q,16,FALSE)&gt;=VLOOKUP($A110,informe!$A:$J,9,FALSE),"cg","c"),"n")</f>
        <v>n</v>
      </c>
      <c r="AB110" s="195" t="str">
        <f>IF(AND(AB$3&gt;=$D110,AB$3&lt;=$E110),IF((AB$3-$D110+1)*VLOOKUP($A110,presupuesto!$B:$Q,16,FALSE)&gt;=VLOOKUP($A110,informe!$A:$J,9,FALSE),"cg","c"),"n")</f>
        <v>n</v>
      </c>
      <c r="AC110" s="195" t="str">
        <f>IF(AND(AC$3&gt;=$D110,AC$3&lt;=$E110),IF((AC$3-$D110+1)*VLOOKUP($A110,presupuesto!$B:$Q,16,FALSE)&gt;=VLOOKUP($A110,informe!$A:$J,9,FALSE),"cg","c"),"n")</f>
        <v>n</v>
      </c>
      <c r="AD110" s="195" t="str">
        <f>IF(AND(AD$3&gt;=$D110,AD$3&lt;=$E110),IF((AD$3-$D110+1)*VLOOKUP($A110,presupuesto!$B:$Q,16,FALSE)&gt;=VLOOKUP($A110,informe!$A:$J,9,FALSE),"cg","c"),"n")</f>
        <v>n</v>
      </c>
      <c r="AE110" s="195" t="str">
        <f>IF(AND(AE$3&gt;=$D110,AE$3&lt;=$E110),IF((AE$3-$D110+1)*VLOOKUP($A110,presupuesto!$B:$Q,16,FALSE)&gt;=VLOOKUP($A110,informe!$A:$J,9,FALSE),"cg","c"),"n")</f>
        <v>n</v>
      </c>
      <c r="AF110" s="195" t="str">
        <f>IF(AND(AF$3&gt;=$D110,AF$3&lt;=$E110),IF((AF$3-$D110+1)*VLOOKUP($A110,presupuesto!$B:$Q,16,FALSE)&gt;=VLOOKUP($A110,informe!$A:$J,9,FALSE),"cg","c"),"n")</f>
        <v>n</v>
      </c>
      <c r="AG110" s="195" t="str">
        <f>IF(AND(AG$3&gt;=$D110,AG$3&lt;=$E110),IF((AG$3-$D110+1)*VLOOKUP($A110,presupuesto!$B:$Q,16,FALSE)&gt;=VLOOKUP($A110,informe!$A:$J,9,FALSE),"cg","c"),"n")</f>
        <v>n</v>
      </c>
      <c r="AH110" s="195" t="str">
        <f>IF(AND(AH$3&gt;=$D110,AH$3&lt;=$E110),IF((AH$3-$D110+1)*VLOOKUP($A110,presupuesto!$B:$Q,16,FALSE)&gt;=VLOOKUP($A110,informe!$A:$J,9,FALSE),"cg","c"),"n")</f>
        <v>n</v>
      </c>
      <c r="AI110" s="195" t="str">
        <f>IF(AND(AI$3&gt;=$D110,AI$3&lt;=$E110),IF((AI$3-$D110+1)*VLOOKUP($A110,presupuesto!$B:$Q,16,FALSE)&gt;=VLOOKUP($A110,informe!$A:$J,9,FALSE),"cg","c"),"n")</f>
        <v>n</v>
      </c>
      <c r="AJ110" s="195" t="str">
        <f>IF(AND(AJ$3&gt;=$D110,AJ$3&lt;=$E110),IF((AJ$3-$D110+1)*VLOOKUP($A110,presupuesto!$B:$Q,16,FALSE)&gt;=VLOOKUP($A110,informe!$A:$J,9,FALSE),"cg","c"),"n")</f>
        <v>n</v>
      </c>
      <c r="AK110" s="196" t="str">
        <f>IF(AND(AK$3&gt;=$D110,AK$3&lt;=$E110),IF((AK$3-$D110+1)*VLOOKUP($A110,presupuesto!$B:$Q,16,FALSE)&gt;=VLOOKUP($A110,informe!$A:$J,9,FALSE),"cg","c"),"n")</f>
        <v>n</v>
      </c>
    </row>
    <row r="111" spans="1:37" ht="14.25" customHeight="1" x14ac:dyDescent="0.25">
      <c r="A111" s="197">
        <f>presupuesto!B110</f>
        <v>71</v>
      </c>
      <c r="B111" s="182" t="str">
        <f>presupuesto!C110</f>
        <v xml:space="preserve">         Machones de apoyo y anclaje</v>
      </c>
      <c r="C111" s="174" t="str">
        <f>presupuesto!G110</f>
        <v>7 días</v>
      </c>
      <c r="D111" s="177">
        <f>presupuesto!N110</f>
        <v>45801</v>
      </c>
      <c r="E111" s="177">
        <f>presupuesto!O110</f>
        <v>45807</v>
      </c>
      <c r="F111" s="194" t="str">
        <f>IF(AK111="n",CONCATENATE(" - "),IF(AK111="cg",CONCATENATE(" - "),CONCATENATE(ROUND(IFERROR(VLOOKUP(A111,informe!A:J,9,FALSE)/VLOOKUP(A111,informe!A:J,5,FALSE),0)*100,2),"% ")))</f>
        <v xml:space="preserve"> - </v>
      </c>
      <c r="G111" s="195" t="str">
        <f>IF(AND(G$3&gt;=$D111,G$3&lt;=$E111),IF((G$3-$D111+1)*VLOOKUP($A111,presupuesto!$B:$Q,16,FALSE)&gt;=VLOOKUP($A111,informe!$A:$J,9,FALSE),"cg","c"),"n")</f>
        <v>n</v>
      </c>
      <c r="H111" s="195" t="str">
        <f>IF(AND(H$3&gt;=$D111,H$3&lt;=$E111),IF((H$3-$D111+1)*VLOOKUP($A111,presupuesto!$B:$Q,16,FALSE)&gt;=VLOOKUP($A111,informe!$A:$J,9,FALSE),"cg","c"),"n")</f>
        <v>n</v>
      </c>
      <c r="I111" s="195" t="str">
        <f>IF(AND(I$3&gt;=$D111,I$3&lt;=$E111),IF((I$3-$D111+1)*VLOOKUP($A111,presupuesto!$B:$Q,16,FALSE)&gt;=VLOOKUP($A111,informe!$A:$J,9,FALSE),"cg","c"),"n")</f>
        <v>n</v>
      </c>
      <c r="J111" s="195" t="str">
        <f>IF(AND(J$3&gt;=$D111,J$3&lt;=$E111),IF((J$3-$D111+1)*VLOOKUP($A111,presupuesto!$B:$Q,16,FALSE)&gt;=VLOOKUP($A111,informe!$A:$J,9,FALSE),"cg","c"),"n")</f>
        <v>n</v>
      </c>
      <c r="K111" s="195" t="str">
        <f>IF(AND(K$3&gt;=$D111,K$3&lt;=$E111),IF((K$3-$D111+1)*VLOOKUP($A111,presupuesto!$B:$Q,16,FALSE)&gt;=VLOOKUP($A111,informe!$A:$J,9,FALSE),"cg","c"),"n")</f>
        <v>n</v>
      </c>
      <c r="L111" s="195" t="str">
        <f>IF(AND(L$3&gt;=$D111,L$3&lt;=$E111),IF((L$3-$D111+1)*VLOOKUP($A111,presupuesto!$B:$Q,16,FALSE)&gt;=VLOOKUP($A111,informe!$A:$J,9,FALSE),"cg","c"),"n")</f>
        <v>n</v>
      </c>
      <c r="M111" s="195" t="str">
        <f>IF(AND(M$3&gt;=$D111,M$3&lt;=$E111),IF((M$3-$D111+1)*VLOOKUP($A111,presupuesto!$B:$Q,16,FALSE)&gt;=VLOOKUP($A111,informe!$A:$J,9,FALSE),"cg","c"),"n")</f>
        <v>n</v>
      </c>
      <c r="N111" s="195" t="str">
        <f>IF(AND(N$3&gt;=$D111,N$3&lt;=$E111),IF((N$3-$D111+1)*VLOOKUP($A111,presupuesto!$B:$Q,16,FALSE)&gt;=VLOOKUP($A111,informe!$A:$J,9,FALSE),"cg","c"),"n")</f>
        <v>n</v>
      </c>
      <c r="O111" s="195" t="str">
        <f>IF(AND(O$3&gt;=$D111,O$3&lt;=$E111),IF((O$3-$D111+1)*VLOOKUP($A111,presupuesto!$B:$Q,16,FALSE)&gt;=VLOOKUP($A111,informe!$A:$J,9,FALSE),"cg","c"),"n")</f>
        <v>n</v>
      </c>
      <c r="P111" s="195" t="str">
        <f>IF(AND(P$3&gt;=$D111,P$3&lt;=$E111),IF((P$3-$D111+1)*VLOOKUP($A111,presupuesto!$B:$Q,16,FALSE)&gt;=VLOOKUP($A111,informe!$A:$J,9,FALSE),"cg","c"),"n")</f>
        <v>n</v>
      </c>
      <c r="Q111" s="195" t="str">
        <f>IF(AND(Q$3&gt;=$D111,Q$3&lt;=$E111),IF((Q$3-$D111+1)*VLOOKUP($A111,presupuesto!$B:$Q,16,FALSE)&gt;=VLOOKUP($A111,informe!$A:$J,9,FALSE),"cg","c"),"n")</f>
        <v>n</v>
      </c>
      <c r="R111" s="195" t="str">
        <f>IF(AND(R$3&gt;=$D111,R$3&lt;=$E111),IF((R$3-$D111+1)*VLOOKUP($A111,presupuesto!$B:$Q,16,FALSE)&gt;=VLOOKUP($A111,informe!$A:$J,9,FALSE),"cg","c"),"n")</f>
        <v>n</v>
      </c>
      <c r="S111" s="195" t="str">
        <f>IF(AND(S$3&gt;=$D111,S$3&lt;=$E111),IF((S$3-$D111+1)*VLOOKUP($A111,presupuesto!$B:$Q,16,FALSE)&gt;=VLOOKUP($A111,informe!$A:$J,9,FALSE),"cg","c"),"n")</f>
        <v>n</v>
      </c>
      <c r="T111" s="195" t="str">
        <f>IF(AND(T$3&gt;=$D111,T$3&lt;=$E111),IF((T$3-$D111+1)*VLOOKUP($A111,presupuesto!$B:$Q,16,FALSE)&gt;=VLOOKUP($A111,informe!$A:$J,9,FALSE),"cg","c"),"n")</f>
        <v>n</v>
      </c>
      <c r="U111" s="195" t="str">
        <f>IF(AND(U$3&gt;=$D111,U$3&lt;=$E111),IF((U$3-$D111+1)*VLOOKUP($A111,presupuesto!$B:$Q,16,FALSE)&gt;=VLOOKUP($A111,informe!$A:$J,9,FALSE),"cg","c"),"n")</f>
        <v>n</v>
      </c>
      <c r="V111" s="195" t="str">
        <f>IF(AND(V$3&gt;=$D111,V$3&lt;=$E111),IF((V$3-$D111+1)*VLOOKUP($A111,presupuesto!$B:$Q,16,FALSE)&gt;=VLOOKUP($A111,informe!$A:$J,9,FALSE),"cg","c"),"n")</f>
        <v>n</v>
      </c>
      <c r="W111" s="195" t="str">
        <f>IF(AND(W$3&gt;=$D111,W$3&lt;=$E111),IF((W$3-$D111+1)*VLOOKUP($A111,presupuesto!$B:$Q,16,FALSE)&gt;=VLOOKUP($A111,informe!$A:$J,9,FALSE),"cg","c"),"n")</f>
        <v>n</v>
      </c>
      <c r="X111" s="195" t="str">
        <f>IF(AND(X$3&gt;=$D111,X$3&lt;=$E111),IF((X$3-$D111+1)*VLOOKUP($A111,presupuesto!$B:$Q,16,FALSE)&gt;=VLOOKUP($A111,informe!$A:$J,9,FALSE),"cg","c"),"n")</f>
        <v>n</v>
      </c>
      <c r="Y111" s="195" t="str">
        <f>IF(AND(Y$3&gt;=$D111,Y$3&lt;=$E111),IF((Y$3-$D111+1)*VLOOKUP($A111,presupuesto!$B:$Q,16,FALSE)&gt;=VLOOKUP($A111,informe!$A:$J,9,FALSE),"cg","c"),"n")</f>
        <v>n</v>
      </c>
      <c r="Z111" s="195" t="str">
        <f>IF(AND(Z$3&gt;=$D111,Z$3&lt;=$E111),IF((Z$3-$D111+1)*VLOOKUP($A111,presupuesto!$B:$Q,16,FALSE)&gt;=VLOOKUP($A111,informe!$A:$J,9,FALSE),"cg","c"),"n")</f>
        <v>n</v>
      </c>
      <c r="AA111" s="195" t="str">
        <f>IF(AND(AA$3&gt;=$D111,AA$3&lt;=$E111),IF((AA$3-$D111+1)*VLOOKUP($A111,presupuesto!$B:$Q,16,FALSE)&gt;=VLOOKUP($A111,informe!$A:$J,9,FALSE),"cg","c"),"n")</f>
        <v>n</v>
      </c>
      <c r="AB111" s="195" t="str">
        <f>IF(AND(AB$3&gt;=$D111,AB$3&lt;=$E111),IF((AB$3-$D111+1)*VLOOKUP($A111,presupuesto!$B:$Q,16,FALSE)&gt;=VLOOKUP($A111,informe!$A:$J,9,FALSE),"cg","c"),"n")</f>
        <v>n</v>
      </c>
      <c r="AC111" s="195" t="str">
        <f>IF(AND(AC$3&gt;=$D111,AC$3&lt;=$E111),IF((AC$3-$D111+1)*VLOOKUP($A111,presupuesto!$B:$Q,16,FALSE)&gt;=VLOOKUP($A111,informe!$A:$J,9,FALSE),"cg","c"),"n")</f>
        <v>n</v>
      </c>
      <c r="AD111" s="195" t="str">
        <f>IF(AND(AD$3&gt;=$D111,AD$3&lt;=$E111),IF((AD$3-$D111+1)*VLOOKUP($A111,presupuesto!$B:$Q,16,FALSE)&gt;=VLOOKUP($A111,informe!$A:$J,9,FALSE),"cg","c"),"n")</f>
        <v>n</v>
      </c>
      <c r="AE111" s="195" t="str">
        <f>IF(AND(AE$3&gt;=$D111,AE$3&lt;=$E111),IF((AE$3-$D111+1)*VLOOKUP($A111,presupuesto!$B:$Q,16,FALSE)&gt;=VLOOKUP($A111,informe!$A:$J,9,FALSE),"cg","c"),"n")</f>
        <v>n</v>
      </c>
      <c r="AF111" s="195" t="str">
        <f>IF(AND(AF$3&gt;=$D111,AF$3&lt;=$E111),IF((AF$3-$D111+1)*VLOOKUP($A111,presupuesto!$B:$Q,16,FALSE)&gt;=VLOOKUP($A111,informe!$A:$J,9,FALSE),"cg","c"),"n")</f>
        <v>n</v>
      </c>
      <c r="AG111" s="195" t="str">
        <f>IF(AND(AG$3&gt;=$D111,AG$3&lt;=$E111),IF((AG$3-$D111+1)*VLOOKUP($A111,presupuesto!$B:$Q,16,FALSE)&gt;=VLOOKUP($A111,informe!$A:$J,9,FALSE),"cg","c"),"n")</f>
        <v>n</v>
      </c>
      <c r="AH111" s="195" t="str">
        <f>IF(AND(AH$3&gt;=$D111,AH$3&lt;=$E111),IF((AH$3-$D111+1)*VLOOKUP($A111,presupuesto!$B:$Q,16,FALSE)&gt;=VLOOKUP($A111,informe!$A:$J,9,FALSE),"cg","c"),"n")</f>
        <v>n</v>
      </c>
      <c r="AI111" s="195" t="str">
        <f>IF(AND(AI$3&gt;=$D111,AI$3&lt;=$E111),IF((AI$3-$D111+1)*VLOOKUP($A111,presupuesto!$B:$Q,16,FALSE)&gt;=VLOOKUP($A111,informe!$A:$J,9,FALSE),"cg","c"),"n")</f>
        <v>n</v>
      </c>
      <c r="AJ111" s="195" t="str">
        <f>IF(AND(AJ$3&gt;=$D111,AJ$3&lt;=$E111),IF((AJ$3-$D111+1)*VLOOKUP($A111,presupuesto!$B:$Q,16,FALSE)&gt;=VLOOKUP($A111,informe!$A:$J,9,FALSE),"cg","c"),"n")</f>
        <v>n</v>
      </c>
      <c r="AK111" s="196" t="str">
        <f>IF(AND(AK$3&gt;=$D111,AK$3&lt;=$E111),IF((AK$3-$D111+1)*VLOOKUP($A111,presupuesto!$B:$Q,16,FALSE)&gt;=VLOOKUP($A111,informe!$A:$J,9,FALSE),"cg","c"),"n")</f>
        <v>n</v>
      </c>
    </row>
    <row r="112" spans="1:37" ht="14.25" customHeight="1" x14ac:dyDescent="0.25">
      <c r="A112" s="197">
        <f>presupuesto!B111</f>
        <v>72</v>
      </c>
      <c r="B112" s="182" t="str">
        <f>presupuesto!C111</f>
        <v xml:space="preserve">         Obra de desagüe</v>
      </c>
      <c r="C112" s="174" t="str">
        <f>presupuesto!G111</f>
        <v>15 días</v>
      </c>
      <c r="D112" s="177">
        <f>presupuesto!N111</f>
        <v>45801</v>
      </c>
      <c r="E112" s="177">
        <f>presupuesto!O111</f>
        <v>45815</v>
      </c>
      <c r="F112" s="194" t="str">
        <f>IF(AK112="n",CONCATENATE(" - "),IF(AK112="cg",CONCATENATE(" - "),CONCATENATE(ROUND(IFERROR(VLOOKUP(A112,informe!A:J,9,FALSE)/VLOOKUP(A112,informe!A:J,5,FALSE),0)*100,2),"% ")))</f>
        <v xml:space="preserve"> - </v>
      </c>
      <c r="G112" s="195" t="str">
        <f>IF(AND(G$3&gt;=$D112,G$3&lt;=$E112),IF((G$3-$D112+1)*VLOOKUP($A112,presupuesto!$B:$Q,16,FALSE)&gt;=VLOOKUP($A112,informe!$A:$J,9,FALSE),"cg","c"),"n")</f>
        <v>n</v>
      </c>
      <c r="H112" s="195" t="str">
        <f>IF(AND(H$3&gt;=$D112,H$3&lt;=$E112),IF((H$3-$D112+1)*VLOOKUP($A112,presupuesto!$B:$Q,16,FALSE)&gt;=VLOOKUP($A112,informe!$A:$J,9,FALSE),"cg","c"),"n")</f>
        <v>n</v>
      </c>
      <c r="I112" s="195" t="str">
        <f>IF(AND(I$3&gt;=$D112,I$3&lt;=$E112),IF((I$3-$D112+1)*VLOOKUP($A112,presupuesto!$B:$Q,16,FALSE)&gt;=VLOOKUP($A112,informe!$A:$J,9,FALSE),"cg","c"),"n")</f>
        <v>n</v>
      </c>
      <c r="J112" s="195" t="str">
        <f>IF(AND(J$3&gt;=$D112,J$3&lt;=$E112),IF((J$3-$D112+1)*VLOOKUP($A112,presupuesto!$B:$Q,16,FALSE)&gt;=VLOOKUP($A112,informe!$A:$J,9,FALSE),"cg","c"),"n")</f>
        <v>n</v>
      </c>
      <c r="K112" s="195" t="str">
        <f>IF(AND(K$3&gt;=$D112,K$3&lt;=$E112),IF((K$3-$D112+1)*VLOOKUP($A112,presupuesto!$B:$Q,16,FALSE)&gt;=VLOOKUP($A112,informe!$A:$J,9,FALSE),"cg","c"),"n")</f>
        <v>n</v>
      </c>
      <c r="L112" s="195" t="str">
        <f>IF(AND(L$3&gt;=$D112,L$3&lt;=$E112),IF((L$3-$D112+1)*VLOOKUP($A112,presupuesto!$B:$Q,16,FALSE)&gt;=VLOOKUP($A112,informe!$A:$J,9,FALSE),"cg","c"),"n")</f>
        <v>n</v>
      </c>
      <c r="M112" s="195" t="str">
        <f>IF(AND(M$3&gt;=$D112,M$3&lt;=$E112),IF((M$3-$D112+1)*VLOOKUP($A112,presupuesto!$B:$Q,16,FALSE)&gt;=VLOOKUP($A112,informe!$A:$J,9,FALSE),"cg","c"),"n")</f>
        <v>n</v>
      </c>
      <c r="N112" s="195" t="str">
        <f>IF(AND(N$3&gt;=$D112,N$3&lt;=$E112),IF((N$3-$D112+1)*VLOOKUP($A112,presupuesto!$B:$Q,16,FALSE)&gt;=VLOOKUP($A112,informe!$A:$J,9,FALSE),"cg","c"),"n")</f>
        <v>n</v>
      </c>
      <c r="O112" s="195" t="str">
        <f>IF(AND(O$3&gt;=$D112,O$3&lt;=$E112),IF((O$3-$D112+1)*VLOOKUP($A112,presupuesto!$B:$Q,16,FALSE)&gt;=VLOOKUP($A112,informe!$A:$J,9,FALSE),"cg","c"),"n")</f>
        <v>n</v>
      </c>
      <c r="P112" s="195" t="str">
        <f>IF(AND(P$3&gt;=$D112,P$3&lt;=$E112),IF((P$3-$D112+1)*VLOOKUP($A112,presupuesto!$B:$Q,16,FALSE)&gt;=VLOOKUP($A112,informe!$A:$J,9,FALSE),"cg","c"),"n")</f>
        <v>n</v>
      </c>
      <c r="Q112" s="195" t="str">
        <f>IF(AND(Q$3&gt;=$D112,Q$3&lt;=$E112),IF((Q$3-$D112+1)*VLOOKUP($A112,presupuesto!$B:$Q,16,FALSE)&gt;=VLOOKUP($A112,informe!$A:$J,9,FALSE),"cg","c"),"n")</f>
        <v>n</v>
      </c>
      <c r="R112" s="195" t="str">
        <f>IF(AND(R$3&gt;=$D112,R$3&lt;=$E112),IF((R$3-$D112+1)*VLOOKUP($A112,presupuesto!$B:$Q,16,FALSE)&gt;=VLOOKUP($A112,informe!$A:$J,9,FALSE),"cg","c"),"n")</f>
        <v>n</v>
      </c>
      <c r="S112" s="195" t="str">
        <f>IF(AND(S$3&gt;=$D112,S$3&lt;=$E112),IF((S$3-$D112+1)*VLOOKUP($A112,presupuesto!$B:$Q,16,FALSE)&gt;=VLOOKUP($A112,informe!$A:$J,9,FALSE),"cg","c"),"n")</f>
        <v>n</v>
      </c>
      <c r="T112" s="195" t="str">
        <f>IF(AND(T$3&gt;=$D112,T$3&lt;=$E112),IF((T$3-$D112+1)*VLOOKUP($A112,presupuesto!$B:$Q,16,FALSE)&gt;=VLOOKUP($A112,informe!$A:$J,9,FALSE),"cg","c"),"n")</f>
        <v>n</v>
      </c>
      <c r="U112" s="195" t="str">
        <f>IF(AND(U$3&gt;=$D112,U$3&lt;=$E112),IF((U$3-$D112+1)*VLOOKUP($A112,presupuesto!$B:$Q,16,FALSE)&gt;=VLOOKUP($A112,informe!$A:$J,9,FALSE),"cg","c"),"n")</f>
        <v>n</v>
      </c>
      <c r="V112" s="195" t="str">
        <f>IF(AND(V$3&gt;=$D112,V$3&lt;=$E112),IF((V$3-$D112+1)*VLOOKUP($A112,presupuesto!$B:$Q,16,FALSE)&gt;=VLOOKUP($A112,informe!$A:$J,9,FALSE),"cg","c"),"n")</f>
        <v>n</v>
      </c>
      <c r="W112" s="195" t="str">
        <f>IF(AND(W$3&gt;=$D112,W$3&lt;=$E112),IF((W$3-$D112+1)*VLOOKUP($A112,presupuesto!$B:$Q,16,FALSE)&gt;=VLOOKUP($A112,informe!$A:$J,9,FALSE),"cg","c"),"n")</f>
        <v>n</v>
      </c>
      <c r="X112" s="195" t="str">
        <f>IF(AND(X$3&gt;=$D112,X$3&lt;=$E112),IF((X$3-$D112+1)*VLOOKUP($A112,presupuesto!$B:$Q,16,FALSE)&gt;=VLOOKUP($A112,informe!$A:$J,9,FALSE),"cg","c"),"n")</f>
        <v>n</v>
      </c>
      <c r="Y112" s="195" t="str">
        <f>IF(AND(Y$3&gt;=$D112,Y$3&lt;=$E112),IF((Y$3-$D112+1)*VLOOKUP($A112,presupuesto!$B:$Q,16,FALSE)&gt;=VLOOKUP($A112,informe!$A:$J,9,FALSE),"cg","c"),"n")</f>
        <v>n</v>
      </c>
      <c r="Z112" s="195" t="str">
        <f>IF(AND(Z$3&gt;=$D112,Z$3&lt;=$E112),IF((Z$3-$D112+1)*VLOOKUP($A112,presupuesto!$B:$Q,16,FALSE)&gt;=VLOOKUP($A112,informe!$A:$J,9,FALSE),"cg","c"),"n")</f>
        <v>n</v>
      </c>
      <c r="AA112" s="195" t="str">
        <f>IF(AND(AA$3&gt;=$D112,AA$3&lt;=$E112),IF((AA$3-$D112+1)*VLOOKUP($A112,presupuesto!$B:$Q,16,FALSE)&gt;=VLOOKUP($A112,informe!$A:$J,9,FALSE),"cg","c"),"n")</f>
        <v>n</v>
      </c>
      <c r="AB112" s="195" t="str">
        <f>IF(AND(AB$3&gt;=$D112,AB$3&lt;=$E112),IF((AB$3-$D112+1)*VLOOKUP($A112,presupuesto!$B:$Q,16,FALSE)&gt;=VLOOKUP($A112,informe!$A:$J,9,FALSE),"cg","c"),"n")</f>
        <v>n</v>
      </c>
      <c r="AC112" s="195" t="str">
        <f>IF(AND(AC$3&gt;=$D112,AC$3&lt;=$E112),IF((AC$3-$D112+1)*VLOOKUP($A112,presupuesto!$B:$Q,16,FALSE)&gt;=VLOOKUP($A112,informe!$A:$J,9,FALSE),"cg","c"),"n")</f>
        <v>n</v>
      </c>
      <c r="AD112" s="195" t="str">
        <f>IF(AND(AD$3&gt;=$D112,AD$3&lt;=$E112),IF((AD$3-$D112+1)*VLOOKUP($A112,presupuesto!$B:$Q,16,FALSE)&gt;=VLOOKUP($A112,informe!$A:$J,9,FALSE),"cg","c"),"n")</f>
        <v>n</v>
      </c>
      <c r="AE112" s="195" t="str">
        <f>IF(AND(AE$3&gt;=$D112,AE$3&lt;=$E112),IF((AE$3-$D112+1)*VLOOKUP($A112,presupuesto!$B:$Q,16,FALSE)&gt;=VLOOKUP($A112,informe!$A:$J,9,FALSE),"cg","c"),"n")</f>
        <v>n</v>
      </c>
      <c r="AF112" s="195" t="str">
        <f>IF(AND(AF$3&gt;=$D112,AF$3&lt;=$E112),IF((AF$3-$D112+1)*VLOOKUP($A112,presupuesto!$B:$Q,16,FALSE)&gt;=VLOOKUP($A112,informe!$A:$J,9,FALSE),"cg","c"),"n")</f>
        <v>n</v>
      </c>
      <c r="AG112" s="195" t="str">
        <f>IF(AND(AG$3&gt;=$D112,AG$3&lt;=$E112),IF((AG$3-$D112+1)*VLOOKUP($A112,presupuesto!$B:$Q,16,FALSE)&gt;=VLOOKUP($A112,informe!$A:$J,9,FALSE),"cg","c"),"n")</f>
        <v>n</v>
      </c>
      <c r="AH112" s="195" t="str">
        <f>IF(AND(AH$3&gt;=$D112,AH$3&lt;=$E112),IF((AH$3-$D112+1)*VLOOKUP($A112,presupuesto!$B:$Q,16,FALSE)&gt;=VLOOKUP($A112,informe!$A:$J,9,FALSE),"cg","c"),"n")</f>
        <v>n</v>
      </c>
      <c r="AI112" s="195" t="str">
        <f>IF(AND(AI$3&gt;=$D112,AI$3&lt;=$E112),IF((AI$3-$D112+1)*VLOOKUP($A112,presupuesto!$B:$Q,16,FALSE)&gt;=VLOOKUP($A112,informe!$A:$J,9,FALSE),"cg","c"),"n")</f>
        <v>n</v>
      </c>
      <c r="AJ112" s="195" t="str">
        <f>IF(AND(AJ$3&gt;=$D112,AJ$3&lt;=$E112),IF((AJ$3-$D112+1)*VLOOKUP($A112,presupuesto!$B:$Q,16,FALSE)&gt;=VLOOKUP($A112,informe!$A:$J,9,FALSE),"cg","c"),"n")</f>
        <v>n</v>
      </c>
      <c r="AK112" s="196" t="str">
        <f>IF(AND(AK$3&gt;=$D112,AK$3&lt;=$E112),IF((AK$3-$D112+1)*VLOOKUP($A112,presupuesto!$B:$Q,16,FALSE)&gt;=VLOOKUP($A112,informe!$A:$J,9,FALSE),"cg","c"),"n")</f>
        <v>n</v>
      </c>
    </row>
    <row r="113" spans="1:37" ht="14.25" customHeight="1" x14ac:dyDescent="0.3">
      <c r="A113" s="197">
        <f>presupuesto!B112</f>
        <v>0</v>
      </c>
      <c r="B113" s="181" t="str">
        <f>presupuesto!C112</f>
        <v xml:space="preserve">   CAPÍTULO V: RED DE DISTRIBUCIÓN</v>
      </c>
      <c r="C113" s="174" t="str">
        <f>presupuesto!G112</f>
        <v>305 días</v>
      </c>
      <c r="D113" s="177">
        <f>presupuesto!N112</f>
        <v>45600</v>
      </c>
      <c r="E113" s="177">
        <f>presupuesto!O112</f>
        <v>45905</v>
      </c>
      <c r="F113" s="194" t="str">
        <f>IF(AK113="n",CONCATENATE(" - "),IF(AK113="cg",CONCATENATE(" - "),CONCATENATE(ROUND(IFERROR(VLOOKUP(A113,informe!A:J,9,FALSE)/VLOOKUP(A113,informe!A:J,5,FALSE),0)*100,2),"% ")))</f>
        <v xml:space="preserve"> - </v>
      </c>
      <c r="G113" s="195" t="str">
        <f>IF(AND(G$3&gt;=$D113,G$3&lt;=$E113),IF((G$3-$D113+1)*VLOOKUP($A113,presupuesto!$B:$Q,16,FALSE)&gt;=VLOOKUP($A113,informe!$A:$J,9,FALSE),"cg","c"),"n")</f>
        <v>cg</v>
      </c>
      <c r="H113" s="195" t="str">
        <f>IF(AND(H$3&gt;=$D113,H$3&lt;=$E113),IF((H$3-$D113+1)*VLOOKUP($A113,presupuesto!$B:$Q,16,FALSE)&gt;=VLOOKUP($A113,informe!$A:$J,9,FALSE),"cg","c"),"n")</f>
        <v>cg</v>
      </c>
      <c r="I113" s="195" t="str">
        <f>IF(AND(I$3&gt;=$D113,I$3&lt;=$E113),IF((I$3-$D113+1)*VLOOKUP($A113,presupuesto!$B:$Q,16,FALSE)&gt;=VLOOKUP($A113,informe!$A:$J,9,FALSE),"cg","c"),"n")</f>
        <v>cg</v>
      </c>
      <c r="J113" s="195" t="str">
        <f>IF(AND(J$3&gt;=$D113,J$3&lt;=$E113),IF((J$3-$D113+1)*VLOOKUP($A113,presupuesto!$B:$Q,16,FALSE)&gt;=VLOOKUP($A113,informe!$A:$J,9,FALSE),"cg","c"),"n")</f>
        <v>cg</v>
      </c>
      <c r="K113" s="195" t="str">
        <f>IF(AND(K$3&gt;=$D113,K$3&lt;=$E113),IF((K$3-$D113+1)*VLOOKUP($A113,presupuesto!$B:$Q,16,FALSE)&gt;=VLOOKUP($A113,informe!$A:$J,9,FALSE),"cg","c"),"n")</f>
        <v>cg</v>
      </c>
      <c r="L113" s="195" t="str">
        <f>IF(AND(L$3&gt;=$D113,L$3&lt;=$E113),IF((L$3-$D113+1)*VLOOKUP($A113,presupuesto!$B:$Q,16,FALSE)&gt;=VLOOKUP($A113,informe!$A:$J,9,FALSE),"cg","c"),"n")</f>
        <v>cg</v>
      </c>
      <c r="M113" s="195" t="str">
        <f>IF(AND(M$3&gt;=$D113,M$3&lt;=$E113),IF((M$3-$D113+1)*VLOOKUP($A113,presupuesto!$B:$Q,16,FALSE)&gt;=VLOOKUP($A113,informe!$A:$J,9,FALSE),"cg","c"),"n")</f>
        <v>cg</v>
      </c>
      <c r="N113" s="195" t="str">
        <f>IF(AND(N$3&gt;=$D113,N$3&lt;=$E113),IF((N$3-$D113+1)*VLOOKUP($A113,presupuesto!$B:$Q,16,FALSE)&gt;=VLOOKUP($A113,informe!$A:$J,9,FALSE),"cg","c"),"n")</f>
        <v>cg</v>
      </c>
      <c r="O113" s="195" t="str">
        <f>IF(AND(O$3&gt;=$D113,O$3&lt;=$E113),IF((O$3-$D113+1)*VLOOKUP($A113,presupuesto!$B:$Q,16,FALSE)&gt;=VLOOKUP($A113,informe!$A:$J,9,FALSE),"cg","c"),"n")</f>
        <v>cg</v>
      </c>
      <c r="P113" s="195" t="str">
        <f>IF(AND(P$3&gt;=$D113,P$3&lt;=$E113),IF((P$3-$D113+1)*VLOOKUP($A113,presupuesto!$B:$Q,16,FALSE)&gt;=VLOOKUP($A113,informe!$A:$J,9,FALSE),"cg","c"),"n")</f>
        <v>cg</v>
      </c>
      <c r="Q113" s="195" t="str">
        <f>IF(AND(Q$3&gt;=$D113,Q$3&lt;=$E113),IF((Q$3-$D113+1)*VLOOKUP($A113,presupuesto!$B:$Q,16,FALSE)&gt;=VLOOKUP($A113,informe!$A:$J,9,FALSE),"cg","c"),"n")</f>
        <v>cg</v>
      </c>
      <c r="R113" s="195" t="str">
        <f>IF(AND(R$3&gt;=$D113,R$3&lt;=$E113),IF((R$3-$D113+1)*VLOOKUP($A113,presupuesto!$B:$Q,16,FALSE)&gt;=VLOOKUP($A113,informe!$A:$J,9,FALSE),"cg","c"),"n")</f>
        <v>cg</v>
      </c>
      <c r="S113" s="195" t="str">
        <f>IF(AND(S$3&gt;=$D113,S$3&lt;=$E113),IF((S$3-$D113+1)*VLOOKUP($A113,presupuesto!$B:$Q,16,FALSE)&gt;=VLOOKUP($A113,informe!$A:$J,9,FALSE),"cg","c"),"n")</f>
        <v>cg</v>
      </c>
      <c r="T113" s="195" t="str">
        <f>IF(AND(T$3&gt;=$D113,T$3&lt;=$E113),IF((T$3-$D113+1)*VLOOKUP($A113,presupuesto!$B:$Q,16,FALSE)&gt;=VLOOKUP($A113,informe!$A:$J,9,FALSE),"cg","c"),"n")</f>
        <v>cg</v>
      </c>
      <c r="U113" s="195" t="str">
        <f>IF(AND(U$3&gt;=$D113,U$3&lt;=$E113),IF((U$3-$D113+1)*VLOOKUP($A113,presupuesto!$B:$Q,16,FALSE)&gt;=VLOOKUP($A113,informe!$A:$J,9,FALSE),"cg","c"),"n")</f>
        <v>cg</v>
      </c>
      <c r="V113" s="195" t="str">
        <f>IF(AND(V$3&gt;=$D113,V$3&lt;=$E113),IF((V$3-$D113+1)*VLOOKUP($A113,presupuesto!$B:$Q,16,FALSE)&gt;=VLOOKUP($A113,informe!$A:$J,9,FALSE),"cg","c"),"n")</f>
        <v>cg</v>
      </c>
      <c r="W113" s="195" t="str">
        <f>IF(AND(W$3&gt;=$D113,W$3&lt;=$E113),IF((W$3-$D113+1)*VLOOKUP($A113,presupuesto!$B:$Q,16,FALSE)&gt;=VLOOKUP($A113,informe!$A:$J,9,FALSE),"cg","c"),"n")</f>
        <v>cg</v>
      </c>
      <c r="X113" s="195" t="str">
        <f>IF(AND(X$3&gt;=$D113,X$3&lt;=$E113),IF((X$3-$D113+1)*VLOOKUP($A113,presupuesto!$B:$Q,16,FALSE)&gt;=VLOOKUP($A113,informe!$A:$J,9,FALSE),"cg","c"),"n")</f>
        <v>cg</v>
      </c>
      <c r="Y113" s="195" t="str">
        <f>IF(AND(Y$3&gt;=$D113,Y$3&lt;=$E113),IF((Y$3-$D113+1)*VLOOKUP($A113,presupuesto!$B:$Q,16,FALSE)&gt;=VLOOKUP($A113,informe!$A:$J,9,FALSE),"cg","c"),"n")</f>
        <v>cg</v>
      </c>
      <c r="Z113" s="195" t="str">
        <f>IF(AND(Z$3&gt;=$D113,Z$3&lt;=$E113),IF((Z$3-$D113+1)*VLOOKUP($A113,presupuesto!$B:$Q,16,FALSE)&gt;=VLOOKUP($A113,informe!$A:$J,9,FALSE),"cg","c"),"n")</f>
        <v>cg</v>
      </c>
      <c r="AA113" s="195" t="str">
        <f>IF(AND(AA$3&gt;=$D113,AA$3&lt;=$E113),IF((AA$3-$D113+1)*VLOOKUP($A113,presupuesto!$B:$Q,16,FALSE)&gt;=VLOOKUP($A113,informe!$A:$J,9,FALSE),"cg","c"),"n")</f>
        <v>cg</v>
      </c>
      <c r="AB113" s="195" t="str">
        <f>IF(AND(AB$3&gt;=$D113,AB$3&lt;=$E113),IF((AB$3-$D113+1)*VLOOKUP($A113,presupuesto!$B:$Q,16,FALSE)&gt;=VLOOKUP($A113,informe!$A:$J,9,FALSE),"cg","c"),"n")</f>
        <v>cg</v>
      </c>
      <c r="AC113" s="195" t="str">
        <f>IF(AND(AC$3&gt;=$D113,AC$3&lt;=$E113),IF((AC$3-$D113+1)*VLOOKUP($A113,presupuesto!$B:$Q,16,FALSE)&gt;=VLOOKUP($A113,informe!$A:$J,9,FALSE),"cg","c"),"n")</f>
        <v>cg</v>
      </c>
      <c r="AD113" s="195" t="str">
        <f>IF(AND(AD$3&gt;=$D113,AD$3&lt;=$E113),IF((AD$3-$D113+1)*VLOOKUP($A113,presupuesto!$B:$Q,16,FALSE)&gt;=VLOOKUP($A113,informe!$A:$J,9,FALSE),"cg","c"),"n")</f>
        <v>cg</v>
      </c>
      <c r="AE113" s="195" t="str">
        <f>IF(AND(AE$3&gt;=$D113,AE$3&lt;=$E113),IF((AE$3-$D113+1)*VLOOKUP($A113,presupuesto!$B:$Q,16,FALSE)&gt;=VLOOKUP($A113,informe!$A:$J,9,FALSE),"cg","c"),"n")</f>
        <v>cg</v>
      </c>
      <c r="AF113" s="195" t="str">
        <f>IF(AND(AF$3&gt;=$D113,AF$3&lt;=$E113),IF((AF$3-$D113+1)*VLOOKUP($A113,presupuesto!$B:$Q,16,FALSE)&gt;=VLOOKUP($A113,informe!$A:$J,9,FALSE),"cg","c"),"n")</f>
        <v>cg</v>
      </c>
      <c r="AG113" s="195" t="str">
        <f>IF(AND(AG$3&gt;=$D113,AG$3&lt;=$E113),IF((AG$3-$D113+1)*VLOOKUP($A113,presupuesto!$B:$Q,16,FALSE)&gt;=VLOOKUP($A113,informe!$A:$J,9,FALSE),"cg","c"),"n")</f>
        <v>cg</v>
      </c>
      <c r="AH113" s="195" t="str">
        <f>IF(AND(AH$3&gt;=$D113,AH$3&lt;=$E113),IF((AH$3-$D113+1)*VLOOKUP($A113,presupuesto!$B:$Q,16,FALSE)&gt;=VLOOKUP($A113,informe!$A:$J,9,FALSE),"cg","c"),"n")</f>
        <v>cg</v>
      </c>
      <c r="AI113" s="195" t="str">
        <f>IF(AND(AI$3&gt;=$D113,AI$3&lt;=$E113),IF((AI$3-$D113+1)*VLOOKUP($A113,presupuesto!$B:$Q,16,FALSE)&gt;=VLOOKUP($A113,informe!$A:$J,9,FALSE),"cg","c"),"n")</f>
        <v>cg</v>
      </c>
      <c r="AJ113" s="195" t="str">
        <f>IF(AND(AJ$3&gt;=$D113,AJ$3&lt;=$E113),IF((AJ$3-$D113+1)*VLOOKUP($A113,presupuesto!$B:$Q,16,FALSE)&gt;=VLOOKUP($A113,informe!$A:$J,9,FALSE),"cg","c"),"n")</f>
        <v>cg</v>
      </c>
      <c r="AK113" s="196" t="str">
        <f>IF(AND(AK$3&gt;=$D113,AK$3&lt;=$E113),IF((AK$3-$D113+1)*VLOOKUP($A113,presupuesto!$B:$Q,16,FALSE)&gt;=VLOOKUP($A113,informe!$A:$J,9,FALSE),"cg","c"),"n")</f>
        <v>cg</v>
      </c>
    </row>
    <row r="114" spans="1:37" ht="12.75" customHeight="1" x14ac:dyDescent="0.3">
      <c r="A114" s="197" t="str">
        <f>presupuesto!B113</f>
        <v>A.-</v>
      </c>
      <c r="B114" s="181" t="str">
        <f>presupuesto!C113</f>
        <v xml:space="preserve">      MOVIMIENTOS DE TIERRA</v>
      </c>
      <c r="C114" s="174" t="str">
        <f>presupuesto!G113</f>
        <v>305 días</v>
      </c>
      <c r="D114" s="177">
        <f>presupuesto!N113</f>
        <v>45600</v>
      </c>
      <c r="E114" s="177">
        <f>presupuesto!O113</f>
        <v>45904</v>
      </c>
      <c r="F114" s="194" t="str">
        <f>IF(AK114="n",CONCATENATE(" - "),IF(AK114="cg",CONCATENATE(" - "),CONCATENATE(ROUND(IFERROR(VLOOKUP(A114,informe!A:J,9,FALSE)/VLOOKUP(A114,informe!A:J,5,FALSE),0)*100,2),"% ")))</f>
        <v xml:space="preserve"> - </v>
      </c>
      <c r="G114" s="195" t="str">
        <f>IF(AND(G$3&gt;=$D114,G$3&lt;=$E114),IF((G$3-$D114+1)*VLOOKUP($A114,presupuesto!$B:$Q,16,FALSE)&gt;=VLOOKUP($A114,informe!$A:$J,9,FALSE),"cg","c"),"n")</f>
        <v>cg</v>
      </c>
      <c r="H114" s="195" t="str">
        <f>IF(AND(H$3&gt;=$D114,H$3&lt;=$E114),IF((H$3-$D114+1)*VLOOKUP($A114,presupuesto!$B:$Q,16,FALSE)&gt;=VLOOKUP($A114,informe!$A:$J,9,FALSE),"cg","c"),"n")</f>
        <v>cg</v>
      </c>
      <c r="I114" s="195" t="str">
        <f>IF(AND(I$3&gt;=$D114,I$3&lt;=$E114),IF((I$3-$D114+1)*VLOOKUP($A114,presupuesto!$B:$Q,16,FALSE)&gt;=VLOOKUP($A114,informe!$A:$J,9,FALSE),"cg","c"),"n")</f>
        <v>cg</v>
      </c>
      <c r="J114" s="195" t="str">
        <f>IF(AND(J$3&gt;=$D114,J$3&lt;=$E114),IF((J$3-$D114+1)*VLOOKUP($A114,presupuesto!$B:$Q,16,FALSE)&gt;=VLOOKUP($A114,informe!$A:$J,9,FALSE),"cg","c"),"n")</f>
        <v>cg</v>
      </c>
      <c r="K114" s="195" t="str">
        <f>IF(AND(K$3&gt;=$D114,K$3&lt;=$E114),IF((K$3-$D114+1)*VLOOKUP($A114,presupuesto!$B:$Q,16,FALSE)&gt;=VLOOKUP($A114,informe!$A:$J,9,FALSE),"cg","c"),"n")</f>
        <v>cg</v>
      </c>
      <c r="L114" s="195" t="str">
        <f>IF(AND(L$3&gt;=$D114,L$3&lt;=$E114),IF((L$3-$D114+1)*VLOOKUP($A114,presupuesto!$B:$Q,16,FALSE)&gt;=VLOOKUP($A114,informe!$A:$J,9,FALSE),"cg","c"),"n")</f>
        <v>cg</v>
      </c>
      <c r="M114" s="195" t="str">
        <f>IF(AND(M$3&gt;=$D114,M$3&lt;=$E114),IF((M$3-$D114+1)*VLOOKUP($A114,presupuesto!$B:$Q,16,FALSE)&gt;=VLOOKUP($A114,informe!$A:$J,9,FALSE),"cg","c"),"n")</f>
        <v>cg</v>
      </c>
      <c r="N114" s="195" t="str">
        <f>IF(AND(N$3&gt;=$D114,N$3&lt;=$E114),IF((N$3-$D114+1)*VLOOKUP($A114,presupuesto!$B:$Q,16,FALSE)&gt;=VLOOKUP($A114,informe!$A:$J,9,FALSE),"cg","c"),"n")</f>
        <v>cg</v>
      </c>
      <c r="O114" s="195" t="str">
        <f>IF(AND(O$3&gt;=$D114,O$3&lt;=$E114),IF((O$3-$D114+1)*VLOOKUP($A114,presupuesto!$B:$Q,16,FALSE)&gt;=VLOOKUP($A114,informe!$A:$J,9,FALSE),"cg","c"),"n")</f>
        <v>cg</v>
      </c>
      <c r="P114" s="195" t="str">
        <f>IF(AND(P$3&gt;=$D114,P$3&lt;=$E114),IF((P$3-$D114+1)*VLOOKUP($A114,presupuesto!$B:$Q,16,FALSE)&gt;=VLOOKUP($A114,informe!$A:$J,9,FALSE),"cg","c"),"n")</f>
        <v>cg</v>
      </c>
      <c r="Q114" s="195" t="str">
        <f>IF(AND(Q$3&gt;=$D114,Q$3&lt;=$E114),IF((Q$3-$D114+1)*VLOOKUP($A114,presupuesto!$B:$Q,16,FALSE)&gt;=VLOOKUP($A114,informe!$A:$J,9,FALSE),"cg","c"),"n")</f>
        <v>cg</v>
      </c>
      <c r="R114" s="195" t="str">
        <f>IF(AND(R$3&gt;=$D114,R$3&lt;=$E114),IF((R$3-$D114+1)*VLOOKUP($A114,presupuesto!$B:$Q,16,FALSE)&gt;=VLOOKUP($A114,informe!$A:$J,9,FALSE),"cg","c"),"n")</f>
        <v>cg</v>
      </c>
      <c r="S114" s="195" t="str">
        <f>IF(AND(S$3&gt;=$D114,S$3&lt;=$E114),IF((S$3-$D114+1)*VLOOKUP($A114,presupuesto!$B:$Q,16,FALSE)&gt;=VLOOKUP($A114,informe!$A:$J,9,FALSE),"cg","c"),"n")</f>
        <v>cg</v>
      </c>
      <c r="T114" s="195" t="str">
        <f>IF(AND(T$3&gt;=$D114,T$3&lt;=$E114),IF((T$3-$D114+1)*VLOOKUP($A114,presupuesto!$B:$Q,16,FALSE)&gt;=VLOOKUP($A114,informe!$A:$J,9,FALSE),"cg","c"),"n")</f>
        <v>cg</v>
      </c>
      <c r="U114" s="195" t="str">
        <f>IF(AND(U$3&gt;=$D114,U$3&lt;=$E114),IF((U$3-$D114+1)*VLOOKUP($A114,presupuesto!$B:$Q,16,FALSE)&gt;=VLOOKUP($A114,informe!$A:$J,9,FALSE),"cg","c"),"n")</f>
        <v>cg</v>
      </c>
      <c r="V114" s="195" t="str">
        <f>IF(AND(V$3&gt;=$D114,V$3&lt;=$E114),IF((V$3-$D114+1)*VLOOKUP($A114,presupuesto!$B:$Q,16,FALSE)&gt;=VLOOKUP($A114,informe!$A:$J,9,FALSE),"cg","c"),"n")</f>
        <v>cg</v>
      </c>
      <c r="W114" s="195" t="str">
        <f>IF(AND(W$3&gt;=$D114,W$3&lt;=$E114),IF((W$3-$D114+1)*VLOOKUP($A114,presupuesto!$B:$Q,16,FALSE)&gt;=VLOOKUP($A114,informe!$A:$J,9,FALSE),"cg","c"),"n")</f>
        <v>cg</v>
      </c>
      <c r="X114" s="195" t="str">
        <f>IF(AND(X$3&gt;=$D114,X$3&lt;=$E114),IF((X$3-$D114+1)*VLOOKUP($A114,presupuesto!$B:$Q,16,FALSE)&gt;=VLOOKUP($A114,informe!$A:$J,9,FALSE),"cg","c"),"n")</f>
        <v>cg</v>
      </c>
      <c r="Y114" s="195" t="str">
        <f>IF(AND(Y$3&gt;=$D114,Y$3&lt;=$E114),IF((Y$3-$D114+1)*VLOOKUP($A114,presupuesto!$B:$Q,16,FALSE)&gt;=VLOOKUP($A114,informe!$A:$J,9,FALSE),"cg","c"),"n")</f>
        <v>cg</v>
      </c>
      <c r="Z114" s="195" t="str">
        <f>IF(AND(Z$3&gt;=$D114,Z$3&lt;=$E114),IF((Z$3-$D114+1)*VLOOKUP($A114,presupuesto!$B:$Q,16,FALSE)&gt;=VLOOKUP($A114,informe!$A:$J,9,FALSE),"cg","c"),"n")</f>
        <v>cg</v>
      </c>
      <c r="AA114" s="195" t="str">
        <f>IF(AND(AA$3&gt;=$D114,AA$3&lt;=$E114),IF((AA$3-$D114+1)*VLOOKUP($A114,presupuesto!$B:$Q,16,FALSE)&gt;=VLOOKUP($A114,informe!$A:$J,9,FALSE),"cg","c"),"n")</f>
        <v>cg</v>
      </c>
      <c r="AB114" s="195" t="str">
        <f>IF(AND(AB$3&gt;=$D114,AB$3&lt;=$E114),IF((AB$3-$D114+1)*VLOOKUP($A114,presupuesto!$B:$Q,16,FALSE)&gt;=VLOOKUP($A114,informe!$A:$J,9,FALSE),"cg","c"),"n")</f>
        <v>cg</v>
      </c>
      <c r="AC114" s="195" t="str">
        <f>IF(AND(AC$3&gt;=$D114,AC$3&lt;=$E114),IF((AC$3-$D114+1)*VLOOKUP($A114,presupuesto!$B:$Q,16,FALSE)&gt;=VLOOKUP($A114,informe!$A:$J,9,FALSE),"cg","c"),"n")</f>
        <v>cg</v>
      </c>
      <c r="AD114" s="195" t="str">
        <f>IF(AND(AD$3&gt;=$D114,AD$3&lt;=$E114),IF((AD$3-$D114+1)*VLOOKUP($A114,presupuesto!$B:$Q,16,FALSE)&gt;=VLOOKUP($A114,informe!$A:$J,9,FALSE),"cg","c"),"n")</f>
        <v>cg</v>
      </c>
      <c r="AE114" s="195" t="str">
        <f>IF(AND(AE$3&gt;=$D114,AE$3&lt;=$E114),IF((AE$3-$D114+1)*VLOOKUP($A114,presupuesto!$B:$Q,16,FALSE)&gt;=VLOOKUP($A114,informe!$A:$J,9,FALSE),"cg","c"),"n")</f>
        <v>cg</v>
      </c>
      <c r="AF114" s="195" t="str">
        <f>IF(AND(AF$3&gt;=$D114,AF$3&lt;=$E114),IF((AF$3-$D114+1)*VLOOKUP($A114,presupuesto!$B:$Q,16,FALSE)&gt;=VLOOKUP($A114,informe!$A:$J,9,FALSE),"cg","c"),"n")</f>
        <v>cg</v>
      </c>
      <c r="AG114" s="195" t="str">
        <f>IF(AND(AG$3&gt;=$D114,AG$3&lt;=$E114),IF((AG$3-$D114+1)*VLOOKUP($A114,presupuesto!$B:$Q,16,FALSE)&gt;=VLOOKUP($A114,informe!$A:$J,9,FALSE),"cg","c"),"n")</f>
        <v>cg</v>
      </c>
      <c r="AH114" s="195" t="str">
        <f>IF(AND(AH$3&gt;=$D114,AH$3&lt;=$E114),IF((AH$3-$D114+1)*VLOOKUP($A114,presupuesto!$B:$Q,16,FALSE)&gt;=VLOOKUP($A114,informe!$A:$J,9,FALSE),"cg","c"),"n")</f>
        <v>cg</v>
      </c>
      <c r="AI114" s="195" t="str">
        <f>IF(AND(AI$3&gt;=$D114,AI$3&lt;=$E114),IF((AI$3-$D114+1)*VLOOKUP($A114,presupuesto!$B:$Q,16,FALSE)&gt;=VLOOKUP($A114,informe!$A:$J,9,FALSE),"cg","c"),"n")</f>
        <v>cg</v>
      </c>
      <c r="AJ114" s="195" t="str">
        <f>IF(AND(AJ$3&gt;=$D114,AJ$3&lt;=$E114),IF((AJ$3-$D114+1)*VLOOKUP($A114,presupuesto!$B:$Q,16,FALSE)&gt;=VLOOKUP($A114,informe!$A:$J,9,FALSE),"cg","c"),"n")</f>
        <v>cg</v>
      </c>
      <c r="AK114" s="196" t="str">
        <f>IF(AND(AK$3&gt;=$D114,AK$3&lt;=$E114),IF((AK$3-$D114+1)*VLOOKUP($A114,presupuesto!$B:$Q,16,FALSE)&gt;=VLOOKUP($A114,informe!$A:$J,9,FALSE),"cg","c"),"n")</f>
        <v>cg</v>
      </c>
    </row>
    <row r="115" spans="1:37" ht="12.75" customHeight="1" x14ac:dyDescent="0.25">
      <c r="A115" s="193">
        <f>presupuesto!B114</f>
        <v>73</v>
      </c>
      <c r="B115" s="182" t="str">
        <f>presupuesto!C114</f>
        <v xml:space="preserve">         Excavación de zanja, terreno Tipo III</v>
      </c>
      <c r="C115" s="174" t="str">
        <f>presupuesto!G114</f>
        <v>305 días</v>
      </c>
      <c r="D115" s="176">
        <f>presupuesto!N114</f>
        <v>45600</v>
      </c>
      <c r="E115" s="176">
        <f>presupuesto!O114</f>
        <v>45904</v>
      </c>
      <c r="F115" s="194" t="str">
        <f>IF(AK115="n",CONCATENATE(" - "),IF(AK115="cg",CONCATENATE(" - "),CONCATENATE(ROUND(IFERROR(VLOOKUP(A115,informe!A:J,9,FALSE)/VLOOKUP(A115,informe!A:J,5,FALSE),0)*100,2),"% ")))</f>
        <v xml:space="preserve">47,93% </v>
      </c>
      <c r="G115" s="195" t="str">
        <f>IF(AND(G$3&gt;=$D115,G$3&lt;=$E115),IF((G$3-$D115+1)*VLOOKUP($A115,presupuesto!$B:$Q,16,FALSE)&gt;=VLOOKUP($A115,informe!$A:$J,9,FALSE),"cg","c"),"n")</f>
        <v>c</v>
      </c>
      <c r="H115" s="195" t="str">
        <f>IF(AND(H$3&gt;=$D115,H$3&lt;=$E115),IF((H$3-$D115+1)*VLOOKUP($A115,presupuesto!$B:$Q,16,FALSE)&gt;=VLOOKUP($A115,informe!$A:$J,9,FALSE),"cg","c"),"n")</f>
        <v>c</v>
      </c>
      <c r="I115" s="195" t="str">
        <f>IF(AND(I$3&gt;=$D115,I$3&lt;=$E115),IF((I$3-$D115+1)*VLOOKUP($A115,presupuesto!$B:$Q,16,FALSE)&gt;=VLOOKUP($A115,informe!$A:$J,9,FALSE),"cg","c"),"n")</f>
        <v>c</v>
      </c>
      <c r="J115" s="195" t="str">
        <f>IF(AND(J$3&gt;=$D115,J$3&lt;=$E115),IF((J$3-$D115+1)*VLOOKUP($A115,presupuesto!$B:$Q,16,FALSE)&gt;=VLOOKUP($A115,informe!$A:$J,9,FALSE),"cg","c"),"n")</f>
        <v>c</v>
      </c>
      <c r="K115" s="195" t="str">
        <f>IF(AND(K$3&gt;=$D115,K$3&lt;=$E115),IF((K$3-$D115+1)*VLOOKUP($A115,presupuesto!$B:$Q,16,FALSE)&gt;=VLOOKUP($A115,informe!$A:$J,9,FALSE),"cg","c"),"n")</f>
        <v>c</v>
      </c>
      <c r="L115" s="195" t="str">
        <f>IF(AND(L$3&gt;=$D115,L$3&lt;=$E115),IF((L$3-$D115+1)*VLOOKUP($A115,presupuesto!$B:$Q,16,FALSE)&gt;=VLOOKUP($A115,informe!$A:$J,9,FALSE),"cg","c"),"n")</f>
        <v>c</v>
      </c>
      <c r="M115" s="195" t="str">
        <f>IF(AND(M$3&gt;=$D115,M$3&lt;=$E115),IF((M$3-$D115+1)*VLOOKUP($A115,presupuesto!$B:$Q,16,FALSE)&gt;=VLOOKUP($A115,informe!$A:$J,9,FALSE),"cg","c"),"n")</f>
        <v>c</v>
      </c>
      <c r="N115" s="195" t="str">
        <f>IF(AND(N$3&gt;=$D115,N$3&lt;=$E115),IF((N$3-$D115+1)*VLOOKUP($A115,presupuesto!$B:$Q,16,FALSE)&gt;=VLOOKUP($A115,informe!$A:$J,9,FALSE),"cg","c"),"n")</f>
        <v>c</v>
      </c>
      <c r="O115" s="195" t="str">
        <f>IF(AND(O$3&gt;=$D115,O$3&lt;=$E115),IF((O$3-$D115+1)*VLOOKUP($A115,presupuesto!$B:$Q,16,FALSE)&gt;=VLOOKUP($A115,informe!$A:$J,9,FALSE),"cg","c"),"n")</f>
        <v>c</v>
      </c>
      <c r="P115" s="195" t="str">
        <f>IF(AND(P$3&gt;=$D115,P$3&lt;=$E115),IF((P$3-$D115+1)*VLOOKUP($A115,presupuesto!$B:$Q,16,FALSE)&gt;=VLOOKUP($A115,informe!$A:$J,9,FALSE),"cg","c"),"n")</f>
        <v>c</v>
      </c>
      <c r="Q115" s="195" t="str">
        <f>IF(AND(Q$3&gt;=$D115,Q$3&lt;=$E115),IF((Q$3-$D115+1)*VLOOKUP($A115,presupuesto!$B:$Q,16,FALSE)&gt;=VLOOKUP($A115,informe!$A:$J,9,FALSE),"cg","c"),"n")</f>
        <v>c</v>
      </c>
      <c r="R115" s="195" t="str">
        <f>IF(AND(R$3&gt;=$D115,R$3&lt;=$E115),IF((R$3-$D115+1)*VLOOKUP($A115,presupuesto!$B:$Q,16,FALSE)&gt;=VLOOKUP($A115,informe!$A:$J,9,FALSE),"cg","c"),"n")</f>
        <v>c</v>
      </c>
      <c r="S115" s="195" t="str">
        <f>IF(AND(S$3&gt;=$D115,S$3&lt;=$E115),IF((S$3-$D115+1)*VLOOKUP($A115,presupuesto!$B:$Q,16,FALSE)&gt;=VLOOKUP($A115,informe!$A:$J,9,FALSE),"cg","c"),"n")</f>
        <v>c</v>
      </c>
      <c r="T115" s="195" t="str">
        <f>IF(AND(T$3&gt;=$D115,T$3&lt;=$E115),IF((T$3-$D115+1)*VLOOKUP($A115,presupuesto!$B:$Q,16,FALSE)&gt;=VLOOKUP($A115,informe!$A:$J,9,FALSE),"cg","c"),"n")</f>
        <v>c</v>
      </c>
      <c r="U115" s="195" t="str">
        <f>IF(AND(U$3&gt;=$D115,U$3&lt;=$E115),IF((U$3-$D115+1)*VLOOKUP($A115,presupuesto!$B:$Q,16,FALSE)&gt;=VLOOKUP($A115,informe!$A:$J,9,FALSE),"cg","c"),"n")</f>
        <v>c</v>
      </c>
      <c r="V115" s="195" t="str">
        <f>IF(AND(V$3&gt;=$D115,V$3&lt;=$E115),IF((V$3-$D115+1)*VLOOKUP($A115,presupuesto!$B:$Q,16,FALSE)&gt;=VLOOKUP($A115,informe!$A:$J,9,FALSE),"cg","c"),"n")</f>
        <v>c</v>
      </c>
      <c r="W115" s="195" t="str">
        <f>IF(AND(W$3&gt;=$D115,W$3&lt;=$E115),IF((W$3-$D115+1)*VLOOKUP($A115,presupuesto!$B:$Q,16,FALSE)&gt;=VLOOKUP($A115,informe!$A:$J,9,FALSE),"cg","c"),"n")</f>
        <v>c</v>
      </c>
      <c r="X115" s="195" t="str">
        <f>IF(AND(X$3&gt;=$D115,X$3&lt;=$E115),IF((X$3-$D115+1)*VLOOKUP($A115,presupuesto!$B:$Q,16,FALSE)&gt;=VLOOKUP($A115,informe!$A:$J,9,FALSE),"cg","c"),"n")</f>
        <v>c</v>
      </c>
      <c r="Y115" s="195" t="str">
        <f>IF(AND(Y$3&gt;=$D115,Y$3&lt;=$E115),IF((Y$3-$D115+1)*VLOOKUP($A115,presupuesto!$B:$Q,16,FALSE)&gt;=VLOOKUP($A115,informe!$A:$J,9,FALSE),"cg","c"),"n")</f>
        <v>c</v>
      </c>
      <c r="Z115" s="195" t="str">
        <f>IF(AND(Z$3&gt;=$D115,Z$3&lt;=$E115),IF((Z$3-$D115+1)*VLOOKUP($A115,presupuesto!$B:$Q,16,FALSE)&gt;=VLOOKUP($A115,informe!$A:$J,9,FALSE),"cg","c"),"n")</f>
        <v>c</v>
      </c>
      <c r="AA115" s="195" t="str">
        <f>IF(AND(AA$3&gt;=$D115,AA$3&lt;=$E115),IF((AA$3-$D115+1)*VLOOKUP($A115,presupuesto!$B:$Q,16,FALSE)&gt;=VLOOKUP($A115,informe!$A:$J,9,FALSE),"cg","c"),"n")</f>
        <v>c</v>
      </c>
      <c r="AB115" s="195" t="str">
        <f>IF(AND(AB$3&gt;=$D115,AB$3&lt;=$E115),IF((AB$3-$D115+1)*VLOOKUP($A115,presupuesto!$B:$Q,16,FALSE)&gt;=VLOOKUP($A115,informe!$A:$J,9,FALSE),"cg","c"),"n")</f>
        <v>c</v>
      </c>
      <c r="AC115" s="195" t="str">
        <f>IF(AND(AC$3&gt;=$D115,AC$3&lt;=$E115),IF((AC$3-$D115+1)*VLOOKUP($A115,presupuesto!$B:$Q,16,FALSE)&gt;=VLOOKUP($A115,informe!$A:$J,9,FALSE),"cg","c"),"n")</f>
        <v>c</v>
      </c>
      <c r="AD115" s="195" t="str">
        <f>IF(AND(AD$3&gt;=$D115,AD$3&lt;=$E115),IF((AD$3-$D115+1)*VLOOKUP($A115,presupuesto!$B:$Q,16,FALSE)&gt;=VLOOKUP($A115,informe!$A:$J,9,FALSE),"cg","c"),"n")</f>
        <v>c</v>
      </c>
      <c r="AE115" s="195" t="str">
        <f>IF(AND(AE$3&gt;=$D115,AE$3&lt;=$E115),IF((AE$3-$D115+1)*VLOOKUP($A115,presupuesto!$B:$Q,16,FALSE)&gt;=VLOOKUP($A115,informe!$A:$J,9,FALSE),"cg","c"),"n")</f>
        <v>c</v>
      </c>
      <c r="AF115" s="195" t="str">
        <f>IF(AND(AF$3&gt;=$D115,AF$3&lt;=$E115),IF((AF$3-$D115+1)*VLOOKUP($A115,presupuesto!$B:$Q,16,FALSE)&gt;=VLOOKUP($A115,informe!$A:$J,9,FALSE),"cg","c"),"n")</f>
        <v>c</v>
      </c>
      <c r="AG115" s="195" t="str">
        <f>IF(AND(AG$3&gt;=$D115,AG$3&lt;=$E115),IF((AG$3-$D115+1)*VLOOKUP($A115,presupuesto!$B:$Q,16,FALSE)&gt;=VLOOKUP($A115,informe!$A:$J,9,FALSE),"cg","c"),"n")</f>
        <v>c</v>
      </c>
      <c r="AH115" s="195" t="str">
        <f>IF(AND(AH$3&gt;=$D115,AH$3&lt;=$E115),IF((AH$3-$D115+1)*VLOOKUP($A115,presupuesto!$B:$Q,16,FALSE)&gt;=VLOOKUP($A115,informe!$A:$J,9,FALSE),"cg","c"),"n")</f>
        <v>c</v>
      </c>
      <c r="AI115" s="195" t="str">
        <f>IF(AND(AI$3&gt;=$D115,AI$3&lt;=$E115),IF((AI$3-$D115+1)*VLOOKUP($A115,presupuesto!$B:$Q,16,FALSE)&gt;=VLOOKUP($A115,informe!$A:$J,9,FALSE),"cg","c"),"n")</f>
        <v>c</v>
      </c>
      <c r="AJ115" s="195" t="str">
        <f>IF(AND(AJ$3&gt;=$D115,AJ$3&lt;=$E115),IF((AJ$3-$D115+1)*VLOOKUP($A115,presupuesto!$B:$Q,16,FALSE)&gt;=VLOOKUP($A115,informe!$A:$J,9,FALSE),"cg","c"),"n")</f>
        <v>c</v>
      </c>
      <c r="AK115" s="196" t="str">
        <f>IF(AND(AK$3&gt;=$D115,AK$3&lt;=$E115),IF((AK$3-$D115+1)*VLOOKUP($A115,presupuesto!$B:$Q,16,FALSE)&gt;=VLOOKUP($A115,informe!$A:$J,9,FALSE),"cg","c"),"n")</f>
        <v>c</v>
      </c>
    </row>
    <row r="116" spans="1:37" ht="12.75" customHeight="1" x14ac:dyDescent="0.25">
      <c r="A116" s="193">
        <f>presupuesto!B115</f>
        <v>74</v>
      </c>
      <c r="B116" s="182" t="str">
        <f>presupuesto!C115</f>
        <v xml:space="preserve">         Excavación a mano</v>
      </c>
      <c r="C116" s="173" t="str">
        <f>presupuesto!G115</f>
        <v>210 días</v>
      </c>
      <c r="D116" s="176">
        <f>presupuesto!N115</f>
        <v>45695</v>
      </c>
      <c r="E116" s="176">
        <f>presupuesto!O115</f>
        <v>45904</v>
      </c>
      <c r="F116" s="194" t="str">
        <f>IF(AK116="n",CONCATENATE(" - "),IF(AK116="cg",CONCATENATE(" - "),CONCATENATE(ROUND(IFERROR(VLOOKUP(A116,informe!A:J,9,FALSE)/VLOOKUP(A116,informe!A:J,5,FALSE),0)*100,2),"% ")))</f>
        <v xml:space="preserve"> - </v>
      </c>
      <c r="G116" s="195" t="str">
        <f>IF(AND(G$3&gt;=$D116,G$3&lt;=$E116),IF((G$3-$D116+1)*VLOOKUP($A116,presupuesto!$B:$Q,16,FALSE)&gt;=VLOOKUP($A116,informe!$A:$J,9,FALSE),"cg","c"),"n")</f>
        <v>n</v>
      </c>
      <c r="H116" s="195" t="str">
        <f>IF(AND(H$3&gt;=$D116,H$3&lt;=$E116),IF((H$3-$D116+1)*VLOOKUP($A116,presupuesto!$B:$Q,16,FALSE)&gt;=VLOOKUP($A116,informe!$A:$J,9,FALSE),"cg","c"),"n")</f>
        <v>n</v>
      </c>
      <c r="I116" s="195" t="str">
        <f>IF(AND(I$3&gt;=$D116,I$3&lt;=$E116),IF((I$3-$D116+1)*VLOOKUP($A116,presupuesto!$B:$Q,16,FALSE)&gt;=VLOOKUP($A116,informe!$A:$J,9,FALSE),"cg","c"),"n")</f>
        <v>n</v>
      </c>
      <c r="J116" s="195" t="str">
        <f>IF(AND(J$3&gt;=$D116,J$3&lt;=$E116),IF((J$3-$D116+1)*VLOOKUP($A116,presupuesto!$B:$Q,16,FALSE)&gt;=VLOOKUP($A116,informe!$A:$J,9,FALSE),"cg","c"),"n")</f>
        <v>n</v>
      </c>
      <c r="K116" s="195" t="str">
        <f>IF(AND(K$3&gt;=$D116,K$3&lt;=$E116),IF((K$3-$D116+1)*VLOOKUP($A116,presupuesto!$B:$Q,16,FALSE)&gt;=VLOOKUP($A116,informe!$A:$J,9,FALSE),"cg","c"),"n")</f>
        <v>n</v>
      </c>
      <c r="L116" s="195" t="str">
        <f>IF(AND(L$3&gt;=$D116,L$3&lt;=$E116),IF((L$3-$D116+1)*VLOOKUP($A116,presupuesto!$B:$Q,16,FALSE)&gt;=VLOOKUP($A116,informe!$A:$J,9,FALSE),"cg","c"),"n")</f>
        <v>n</v>
      </c>
      <c r="M116" s="195" t="str">
        <f>IF(AND(M$3&gt;=$D116,M$3&lt;=$E116),IF((M$3-$D116+1)*VLOOKUP($A116,presupuesto!$B:$Q,16,FALSE)&gt;=VLOOKUP($A116,informe!$A:$J,9,FALSE),"cg","c"),"n")</f>
        <v>n</v>
      </c>
      <c r="N116" s="195" t="str">
        <f>IF(AND(N$3&gt;=$D116,N$3&lt;=$E116),IF((N$3-$D116+1)*VLOOKUP($A116,presupuesto!$B:$Q,16,FALSE)&gt;=VLOOKUP($A116,informe!$A:$J,9,FALSE),"cg","c"),"n")</f>
        <v>n</v>
      </c>
      <c r="O116" s="195" t="str">
        <f>IF(AND(O$3&gt;=$D116,O$3&lt;=$E116),IF((O$3-$D116+1)*VLOOKUP($A116,presupuesto!$B:$Q,16,FALSE)&gt;=VLOOKUP($A116,informe!$A:$J,9,FALSE),"cg","c"),"n")</f>
        <v>n</v>
      </c>
      <c r="P116" s="195" t="str">
        <f>IF(AND(P$3&gt;=$D116,P$3&lt;=$E116),IF((P$3-$D116+1)*VLOOKUP($A116,presupuesto!$B:$Q,16,FALSE)&gt;=VLOOKUP($A116,informe!$A:$J,9,FALSE),"cg","c"),"n")</f>
        <v>n</v>
      </c>
      <c r="Q116" s="195" t="str">
        <f>IF(AND(Q$3&gt;=$D116,Q$3&lt;=$E116),IF((Q$3-$D116+1)*VLOOKUP($A116,presupuesto!$B:$Q,16,FALSE)&gt;=VLOOKUP($A116,informe!$A:$J,9,FALSE),"cg","c"),"n")</f>
        <v>n</v>
      </c>
      <c r="R116" s="195" t="str">
        <f>IF(AND(R$3&gt;=$D116,R$3&lt;=$E116),IF((R$3-$D116+1)*VLOOKUP($A116,presupuesto!$B:$Q,16,FALSE)&gt;=VLOOKUP($A116,informe!$A:$J,9,FALSE),"cg","c"),"n")</f>
        <v>n</v>
      </c>
      <c r="S116" s="195" t="str">
        <f>IF(AND(S$3&gt;=$D116,S$3&lt;=$E116),IF((S$3-$D116+1)*VLOOKUP($A116,presupuesto!$B:$Q,16,FALSE)&gt;=VLOOKUP($A116,informe!$A:$J,9,FALSE),"cg","c"),"n")</f>
        <v>n</v>
      </c>
      <c r="T116" s="195" t="str">
        <f>IF(AND(T$3&gt;=$D116,T$3&lt;=$E116),IF((T$3-$D116+1)*VLOOKUP($A116,presupuesto!$B:$Q,16,FALSE)&gt;=VLOOKUP($A116,informe!$A:$J,9,FALSE),"cg","c"),"n")</f>
        <v>n</v>
      </c>
      <c r="U116" s="195" t="str">
        <f>IF(AND(U$3&gt;=$D116,U$3&lt;=$E116),IF((U$3-$D116+1)*VLOOKUP($A116,presupuesto!$B:$Q,16,FALSE)&gt;=VLOOKUP($A116,informe!$A:$J,9,FALSE),"cg","c"),"n")</f>
        <v>n</v>
      </c>
      <c r="V116" s="195" t="str">
        <f>IF(AND(V$3&gt;=$D116,V$3&lt;=$E116),IF((V$3-$D116+1)*VLOOKUP($A116,presupuesto!$B:$Q,16,FALSE)&gt;=VLOOKUP($A116,informe!$A:$J,9,FALSE),"cg","c"),"n")</f>
        <v>n</v>
      </c>
      <c r="W116" s="195" t="str">
        <f>IF(AND(W$3&gt;=$D116,W$3&lt;=$E116),IF((W$3-$D116+1)*VLOOKUP($A116,presupuesto!$B:$Q,16,FALSE)&gt;=VLOOKUP($A116,informe!$A:$J,9,FALSE),"cg","c"),"n")</f>
        <v>n</v>
      </c>
      <c r="X116" s="195" t="str">
        <f>IF(AND(X$3&gt;=$D116,X$3&lt;=$E116),IF((X$3-$D116+1)*VLOOKUP($A116,presupuesto!$B:$Q,16,FALSE)&gt;=VLOOKUP($A116,informe!$A:$J,9,FALSE),"cg","c"),"n")</f>
        <v>n</v>
      </c>
      <c r="Y116" s="195" t="str">
        <f>IF(AND(Y$3&gt;=$D116,Y$3&lt;=$E116),IF((Y$3-$D116+1)*VLOOKUP($A116,presupuesto!$B:$Q,16,FALSE)&gt;=VLOOKUP($A116,informe!$A:$J,9,FALSE),"cg","c"),"n")</f>
        <v>n</v>
      </c>
      <c r="Z116" s="195" t="str">
        <f>IF(AND(Z$3&gt;=$D116,Z$3&lt;=$E116),IF((Z$3-$D116+1)*VLOOKUP($A116,presupuesto!$B:$Q,16,FALSE)&gt;=VLOOKUP($A116,informe!$A:$J,9,FALSE),"cg","c"),"n")</f>
        <v>n</v>
      </c>
      <c r="AA116" s="195" t="str">
        <f>IF(AND(AA$3&gt;=$D116,AA$3&lt;=$E116),IF((AA$3-$D116+1)*VLOOKUP($A116,presupuesto!$B:$Q,16,FALSE)&gt;=VLOOKUP($A116,informe!$A:$J,9,FALSE),"cg","c"),"n")</f>
        <v>n</v>
      </c>
      <c r="AB116" s="195" t="str">
        <f>IF(AND(AB$3&gt;=$D116,AB$3&lt;=$E116),IF((AB$3-$D116+1)*VLOOKUP($A116,presupuesto!$B:$Q,16,FALSE)&gt;=VLOOKUP($A116,informe!$A:$J,9,FALSE),"cg","c"),"n")</f>
        <v>n</v>
      </c>
      <c r="AC116" s="195" t="str">
        <f>IF(AND(AC$3&gt;=$D116,AC$3&lt;=$E116),IF((AC$3-$D116+1)*VLOOKUP($A116,presupuesto!$B:$Q,16,FALSE)&gt;=VLOOKUP($A116,informe!$A:$J,9,FALSE),"cg","c"),"n")</f>
        <v>n</v>
      </c>
      <c r="AD116" s="195" t="str">
        <f>IF(AND(AD$3&gt;=$D116,AD$3&lt;=$E116),IF((AD$3-$D116+1)*VLOOKUP($A116,presupuesto!$B:$Q,16,FALSE)&gt;=VLOOKUP($A116,informe!$A:$J,9,FALSE),"cg","c"),"n")</f>
        <v>n</v>
      </c>
      <c r="AE116" s="195" t="str">
        <f>IF(AND(AE$3&gt;=$D116,AE$3&lt;=$E116),IF((AE$3-$D116+1)*VLOOKUP($A116,presupuesto!$B:$Q,16,FALSE)&gt;=VLOOKUP($A116,informe!$A:$J,9,FALSE),"cg","c"),"n")</f>
        <v>n</v>
      </c>
      <c r="AF116" s="195" t="str">
        <f>IF(AND(AF$3&gt;=$D116,AF$3&lt;=$E116),IF((AF$3-$D116+1)*VLOOKUP($A116,presupuesto!$B:$Q,16,FALSE)&gt;=VLOOKUP($A116,informe!$A:$J,9,FALSE),"cg","c"),"n")</f>
        <v>n</v>
      </c>
      <c r="AG116" s="195" t="str">
        <f>IF(AND(AG$3&gt;=$D116,AG$3&lt;=$E116),IF((AG$3-$D116+1)*VLOOKUP($A116,presupuesto!$B:$Q,16,FALSE)&gt;=VLOOKUP($A116,informe!$A:$J,9,FALSE),"cg","c"),"n")</f>
        <v>n</v>
      </c>
      <c r="AH116" s="195" t="str">
        <f>IF(AND(AH$3&gt;=$D116,AH$3&lt;=$E116),IF((AH$3-$D116+1)*VLOOKUP($A116,presupuesto!$B:$Q,16,FALSE)&gt;=VLOOKUP($A116,informe!$A:$J,9,FALSE),"cg","c"),"n")</f>
        <v>n</v>
      </c>
      <c r="AI116" s="195" t="str">
        <f>IF(AND(AI$3&gt;=$D116,AI$3&lt;=$E116),IF((AI$3-$D116+1)*VLOOKUP($A116,presupuesto!$B:$Q,16,FALSE)&gt;=VLOOKUP($A116,informe!$A:$J,9,FALSE),"cg","c"),"n")</f>
        <v>n</v>
      </c>
      <c r="AJ116" s="195" t="str">
        <f>IF(AND(AJ$3&gt;=$D116,AJ$3&lt;=$E116),IF((AJ$3-$D116+1)*VLOOKUP($A116,presupuesto!$B:$Q,16,FALSE)&gt;=VLOOKUP($A116,informe!$A:$J,9,FALSE),"cg","c"),"n")</f>
        <v>n</v>
      </c>
      <c r="AK116" s="196" t="str">
        <f>IF(AND(AK$3&gt;=$D116,AK$3&lt;=$E116),IF((AK$3-$D116+1)*VLOOKUP($A116,presupuesto!$B:$Q,16,FALSE)&gt;=VLOOKUP($A116,informe!$A:$J,9,FALSE),"cg","c"),"n")</f>
        <v>n</v>
      </c>
    </row>
    <row r="117" spans="1:37" x14ac:dyDescent="0.25">
      <c r="A117" s="197">
        <f>presupuesto!B116</f>
        <v>75</v>
      </c>
      <c r="B117" s="182" t="str">
        <f>presupuesto!C116</f>
        <v xml:space="preserve">         Base de apoyo</v>
      </c>
      <c r="C117" s="174" t="str">
        <f>presupuesto!G116</f>
        <v>305 días</v>
      </c>
      <c r="D117" s="177">
        <f>presupuesto!N116</f>
        <v>45600</v>
      </c>
      <c r="E117" s="177">
        <f>presupuesto!O116</f>
        <v>45904</v>
      </c>
      <c r="F117" s="194" t="str">
        <f>IF(AK117="n",CONCATENATE(" - "),IF(AK117="cg",CONCATENATE(" - "),CONCATENATE(ROUND(IFERROR(VLOOKUP(A117,informe!A:J,9,FALSE)/VLOOKUP(A117,informe!A:J,5,FALSE),0)*100,2),"% ")))</f>
        <v xml:space="preserve">47,93% </v>
      </c>
      <c r="G117" s="195" t="str">
        <f>IF(AND(G$3&gt;=$D117,G$3&lt;=$E117),IF((G$3-$D117+1)*VLOOKUP($A117,presupuesto!$B:$Q,16,FALSE)&gt;=VLOOKUP($A117,informe!$A:$J,9,FALSE),"cg","c"),"n")</f>
        <v>c</v>
      </c>
      <c r="H117" s="195" t="str">
        <f>IF(AND(H$3&gt;=$D117,H$3&lt;=$E117),IF((H$3-$D117+1)*VLOOKUP($A117,presupuesto!$B:$Q,16,FALSE)&gt;=VLOOKUP($A117,informe!$A:$J,9,FALSE),"cg","c"),"n")</f>
        <v>c</v>
      </c>
      <c r="I117" s="195" t="str">
        <f>IF(AND(I$3&gt;=$D117,I$3&lt;=$E117),IF((I$3-$D117+1)*VLOOKUP($A117,presupuesto!$B:$Q,16,FALSE)&gt;=VLOOKUP($A117,informe!$A:$J,9,FALSE),"cg","c"),"n")</f>
        <v>c</v>
      </c>
      <c r="J117" s="195" t="str">
        <f>IF(AND(J$3&gt;=$D117,J$3&lt;=$E117),IF((J$3-$D117+1)*VLOOKUP($A117,presupuesto!$B:$Q,16,FALSE)&gt;=VLOOKUP($A117,informe!$A:$J,9,FALSE),"cg","c"),"n")</f>
        <v>c</v>
      </c>
      <c r="K117" s="195" t="str">
        <f>IF(AND(K$3&gt;=$D117,K$3&lt;=$E117),IF((K$3-$D117+1)*VLOOKUP($A117,presupuesto!$B:$Q,16,FALSE)&gt;=VLOOKUP($A117,informe!$A:$J,9,FALSE),"cg","c"),"n")</f>
        <v>c</v>
      </c>
      <c r="L117" s="195" t="str">
        <f>IF(AND(L$3&gt;=$D117,L$3&lt;=$E117),IF((L$3-$D117+1)*VLOOKUP($A117,presupuesto!$B:$Q,16,FALSE)&gt;=VLOOKUP($A117,informe!$A:$J,9,FALSE),"cg","c"),"n")</f>
        <v>c</v>
      </c>
      <c r="M117" s="195" t="str">
        <f>IF(AND(M$3&gt;=$D117,M$3&lt;=$E117),IF((M$3-$D117+1)*VLOOKUP($A117,presupuesto!$B:$Q,16,FALSE)&gt;=VLOOKUP($A117,informe!$A:$J,9,FALSE),"cg","c"),"n")</f>
        <v>c</v>
      </c>
      <c r="N117" s="195" t="str">
        <f>IF(AND(N$3&gt;=$D117,N$3&lt;=$E117),IF((N$3-$D117+1)*VLOOKUP($A117,presupuesto!$B:$Q,16,FALSE)&gt;=VLOOKUP($A117,informe!$A:$J,9,FALSE),"cg","c"),"n")</f>
        <v>c</v>
      </c>
      <c r="O117" s="195" t="str">
        <f>IF(AND(O$3&gt;=$D117,O$3&lt;=$E117),IF((O$3-$D117+1)*VLOOKUP($A117,presupuesto!$B:$Q,16,FALSE)&gt;=VLOOKUP($A117,informe!$A:$J,9,FALSE),"cg","c"),"n")</f>
        <v>c</v>
      </c>
      <c r="P117" s="195" t="str">
        <f>IF(AND(P$3&gt;=$D117,P$3&lt;=$E117),IF((P$3-$D117+1)*VLOOKUP($A117,presupuesto!$B:$Q,16,FALSE)&gt;=VLOOKUP($A117,informe!$A:$J,9,FALSE),"cg","c"),"n")</f>
        <v>c</v>
      </c>
      <c r="Q117" s="195" t="str">
        <f>IF(AND(Q$3&gt;=$D117,Q$3&lt;=$E117),IF((Q$3-$D117+1)*VLOOKUP($A117,presupuesto!$B:$Q,16,FALSE)&gt;=VLOOKUP($A117,informe!$A:$J,9,FALSE),"cg","c"),"n")</f>
        <v>c</v>
      </c>
      <c r="R117" s="195" t="str">
        <f>IF(AND(R$3&gt;=$D117,R$3&lt;=$E117),IF((R$3-$D117+1)*VLOOKUP($A117,presupuesto!$B:$Q,16,FALSE)&gt;=VLOOKUP($A117,informe!$A:$J,9,FALSE),"cg","c"),"n")</f>
        <v>c</v>
      </c>
      <c r="S117" s="195" t="str">
        <f>IF(AND(S$3&gt;=$D117,S$3&lt;=$E117),IF((S$3-$D117+1)*VLOOKUP($A117,presupuesto!$B:$Q,16,FALSE)&gt;=VLOOKUP($A117,informe!$A:$J,9,FALSE),"cg","c"),"n")</f>
        <v>c</v>
      </c>
      <c r="T117" s="195" t="str">
        <f>IF(AND(T$3&gt;=$D117,T$3&lt;=$E117),IF((T$3-$D117+1)*VLOOKUP($A117,presupuesto!$B:$Q,16,FALSE)&gt;=VLOOKUP($A117,informe!$A:$J,9,FALSE),"cg","c"),"n")</f>
        <v>c</v>
      </c>
      <c r="U117" s="195" t="str">
        <f>IF(AND(U$3&gt;=$D117,U$3&lt;=$E117),IF((U$3-$D117+1)*VLOOKUP($A117,presupuesto!$B:$Q,16,FALSE)&gt;=VLOOKUP($A117,informe!$A:$J,9,FALSE),"cg","c"),"n")</f>
        <v>c</v>
      </c>
      <c r="V117" s="195" t="str">
        <f>IF(AND(V$3&gt;=$D117,V$3&lt;=$E117),IF((V$3-$D117+1)*VLOOKUP($A117,presupuesto!$B:$Q,16,FALSE)&gt;=VLOOKUP($A117,informe!$A:$J,9,FALSE),"cg","c"),"n")</f>
        <v>c</v>
      </c>
      <c r="W117" s="195" t="str">
        <f>IF(AND(W$3&gt;=$D117,W$3&lt;=$E117),IF((W$3-$D117+1)*VLOOKUP($A117,presupuesto!$B:$Q,16,FALSE)&gt;=VLOOKUP($A117,informe!$A:$J,9,FALSE),"cg","c"),"n")</f>
        <v>c</v>
      </c>
      <c r="X117" s="195" t="str">
        <f>IF(AND(X$3&gt;=$D117,X$3&lt;=$E117),IF((X$3-$D117+1)*VLOOKUP($A117,presupuesto!$B:$Q,16,FALSE)&gt;=VLOOKUP($A117,informe!$A:$J,9,FALSE),"cg","c"),"n")</f>
        <v>c</v>
      </c>
      <c r="Y117" s="195" t="str">
        <f>IF(AND(Y$3&gt;=$D117,Y$3&lt;=$E117),IF((Y$3-$D117+1)*VLOOKUP($A117,presupuesto!$B:$Q,16,FALSE)&gt;=VLOOKUP($A117,informe!$A:$J,9,FALSE),"cg","c"),"n")</f>
        <v>c</v>
      </c>
      <c r="Z117" s="195" t="str">
        <f>IF(AND(Z$3&gt;=$D117,Z$3&lt;=$E117),IF((Z$3-$D117+1)*VLOOKUP($A117,presupuesto!$B:$Q,16,FALSE)&gt;=VLOOKUP($A117,informe!$A:$J,9,FALSE),"cg","c"),"n")</f>
        <v>c</v>
      </c>
      <c r="AA117" s="195" t="str">
        <f>IF(AND(AA$3&gt;=$D117,AA$3&lt;=$E117),IF((AA$3-$D117+1)*VLOOKUP($A117,presupuesto!$B:$Q,16,FALSE)&gt;=VLOOKUP($A117,informe!$A:$J,9,FALSE),"cg","c"),"n")</f>
        <v>c</v>
      </c>
      <c r="AB117" s="195" t="str">
        <f>IF(AND(AB$3&gt;=$D117,AB$3&lt;=$E117),IF((AB$3-$D117+1)*VLOOKUP($A117,presupuesto!$B:$Q,16,FALSE)&gt;=VLOOKUP($A117,informe!$A:$J,9,FALSE),"cg","c"),"n")</f>
        <v>c</v>
      </c>
      <c r="AC117" s="195" t="str">
        <f>IF(AND(AC$3&gt;=$D117,AC$3&lt;=$E117),IF((AC$3-$D117+1)*VLOOKUP($A117,presupuesto!$B:$Q,16,FALSE)&gt;=VLOOKUP($A117,informe!$A:$J,9,FALSE),"cg","c"),"n")</f>
        <v>c</v>
      </c>
      <c r="AD117" s="195" t="str">
        <f>IF(AND(AD$3&gt;=$D117,AD$3&lt;=$E117),IF((AD$3-$D117+1)*VLOOKUP($A117,presupuesto!$B:$Q,16,FALSE)&gt;=VLOOKUP($A117,informe!$A:$J,9,FALSE),"cg","c"),"n")</f>
        <v>c</v>
      </c>
      <c r="AE117" s="195" t="str">
        <f>IF(AND(AE$3&gt;=$D117,AE$3&lt;=$E117),IF((AE$3-$D117+1)*VLOOKUP($A117,presupuesto!$B:$Q,16,FALSE)&gt;=VLOOKUP($A117,informe!$A:$J,9,FALSE),"cg","c"),"n")</f>
        <v>c</v>
      </c>
      <c r="AF117" s="195" t="str">
        <f>IF(AND(AF$3&gt;=$D117,AF$3&lt;=$E117),IF((AF$3-$D117+1)*VLOOKUP($A117,presupuesto!$B:$Q,16,FALSE)&gt;=VLOOKUP($A117,informe!$A:$J,9,FALSE),"cg","c"),"n")</f>
        <v>c</v>
      </c>
      <c r="AG117" s="195" t="str">
        <f>IF(AND(AG$3&gt;=$D117,AG$3&lt;=$E117),IF((AG$3-$D117+1)*VLOOKUP($A117,presupuesto!$B:$Q,16,FALSE)&gt;=VLOOKUP($A117,informe!$A:$J,9,FALSE),"cg","c"),"n")</f>
        <v>c</v>
      </c>
      <c r="AH117" s="195" t="str">
        <f>IF(AND(AH$3&gt;=$D117,AH$3&lt;=$E117),IF((AH$3-$D117+1)*VLOOKUP($A117,presupuesto!$B:$Q,16,FALSE)&gt;=VLOOKUP($A117,informe!$A:$J,9,FALSE),"cg","c"),"n")</f>
        <v>c</v>
      </c>
      <c r="AI117" s="195" t="str">
        <f>IF(AND(AI$3&gt;=$D117,AI$3&lt;=$E117),IF((AI$3-$D117+1)*VLOOKUP($A117,presupuesto!$B:$Q,16,FALSE)&gt;=VLOOKUP($A117,informe!$A:$J,9,FALSE),"cg","c"),"n")</f>
        <v>c</v>
      </c>
      <c r="AJ117" s="195" t="str">
        <f>IF(AND(AJ$3&gt;=$D117,AJ$3&lt;=$E117),IF((AJ$3-$D117+1)*VLOOKUP($A117,presupuesto!$B:$Q,16,FALSE)&gt;=VLOOKUP($A117,informe!$A:$J,9,FALSE),"cg","c"),"n")</f>
        <v>c</v>
      </c>
      <c r="AK117" s="196" t="str">
        <f>IF(AND(AK$3&gt;=$D117,AK$3&lt;=$E117),IF((AK$3-$D117+1)*VLOOKUP($A117,presupuesto!$B:$Q,16,FALSE)&gt;=VLOOKUP($A117,informe!$A:$J,9,FALSE),"cg","c"),"n")</f>
        <v>c</v>
      </c>
    </row>
    <row r="118" spans="1:37" x14ac:dyDescent="0.25">
      <c r="A118" s="198">
        <f>presupuesto!B117</f>
        <v>76</v>
      </c>
      <c r="B118" s="182" t="str">
        <f>presupuesto!C117</f>
        <v xml:space="preserve">         Relleno de zanjas</v>
      </c>
      <c r="C118" s="179" t="str">
        <f>presupuesto!G117</f>
        <v>305 días</v>
      </c>
      <c r="D118" s="180">
        <f>presupuesto!N117</f>
        <v>45600</v>
      </c>
      <c r="E118" s="180">
        <f>presupuesto!O117</f>
        <v>45904</v>
      </c>
      <c r="F118" s="194" t="str">
        <f>IF(AK118="n",CONCATENATE(" - "),IF(AK118="cg",CONCATENATE(" - "),CONCATENATE(ROUND(IFERROR(VLOOKUP(A118,informe!A:J,9,FALSE)/VLOOKUP(A118,informe!A:J,5,FALSE),0)*100,2),"% ")))</f>
        <v xml:space="preserve">47,93% </v>
      </c>
      <c r="G118" s="195" t="str">
        <f>IF(AND(G$3&gt;=$D118,G$3&lt;=$E118),IF((G$3-$D118+1)*VLOOKUP($A118,presupuesto!$B:$Q,16,FALSE)&gt;=VLOOKUP($A118,informe!$A:$J,9,FALSE),"cg","c"),"n")</f>
        <v>c</v>
      </c>
      <c r="H118" s="195" t="str">
        <f>IF(AND(H$3&gt;=$D118,H$3&lt;=$E118),IF((H$3-$D118+1)*VLOOKUP($A118,presupuesto!$B:$Q,16,FALSE)&gt;=VLOOKUP($A118,informe!$A:$J,9,FALSE),"cg","c"),"n")</f>
        <v>c</v>
      </c>
      <c r="I118" s="195" t="str">
        <f>IF(AND(I$3&gt;=$D118,I$3&lt;=$E118),IF((I$3-$D118+1)*VLOOKUP($A118,presupuesto!$B:$Q,16,FALSE)&gt;=VLOOKUP($A118,informe!$A:$J,9,FALSE),"cg","c"),"n")</f>
        <v>c</v>
      </c>
      <c r="J118" s="195" t="str">
        <f>IF(AND(J$3&gt;=$D118,J$3&lt;=$E118),IF((J$3-$D118+1)*VLOOKUP($A118,presupuesto!$B:$Q,16,FALSE)&gt;=VLOOKUP($A118,informe!$A:$J,9,FALSE),"cg","c"),"n")</f>
        <v>c</v>
      </c>
      <c r="K118" s="195" t="str">
        <f>IF(AND(K$3&gt;=$D118,K$3&lt;=$E118),IF((K$3-$D118+1)*VLOOKUP($A118,presupuesto!$B:$Q,16,FALSE)&gt;=VLOOKUP($A118,informe!$A:$J,9,FALSE),"cg","c"),"n")</f>
        <v>c</v>
      </c>
      <c r="L118" s="195" t="str">
        <f>IF(AND(L$3&gt;=$D118,L$3&lt;=$E118),IF((L$3-$D118+1)*VLOOKUP($A118,presupuesto!$B:$Q,16,FALSE)&gt;=VLOOKUP($A118,informe!$A:$J,9,FALSE),"cg","c"),"n")</f>
        <v>c</v>
      </c>
      <c r="M118" s="195" t="str">
        <f>IF(AND(M$3&gt;=$D118,M$3&lt;=$E118),IF((M$3-$D118+1)*VLOOKUP($A118,presupuesto!$B:$Q,16,FALSE)&gt;=VLOOKUP($A118,informe!$A:$J,9,FALSE),"cg","c"),"n")</f>
        <v>c</v>
      </c>
      <c r="N118" s="195" t="str">
        <f>IF(AND(N$3&gt;=$D118,N$3&lt;=$E118),IF((N$3-$D118+1)*VLOOKUP($A118,presupuesto!$B:$Q,16,FALSE)&gt;=VLOOKUP($A118,informe!$A:$J,9,FALSE),"cg","c"),"n")</f>
        <v>c</v>
      </c>
      <c r="O118" s="195" t="str">
        <f>IF(AND(O$3&gt;=$D118,O$3&lt;=$E118),IF((O$3-$D118+1)*VLOOKUP($A118,presupuesto!$B:$Q,16,FALSE)&gt;=VLOOKUP($A118,informe!$A:$J,9,FALSE),"cg","c"),"n")</f>
        <v>c</v>
      </c>
      <c r="P118" s="195" t="str">
        <f>IF(AND(P$3&gt;=$D118,P$3&lt;=$E118),IF((P$3-$D118+1)*VLOOKUP($A118,presupuesto!$B:$Q,16,FALSE)&gt;=VLOOKUP($A118,informe!$A:$J,9,FALSE),"cg","c"),"n")</f>
        <v>c</v>
      </c>
      <c r="Q118" s="195" t="str">
        <f>IF(AND(Q$3&gt;=$D118,Q$3&lt;=$E118),IF((Q$3-$D118+1)*VLOOKUP($A118,presupuesto!$B:$Q,16,FALSE)&gt;=VLOOKUP($A118,informe!$A:$J,9,FALSE),"cg","c"),"n")</f>
        <v>c</v>
      </c>
      <c r="R118" s="195" t="str">
        <f>IF(AND(R$3&gt;=$D118,R$3&lt;=$E118),IF((R$3-$D118+1)*VLOOKUP($A118,presupuesto!$B:$Q,16,FALSE)&gt;=VLOOKUP($A118,informe!$A:$J,9,FALSE),"cg","c"),"n")</f>
        <v>c</v>
      </c>
      <c r="S118" s="195" t="str">
        <f>IF(AND(S$3&gt;=$D118,S$3&lt;=$E118),IF((S$3-$D118+1)*VLOOKUP($A118,presupuesto!$B:$Q,16,FALSE)&gt;=VLOOKUP($A118,informe!$A:$J,9,FALSE),"cg","c"),"n")</f>
        <v>c</v>
      </c>
      <c r="T118" s="195" t="str">
        <f>IF(AND(T$3&gt;=$D118,T$3&lt;=$E118),IF((T$3-$D118+1)*VLOOKUP($A118,presupuesto!$B:$Q,16,FALSE)&gt;=VLOOKUP($A118,informe!$A:$J,9,FALSE),"cg","c"),"n")</f>
        <v>c</v>
      </c>
      <c r="U118" s="195" t="str">
        <f>IF(AND(U$3&gt;=$D118,U$3&lt;=$E118),IF((U$3-$D118+1)*VLOOKUP($A118,presupuesto!$B:$Q,16,FALSE)&gt;=VLOOKUP($A118,informe!$A:$J,9,FALSE),"cg","c"),"n")</f>
        <v>c</v>
      </c>
      <c r="V118" s="195" t="str">
        <f>IF(AND(V$3&gt;=$D118,V$3&lt;=$E118),IF((V$3-$D118+1)*VLOOKUP($A118,presupuesto!$B:$Q,16,FALSE)&gt;=VLOOKUP($A118,informe!$A:$J,9,FALSE),"cg","c"),"n")</f>
        <v>c</v>
      </c>
      <c r="W118" s="195" t="str">
        <f>IF(AND(W$3&gt;=$D118,W$3&lt;=$E118),IF((W$3-$D118+1)*VLOOKUP($A118,presupuesto!$B:$Q,16,FALSE)&gt;=VLOOKUP($A118,informe!$A:$J,9,FALSE),"cg","c"),"n")</f>
        <v>c</v>
      </c>
      <c r="X118" s="195" t="str">
        <f>IF(AND(X$3&gt;=$D118,X$3&lt;=$E118),IF((X$3-$D118+1)*VLOOKUP($A118,presupuesto!$B:$Q,16,FALSE)&gt;=VLOOKUP($A118,informe!$A:$J,9,FALSE),"cg","c"),"n")</f>
        <v>c</v>
      </c>
      <c r="Y118" s="195" t="str">
        <f>IF(AND(Y$3&gt;=$D118,Y$3&lt;=$E118),IF((Y$3-$D118+1)*VLOOKUP($A118,presupuesto!$B:$Q,16,FALSE)&gt;=VLOOKUP($A118,informe!$A:$J,9,FALSE),"cg","c"),"n")</f>
        <v>c</v>
      </c>
      <c r="Z118" s="195" t="str">
        <f>IF(AND(Z$3&gt;=$D118,Z$3&lt;=$E118),IF((Z$3-$D118+1)*VLOOKUP($A118,presupuesto!$B:$Q,16,FALSE)&gt;=VLOOKUP($A118,informe!$A:$J,9,FALSE),"cg","c"),"n")</f>
        <v>c</v>
      </c>
      <c r="AA118" s="195" t="str">
        <f>IF(AND(AA$3&gt;=$D118,AA$3&lt;=$E118),IF((AA$3-$D118+1)*VLOOKUP($A118,presupuesto!$B:$Q,16,FALSE)&gt;=VLOOKUP($A118,informe!$A:$J,9,FALSE),"cg","c"),"n")</f>
        <v>c</v>
      </c>
      <c r="AB118" s="195" t="str">
        <f>IF(AND(AB$3&gt;=$D118,AB$3&lt;=$E118),IF((AB$3-$D118+1)*VLOOKUP($A118,presupuesto!$B:$Q,16,FALSE)&gt;=VLOOKUP($A118,informe!$A:$J,9,FALSE),"cg","c"),"n")</f>
        <v>c</v>
      </c>
      <c r="AC118" s="195" t="str">
        <f>IF(AND(AC$3&gt;=$D118,AC$3&lt;=$E118),IF((AC$3-$D118+1)*VLOOKUP($A118,presupuesto!$B:$Q,16,FALSE)&gt;=VLOOKUP($A118,informe!$A:$J,9,FALSE),"cg","c"),"n")</f>
        <v>c</v>
      </c>
      <c r="AD118" s="195" t="str">
        <f>IF(AND(AD$3&gt;=$D118,AD$3&lt;=$E118),IF((AD$3-$D118+1)*VLOOKUP($A118,presupuesto!$B:$Q,16,FALSE)&gt;=VLOOKUP($A118,informe!$A:$J,9,FALSE),"cg","c"),"n")</f>
        <v>c</v>
      </c>
      <c r="AE118" s="195" t="str">
        <f>IF(AND(AE$3&gt;=$D118,AE$3&lt;=$E118),IF((AE$3-$D118+1)*VLOOKUP($A118,presupuesto!$B:$Q,16,FALSE)&gt;=VLOOKUP($A118,informe!$A:$J,9,FALSE),"cg","c"),"n")</f>
        <v>c</v>
      </c>
      <c r="AF118" s="195" t="str">
        <f>IF(AND(AF$3&gt;=$D118,AF$3&lt;=$E118),IF((AF$3-$D118+1)*VLOOKUP($A118,presupuesto!$B:$Q,16,FALSE)&gt;=VLOOKUP($A118,informe!$A:$J,9,FALSE),"cg","c"),"n")</f>
        <v>c</v>
      </c>
      <c r="AG118" s="195" t="str">
        <f>IF(AND(AG$3&gt;=$D118,AG$3&lt;=$E118),IF((AG$3-$D118+1)*VLOOKUP($A118,presupuesto!$B:$Q,16,FALSE)&gt;=VLOOKUP($A118,informe!$A:$J,9,FALSE),"cg","c"),"n")</f>
        <v>c</v>
      </c>
      <c r="AH118" s="195" t="str">
        <f>IF(AND(AH$3&gt;=$D118,AH$3&lt;=$E118),IF((AH$3-$D118+1)*VLOOKUP($A118,presupuesto!$B:$Q,16,FALSE)&gt;=VLOOKUP($A118,informe!$A:$J,9,FALSE),"cg","c"),"n")</f>
        <v>c</v>
      </c>
      <c r="AI118" s="195" t="str">
        <f>IF(AND(AI$3&gt;=$D118,AI$3&lt;=$E118),IF((AI$3-$D118+1)*VLOOKUP($A118,presupuesto!$B:$Q,16,FALSE)&gt;=VLOOKUP($A118,informe!$A:$J,9,FALSE),"cg","c"),"n")</f>
        <v>c</v>
      </c>
      <c r="AJ118" s="195" t="str">
        <f>IF(AND(AJ$3&gt;=$D118,AJ$3&lt;=$E118),IF((AJ$3-$D118+1)*VLOOKUP($A118,presupuesto!$B:$Q,16,FALSE)&gt;=VLOOKUP($A118,informe!$A:$J,9,FALSE),"cg","c"),"n")</f>
        <v>c</v>
      </c>
      <c r="AK118" s="196" t="str">
        <f>IF(AND(AK$3&gt;=$D118,AK$3&lt;=$E118),IF((AK$3-$D118+1)*VLOOKUP($A118,presupuesto!$B:$Q,16,FALSE)&gt;=VLOOKUP($A118,informe!$A:$J,9,FALSE),"cg","c"),"n")</f>
        <v>c</v>
      </c>
    </row>
    <row r="119" spans="1:37" x14ac:dyDescent="0.25">
      <c r="A119" s="197">
        <f>presupuesto!B118</f>
        <v>77</v>
      </c>
      <c r="B119" s="182" t="str">
        <f>presupuesto!C118</f>
        <v xml:space="preserve">         Retiro de excedentes</v>
      </c>
      <c r="C119" s="174" t="str">
        <f>presupuesto!G118</f>
        <v>305 días</v>
      </c>
      <c r="D119" s="177">
        <f>presupuesto!N118</f>
        <v>45600</v>
      </c>
      <c r="E119" s="177">
        <f>presupuesto!O118</f>
        <v>45904</v>
      </c>
      <c r="F119" s="194" t="str">
        <f>IF(AK119="n",CONCATENATE(" - "),IF(AK119="cg",CONCATENATE(" - "),CONCATENATE(ROUND(IFERROR(VLOOKUP(A119,informe!A:J,9,FALSE)/VLOOKUP(A119,informe!A:J,5,FALSE),0)*100,2),"% ")))</f>
        <v xml:space="preserve">47,93% </v>
      </c>
      <c r="G119" s="195" t="str">
        <f>IF(AND(G$3&gt;=$D119,G$3&lt;=$E119),IF((G$3-$D119+1)*VLOOKUP($A119,presupuesto!$B:$Q,16,FALSE)&gt;=VLOOKUP($A119,informe!$A:$J,9,FALSE),"cg","c"),"n")</f>
        <v>c</v>
      </c>
      <c r="H119" s="195" t="str">
        <f>IF(AND(H$3&gt;=$D119,H$3&lt;=$E119),IF((H$3-$D119+1)*VLOOKUP($A119,presupuesto!$B:$Q,16,FALSE)&gt;=VLOOKUP($A119,informe!$A:$J,9,FALSE),"cg","c"),"n")</f>
        <v>c</v>
      </c>
      <c r="I119" s="195" t="str">
        <f>IF(AND(I$3&gt;=$D119,I$3&lt;=$E119),IF((I$3-$D119+1)*VLOOKUP($A119,presupuesto!$B:$Q,16,FALSE)&gt;=VLOOKUP($A119,informe!$A:$J,9,FALSE),"cg","c"),"n")</f>
        <v>c</v>
      </c>
      <c r="J119" s="195" t="str">
        <f>IF(AND(J$3&gt;=$D119,J$3&lt;=$E119),IF((J$3-$D119+1)*VLOOKUP($A119,presupuesto!$B:$Q,16,FALSE)&gt;=VLOOKUP($A119,informe!$A:$J,9,FALSE),"cg","c"),"n")</f>
        <v>c</v>
      </c>
      <c r="K119" s="195" t="str">
        <f>IF(AND(K$3&gt;=$D119,K$3&lt;=$E119),IF((K$3-$D119+1)*VLOOKUP($A119,presupuesto!$B:$Q,16,FALSE)&gt;=VLOOKUP($A119,informe!$A:$J,9,FALSE),"cg","c"),"n")</f>
        <v>c</v>
      </c>
      <c r="L119" s="195" t="str">
        <f>IF(AND(L$3&gt;=$D119,L$3&lt;=$E119),IF((L$3-$D119+1)*VLOOKUP($A119,presupuesto!$B:$Q,16,FALSE)&gt;=VLOOKUP($A119,informe!$A:$J,9,FALSE),"cg","c"),"n")</f>
        <v>c</v>
      </c>
      <c r="M119" s="195" t="str">
        <f>IF(AND(M$3&gt;=$D119,M$3&lt;=$E119),IF((M$3-$D119+1)*VLOOKUP($A119,presupuesto!$B:$Q,16,FALSE)&gt;=VLOOKUP($A119,informe!$A:$J,9,FALSE),"cg","c"),"n")</f>
        <v>c</v>
      </c>
      <c r="N119" s="195" t="str">
        <f>IF(AND(N$3&gt;=$D119,N$3&lt;=$E119),IF((N$3-$D119+1)*VLOOKUP($A119,presupuesto!$B:$Q,16,FALSE)&gt;=VLOOKUP($A119,informe!$A:$J,9,FALSE),"cg","c"),"n")</f>
        <v>c</v>
      </c>
      <c r="O119" s="195" t="str">
        <f>IF(AND(O$3&gt;=$D119,O$3&lt;=$E119),IF((O$3-$D119+1)*VLOOKUP($A119,presupuesto!$B:$Q,16,FALSE)&gt;=VLOOKUP($A119,informe!$A:$J,9,FALSE),"cg","c"),"n")</f>
        <v>c</v>
      </c>
      <c r="P119" s="195" t="str">
        <f>IF(AND(P$3&gt;=$D119,P$3&lt;=$E119),IF((P$3-$D119+1)*VLOOKUP($A119,presupuesto!$B:$Q,16,FALSE)&gt;=VLOOKUP($A119,informe!$A:$J,9,FALSE),"cg","c"),"n")</f>
        <v>c</v>
      </c>
      <c r="Q119" s="195" t="str">
        <f>IF(AND(Q$3&gt;=$D119,Q$3&lt;=$E119),IF((Q$3-$D119+1)*VLOOKUP($A119,presupuesto!$B:$Q,16,FALSE)&gt;=VLOOKUP($A119,informe!$A:$J,9,FALSE),"cg","c"),"n")</f>
        <v>c</v>
      </c>
      <c r="R119" s="195" t="str">
        <f>IF(AND(R$3&gt;=$D119,R$3&lt;=$E119),IF((R$3-$D119+1)*VLOOKUP($A119,presupuesto!$B:$Q,16,FALSE)&gt;=VLOOKUP($A119,informe!$A:$J,9,FALSE),"cg","c"),"n")</f>
        <v>c</v>
      </c>
      <c r="S119" s="195" t="str">
        <f>IF(AND(S$3&gt;=$D119,S$3&lt;=$E119),IF((S$3-$D119+1)*VLOOKUP($A119,presupuesto!$B:$Q,16,FALSE)&gt;=VLOOKUP($A119,informe!$A:$J,9,FALSE),"cg","c"),"n")</f>
        <v>c</v>
      </c>
      <c r="T119" s="195" t="str">
        <f>IF(AND(T$3&gt;=$D119,T$3&lt;=$E119),IF((T$3-$D119+1)*VLOOKUP($A119,presupuesto!$B:$Q,16,FALSE)&gt;=VLOOKUP($A119,informe!$A:$J,9,FALSE),"cg","c"),"n")</f>
        <v>c</v>
      </c>
      <c r="U119" s="195" t="str">
        <f>IF(AND(U$3&gt;=$D119,U$3&lt;=$E119),IF((U$3-$D119+1)*VLOOKUP($A119,presupuesto!$B:$Q,16,FALSE)&gt;=VLOOKUP($A119,informe!$A:$J,9,FALSE),"cg","c"),"n")</f>
        <v>c</v>
      </c>
      <c r="V119" s="195" t="str">
        <f>IF(AND(V$3&gt;=$D119,V$3&lt;=$E119),IF((V$3-$D119+1)*VLOOKUP($A119,presupuesto!$B:$Q,16,FALSE)&gt;=VLOOKUP($A119,informe!$A:$J,9,FALSE),"cg","c"),"n")</f>
        <v>c</v>
      </c>
      <c r="W119" s="195" t="str">
        <f>IF(AND(W$3&gt;=$D119,W$3&lt;=$E119),IF((W$3-$D119+1)*VLOOKUP($A119,presupuesto!$B:$Q,16,FALSE)&gt;=VLOOKUP($A119,informe!$A:$J,9,FALSE),"cg","c"),"n")</f>
        <v>c</v>
      </c>
      <c r="X119" s="195" t="str">
        <f>IF(AND(X$3&gt;=$D119,X$3&lt;=$E119),IF((X$3-$D119+1)*VLOOKUP($A119,presupuesto!$B:$Q,16,FALSE)&gt;=VLOOKUP($A119,informe!$A:$J,9,FALSE),"cg","c"),"n")</f>
        <v>c</v>
      </c>
      <c r="Y119" s="195" t="str">
        <f>IF(AND(Y$3&gt;=$D119,Y$3&lt;=$E119),IF((Y$3-$D119+1)*VLOOKUP($A119,presupuesto!$B:$Q,16,FALSE)&gt;=VLOOKUP($A119,informe!$A:$J,9,FALSE),"cg","c"),"n")</f>
        <v>c</v>
      </c>
      <c r="Z119" s="195" t="str">
        <f>IF(AND(Z$3&gt;=$D119,Z$3&lt;=$E119),IF((Z$3-$D119+1)*VLOOKUP($A119,presupuesto!$B:$Q,16,FALSE)&gt;=VLOOKUP($A119,informe!$A:$J,9,FALSE),"cg","c"),"n")</f>
        <v>c</v>
      </c>
      <c r="AA119" s="195" t="str">
        <f>IF(AND(AA$3&gt;=$D119,AA$3&lt;=$E119),IF((AA$3-$D119+1)*VLOOKUP($A119,presupuesto!$B:$Q,16,FALSE)&gt;=VLOOKUP($A119,informe!$A:$J,9,FALSE),"cg","c"),"n")</f>
        <v>c</v>
      </c>
      <c r="AB119" s="195" t="str">
        <f>IF(AND(AB$3&gt;=$D119,AB$3&lt;=$E119),IF((AB$3-$D119+1)*VLOOKUP($A119,presupuesto!$B:$Q,16,FALSE)&gt;=VLOOKUP($A119,informe!$A:$J,9,FALSE),"cg","c"),"n")</f>
        <v>c</v>
      </c>
      <c r="AC119" s="195" t="str">
        <f>IF(AND(AC$3&gt;=$D119,AC$3&lt;=$E119),IF((AC$3-$D119+1)*VLOOKUP($A119,presupuesto!$B:$Q,16,FALSE)&gt;=VLOOKUP($A119,informe!$A:$J,9,FALSE),"cg","c"),"n")</f>
        <v>c</v>
      </c>
      <c r="AD119" s="195" t="str">
        <f>IF(AND(AD$3&gt;=$D119,AD$3&lt;=$E119),IF((AD$3-$D119+1)*VLOOKUP($A119,presupuesto!$B:$Q,16,FALSE)&gt;=VLOOKUP($A119,informe!$A:$J,9,FALSE),"cg","c"),"n")</f>
        <v>c</v>
      </c>
      <c r="AE119" s="195" t="str">
        <f>IF(AND(AE$3&gt;=$D119,AE$3&lt;=$E119),IF((AE$3-$D119+1)*VLOOKUP($A119,presupuesto!$B:$Q,16,FALSE)&gt;=VLOOKUP($A119,informe!$A:$J,9,FALSE),"cg","c"),"n")</f>
        <v>c</v>
      </c>
      <c r="AF119" s="195" t="str">
        <f>IF(AND(AF$3&gt;=$D119,AF$3&lt;=$E119),IF((AF$3-$D119+1)*VLOOKUP($A119,presupuesto!$B:$Q,16,FALSE)&gt;=VLOOKUP($A119,informe!$A:$J,9,FALSE),"cg","c"),"n")</f>
        <v>c</v>
      </c>
      <c r="AG119" s="195" t="str">
        <f>IF(AND(AG$3&gt;=$D119,AG$3&lt;=$E119),IF((AG$3-$D119+1)*VLOOKUP($A119,presupuesto!$B:$Q,16,FALSE)&gt;=VLOOKUP($A119,informe!$A:$J,9,FALSE),"cg","c"),"n")</f>
        <v>c</v>
      </c>
      <c r="AH119" s="195" t="str">
        <f>IF(AND(AH$3&gt;=$D119,AH$3&lt;=$E119),IF((AH$3-$D119+1)*VLOOKUP($A119,presupuesto!$B:$Q,16,FALSE)&gt;=VLOOKUP($A119,informe!$A:$J,9,FALSE),"cg","c"),"n")</f>
        <v>c</v>
      </c>
      <c r="AI119" s="195" t="str">
        <f>IF(AND(AI$3&gt;=$D119,AI$3&lt;=$E119),IF((AI$3-$D119+1)*VLOOKUP($A119,presupuesto!$B:$Q,16,FALSE)&gt;=VLOOKUP($A119,informe!$A:$J,9,FALSE),"cg","c"),"n")</f>
        <v>c</v>
      </c>
      <c r="AJ119" s="195" t="str">
        <f>IF(AND(AJ$3&gt;=$D119,AJ$3&lt;=$E119),IF((AJ$3-$D119+1)*VLOOKUP($A119,presupuesto!$B:$Q,16,FALSE)&gt;=VLOOKUP($A119,informe!$A:$J,9,FALSE),"cg","c"),"n")</f>
        <v>c</v>
      </c>
      <c r="AK119" s="196" t="str">
        <f>IF(AND(AK$3&gt;=$D119,AK$3&lt;=$E119),IF((AK$3-$D119+1)*VLOOKUP($A119,presupuesto!$B:$Q,16,FALSE)&gt;=VLOOKUP($A119,informe!$A:$J,9,FALSE),"cg","c"),"n")</f>
        <v>c</v>
      </c>
    </row>
    <row r="120" spans="1:37" ht="13" x14ac:dyDescent="0.3">
      <c r="A120" s="197" t="str">
        <f>presupuesto!B119</f>
        <v>B.-</v>
      </c>
      <c r="B120" s="181" t="str">
        <f>presupuesto!C119</f>
        <v xml:space="preserve">      INTERCONEXIONES HIDRÁULICAS</v>
      </c>
      <c r="C120" s="174" t="str">
        <f>presupuesto!G119</f>
        <v>305 días</v>
      </c>
      <c r="D120" s="177">
        <f>presupuesto!N119</f>
        <v>45600</v>
      </c>
      <c r="E120" s="177">
        <f>presupuesto!O119</f>
        <v>45904</v>
      </c>
      <c r="F120" s="194" t="str">
        <f>IF(AK120="n",CONCATENATE(" - "),IF(AK120="cg",CONCATENATE(" - "),CONCATENATE(ROUND(IFERROR(VLOOKUP(A120,informe!A:J,9,FALSE)/VLOOKUP(A120,informe!A:J,5,FALSE),0)*100,2),"% ")))</f>
        <v xml:space="preserve"> - </v>
      </c>
      <c r="G120" s="195" t="str">
        <f>IF(AND(G$3&gt;=$D120,G$3&lt;=$E120),IF((G$3-$D120+1)*VLOOKUP($A120,presupuesto!$B:$Q,16,FALSE)&gt;=VLOOKUP($A120,informe!$A:$J,9,FALSE),"cg","c"),"n")</f>
        <v>cg</v>
      </c>
      <c r="H120" s="195" t="str">
        <f>IF(AND(H$3&gt;=$D120,H$3&lt;=$E120),IF((H$3-$D120+1)*VLOOKUP($A120,presupuesto!$B:$Q,16,FALSE)&gt;=VLOOKUP($A120,informe!$A:$J,9,FALSE),"cg","c"),"n")</f>
        <v>cg</v>
      </c>
      <c r="I120" s="195" t="str">
        <f>IF(AND(I$3&gt;=$D120,I$3&lt;=$E120),IF((I$3-$D120+1)*VLOOKUP($A120,presupuesto!$B:$Q,16,FALSE)&gt;=VLOOKUP($A120,informe!$A:$J,9,FALSE),"cg","c"),"n")</f>
        <v>cg</v>
      </c>
      <c r="J120" s="195" t="str">
        <f>IF(AND(J$3&gt;=$D120,J$3&lt;=$E120),IF((J$3-$D120+1)*VLOOKUP($A120,presupuesto!$B:$Q,16,FALSE)&gt;=VLOOKUP($A120,informe!$A:$J,9,FALSE),"cg","c"),"n")</f>
        <v>cg</v>
      </c>
      <c r="K120" s="195" t="str">
        <f>IF(AND(K$3&gt;=$D120,K$3&lt;=$E120),IF((K$3-$D120+1)*VLOOKUP($A120,presupuesto!$B:$Q,16,FALSE)&gt;=VLOOKUP($A120,informe!$A:$J,9,FALSE),"cg","c"),"n")</f>
        <v>cg</v>
      </c>
      <c r="L120" s="195" t="str">
        <f>IF(AND(L$3&gt;=$D120,L$3&lt;=$E120),IF((L$3-$D120+1)*VLOOKUP($A120,presupuesto!$B:$Q,16,FALSE)&gt;=VLOOKUP($A120,informe!$A:$J,9,FALSE),"cg","c"),"n")</f>
        <v>cg</v>
      </c>
      <c r="M120" s="195" t="str">
        <f>IF(AND(M$3&gt;=$D120,M$3&lt;=$E120),IF((M$3-$D120+1)*VLOOKUP($A120,presupuesto!$B:$Q,16,FALSE)&gt;=VLOOKUP($A120,informe!$A:$J,9,FALSE),"cg","c"),"n")</f>
        <v>cg</v>
      </c>
      <c r="N120" s="195" t="str">
        <f>IF(AND(N$3&gt;=$D120,N$3&lt;=$E120),IF((N$3-$D120+1)*VLOOKUP($A120,presupuesto!$B:$Q,16,FALSE)&gt;=VLOOKUP($A120,informe!$A:$J,9,FALSE),"cg","c"),"n")</f>
        <v>cg</v>
      </c>
      <c r="O120" s="195" t="str">
        <f>IF(AND(O$3&gt;=$D120,O$3&lt;=$E120),IF((O$3-$D120+1)*VLOOKUP($A120,presupuesto!$B:$Q,16,FALSE)&gt;=VLOOKUP($A120,informe!$A:$J,9,FALSE),"cg","c"),"n")</f>
        <v>cg</v>
      </c>
      <c r="P120" s="195" t="str">
        <f>IF(AND(P$3&gt;=$D120,P$3&lt;=$E120),IF((P$3-$D120+1)*VLOOKUP($A120,presupuesto!$B:$Q,16,FALSE)&gt;=VLOOKUP($A120,informe!$A:$J,9,FALSE),"cg","c"),"n")</f>
        <v>cg</v>
      </c>
      <c r="Q120" s="195" t="str">
        <f>IF(AND(Q$3&gt;=$D120,Q$3&lt;=$E120),IF((Q$3-$D120+1)*VLOOKUP($A120,presupuesto!$B:$Q,16,FALSE)&gt;=VLOOKUP($A120,informe!$A:$J,9,FALSE),"cg","c"),"n")</f>
        <v>cg</v>
      </c>
      <c r="R120" s="195" t="str">
        <f>IF(AND(R$3&gt;=$D120,R$3&lt;=$E120),IF((R$3-$D120+1)*VLOOKUP($A120,presupuesto!$B:$Q,16,FALSE)&gt;=VLOOKUP($A120,informe!$A:$J,9,FALSE),"cg","c"),"n")</f>
        <v>cg</v>
      </c>
      <c r="S120" s="195" t="str">
        <f>IF(AND(S$3&gt;=$D120,S$3&lt;=$E120),IF((S$3-$D120+1)*VLOOKUP($A120,presupuesto!$B:$Q,16,FALSE)&gt;=VLOOKUP($A120,informe!$A:$J,9,FALSE),"cg","c"),"n")</f>
        <v>cg</v>
      </c>
      <c r="T120" s="195" t="str">
        <f>IF(AND(T$3&gt;=$D120,T$3&lt;=$E120),IF((T$3-$D120+1)*VLOOKUP($A120,presupuesto!$B:$Q,16,FALSE)&gt;=VLOOKUP($A120,informe!$A:$J,9,FALSE),"cg","c"),"n")</f>
        <v>cg</v>
      </c>
      <c r="U120" s="195" t="str">
        <f>IF(AND(U$3&gt;=$D120,U$3&lt;=$E120),IF((U$3-$D120+1)*VLOOKUP($A120,presupuesto!$B:$Q,16,FALSE)&gt;=VLOOKUP($A120,informe!$A:$J,9,FALSE),"cg","c"),"n")</f>
        <v>cg</v>
      </c>
      <c r="V120" s="195" t="str">
        <f>IF(AND(V$3&gt;=$D120,V$3&lt;=$E120),IF((V$3-$D120+1)*VLOOKUP($A120,presupuesto!$B:$Q,16,FALSE)&gt;=VLOOKUP($A120,informe!$A:$J,9,FALSE),"cg","c"),"n")</f>
        <v>cg</v>
      </c>
      <c r="W120" s="195" t="str">
        <f>IF(AND(W$3&gt;=$D120,W$3&lt;=$E120),IF((W$3-$D120+1)*VLOOKUP($A120,presupuesto!$B:$Q,16,FALSE)&gt;=VLOOKUP($A120,informe!$A:$J,9,FALSE),"cg","c"),"n")</f>
        <v>cg</v>
      </c>
      <c r="X120" s="195" t="str">
        <f>IF(AND(X$3&gt;=$D120,X$3&lt;=$E120),IF((X$3-$D120+1)*VLOOKUP($A120,presupuesto!$B:$Q,16,FALSE)&gt;=VLOOKUP($A120,informe!$A:$J,9,FALSE),"cg","c"),"n")</f>
        <v>cg</v>
      </c>
      <c r="Y120" s="195" t="str">
        <f>IF(AND(Y$3&gt;=$D120,Y$3&lt;=$E120),IF((Y$3-$D120+1)*VLOOKUP($A120,presupuesto!$B:$Q,16,FALSE)&gt;=VLOOKUP($A120,informe!$A:$J,9,FALSE),"cg","c"),"n")</f>
        <v>cg</v>
      </c>
      <c r="Z120" s="195" t="str">
        <f>IF(AND(Z$3&gt;=$D120,Z$3&lt;=$E120),IF((Z$3-$D120+1)*VLOOKUP($A120,presupuesto!$B:$Q,16,FALSE)&gt;=VLOOKUP($A120,informe!$A:$J,9,FALSE),"cg","c"),"n")</f>
        <v>cg</v>
      </c>
      <c r="AA120" s="195" t="str">
        <f>IF(AND(AA$3&gt;=$D120,AA$3&lt;=$E120),IF((AA$3-$D120+1)*VLOOKUP($A120,presupuesto!$B:$Q,16,FALSE)&gt;=VLOOKUP($A120,informe!$A:$J,9,FALSE),"cg","c"),"n")</f>
        <v>cg</v>
      </c>
      <c r="AB120" s="195" t="str">
        <f>IF(AND(AB$3&gt;=$D120,AB$3&lt;=$E120),IF((AB$3-$D120+1)*VLOOKUP($A120,presupuesto!$B:$Q,16,FALSE)&gt;=VLOOKUP($A120,informe!$A:$J,9,FALSE),"cg","c"),"n")</f>
        <v>cg</v>
      </c>
      <c r="AC120" s="195" t="str">
        <f>IF(AND(AC$3&gt;=$D120,AC$3&lt;=$E120),IF((AC$3-$D120+1)*VLOOKUP($A120,presupuesto!$B:$Q,16,FALSE)&gt;=VLOOKUP($A120,informe!$A:$J,9,FALSE),"cg","c"),"n")</f>
        <v>cg</v>
      </c>
      <c r="AD120" s="195" t="str">
        <f>IF(AND(AD$3&gt;=$D120,AD$3&lt;=$E120),IF((AD$3-$D120+1)*VLOOKUP($A120,presupuesto!$B:$Q,16,FALSE)&gt;=VLOOKUP($A120,informe!$A:$J,9,FALSE),"cg","c"),"n")</f>
        <v>cg</v>
      </c>
      <c r="AE120" s="195" t="str">
        <f>IF(AND(AE$3&gt;=$D120,AE$3&lt;=$E120),IF((AE$3-$D120+1)*VLOOKUP($A120,presupuesto!$B:$Q,16,FALSE)&gt;=VLOOKUP($A120,informe!$A:$J,9,FALSE),"cg","c"),"n")</f>
        <v>cg</v>
      </c>
      <c r="AF120" s="195" t="str">
        <f>IF(AND(AF$3&gt;=$D120,AF$3&lt;=$E120),IF((AF$3-$D120+1)*VLOOKUP($A120,presupuesto!$B:$Q,16,FALSE)&gt;=VLOOKUP($A120,informe!$A:$J,9,FALSE),"cg","c"),"n")</f>
        <v>cg</v>
      </c>
      <c r="AG120" s="195" t="str">
        <f>IF(AND(AG$3&gt;=$D120,AG$3&lt;=$E120),IF((AG$3-$D120+1)*VLOOKUP($A120,presupuesto!$B:$Q,16,FALSE)&gt;=VLOOKUP($A120,informe!$A:$J,9,FALSE),"cg","c"),"n")</f>
        <v>cg</v>
      </c>
      <c r="AH120" s="195" t="str">
        <f>IF(AND(AH$3&gt;=$D120,AH$3&lt;=$E120),IF((AH$3-$D120+1)*VLOOKUP($A120,presupuesto!$B:$Q,16,FALSE)&gt;=VLOOKUP($A120,informe!$A:$J,9,FALSE),"cg","c"),"n")</f>
        <v>cg</v>
      </c>
      <c r="AI120" s="195" t="str">
        <f>IF(AND(AI$3&gt;=$D120,AI$3&lt;=$E120),IF((AI$3-$D120+1)*VLOOKUP($A120,presupuesto!$B:$Q,16,FALSE)&gt;=VLOOKUP($A120,informe!$A:$J,9,FALSE),"cg","c"),"n")</f>
        <v>cg</v>
      </c>
      <c r="AJ120" s="195" t="str">
        <f>IF(AND(AJ$3&gt;=$D120,AJ$3&lt;=$E120),IF((AJ$3-$D120+1)*VLOOKUP($A120,presupuesto!$B:$Q,16,FALSE)&gt;=VLOOKUP($A120,informe!$A:$J,9,FALSE),"cg","c"),"n")</f>
        <v>cg</v>
      </c>
      <c r="AK120" s="196" t="str">
        <f>IF(AND(AK$3&gt;=$D120,AK$3&lt;=$E120),IF((AK$3-$D120+1)*VLOOKUP($A120,presupuesto!$B:$Q,16,FALSE)&gt;=VLOOKUP($A120,informe!$A:$J,9,FALSE),"cg","c"),"n")</f>
        <v>cg</v>
      </c>
    </row>
    <row r="121" spans="1:37" ht="13" x14ac:dyDescent="0.3">
      <c r="A121" s="193" t="str">
        <f>presupuesto!B120</f>
        <v>B.1.-</v>
      </c>
      <c r="B121" s="181" t="str">
        <f>presupuesto!C120</f>
        <v xml:space="preserve">         Suministro, transporte, transporte interno, colocación y prueba de Tuberías de HDPE</v>
      </c>
      <c r="C121" s="173" t="str">
        <f>presupuesto!G120</f>
        <v>305 días</v>
      </c>
      <c r="D121" s="176">
        <f>presupuesto!N120</f>
        <v>45600</v>
      </c>
      <c r="E121" s="176">
        <f>presupuesto!O120</f>
        <v>45904</v>
      </c>
      <c r="F121" s="194" t="str">
        <f>IF(AK121="n",CONCATENATE(" - "),IF(AK121="cg",CONCATENATE(" - "),CONCATENATE(ROUND(IFERROR(VLOOKUP(A121,informe!A:J,9,FALSE)/VLOOKUP(A121,informe!A:J,5,FALSE),0)*100,2),"% ")))</f>
        <v xml:space="preserve"> - </v>
      </c>
      <c r="G121" s="195" t="str">
        <f>IF(AND(G$3&gt;=$D121,G$3&lt;=$E121),IF((G$3-$D121+1)*VLOOKUP($A121,presupuesto!$B:$Q,16,FALSE)&gt;=VLOOKUP($A121,informe!$A:$J,9,FALSE),"cg","c"),"n")</f>
        <v>cg</v>
      </c>
      <c r="H121" s="195" t="str">
        <f>IF(AND(H$3&gt;=$D121,H$3&lt;=$E121),IF((H$3-$D121+1)*VLOOKUP($A121,presupuesto!$B:$Q,16,FALSE)&gt;=VLOOKUP($A121,informe!$A:$J,9,FALSE),"cg","c"),"n")</f>
        <v>cg</v>
      </c>
      <c r="I121" s="195" t="str">
        <f>IF(AND(I$3&gt;=$D121,I$3&lt;=$E121),IF((I$3-$D121+1)*VLOOKUP($A121,presupuesto!$B:$Q,16,FALSE)&gt;=VLOOKUP($A121,informe!$A:$J,9,FALSE),"cg","c"),"n")</f>
        <v>cg</v>
      </c>
      <c r="J121" s="195" t="str">
        <f>IF(AND(J$3&gt;=$D121,J$3&lt;=$E121),IF((J$3-$D121+1)*VLOOKUP($A121,presupuesto!$B:$Q,16,FALSE)&gt;=VLOOKUP($A121,informe!$A:$J,9,FALSE),"cg","c"),"n")</f>
        <v>cg</v>
      </c>
      <c r="K121" s="195" t="str">
        <f>IF(AND(K$3&gt;=$D121,K$3&lt;=$E121),IF((K$3-$D121+1)*VLOOKUP($A121,presupuesto!$B:$Q,16,FALSE)&gt;=VLOOKUP($A121,informe!$A:$J,9,FALSE),"cg","c"),"n")</f>
        <v>cg</v>
      </c>
      <c r="L121" s="195" t="str">
        <f>IF(AND(L$3&gt;=$D121,L$3&lt;=$E121),IF((L$3-$D121+1)*VLOOKUP($A121,presupuesto!$B:$Q,16,FALSE)&gt;=VLOOKUP($A121,informe!$A:$J,9,FALSE),"cg","c"),"n")</f>
        <v>cg</v>
      </c>
      <c r="M121" s="195" t="str">
        <f>IF(AND(M$3&gt;=$D121,M$3&lt;=$E121),IF((M$3-$D121+1)*VLOOKUP($A121,presupuesto!$B:$Q,16,FALSE)&gt;=VLOOKUP($A121,informe!$A:$J,9,FALSE),"cg","c"),"n")</f>
        <v>cg</v>
      </c>
      <c r="N121" s="195" t="str">
        <f>IF(AND(N$3&gt;=$D121,N$3&lt;=$E121),IF((N$3-$D121+1)*VLOOKUP($A121,presupuesto!$B:$Q,16,FALSE)&gt;=VLOOKUP($A121,informe!$A:$J,9,FALSE),"cg","c"),"n")</f>
        <v>cg</v>
      </c>
      <c r="O121" s="195" t="str">
        <f>IF(AND(O$3&gt;=$D121,O$3&lt;=$E121),IF((O$3-$D121+1)*VLOOKUP($A121,presupuesto!$B:$Q,16,FALSE)&gt;=VLOOKUP($A121,informe!$A:$J,9,FALSE),"cg","c"),"n")</f>
        <v>cg</v>
      </c>
      <c r="P121" s="195" t="str">
        <f>IF(AND(P$3&gt;=$D121,P$3&lt;=$E121),IF((P$3-$D121+1)*VLOOKUP($A121,presupuesto!$B:$Q,16,FALSE)&gt;=VLOOKUP($A121,informe!$A:$J,9,FALSE),"cg","c"),"n")</f>
        <v>cg</v>
      </c>
      <c r="Q121" s="195" t="str">
        <f>IF(AND(Q$3&gt;=$D121,Q$3&lt;=$E121),IF((Q$3-$D121+1)*VLOOKUP($A121,presupuesto!$B:$Q,16,FALSE)&gt;=VLOOKUP($A121,informe!$A:$J,9,FALSE),"cg","c"),"n")</f>
        <v>cg</v>
      </c>
      <c r="R121" s="195" t="str">
        <f>IF(AND(R$3&gt;=$D121,R$3&lt;=$E121),IF((R$3-$D121+1)*VLOOKUP($A121,presupuesto!$B:$Q,16,FALSE)&gt;=VLOOKUP($A121,informe!$A:$J,9,FALSE),"cg","c"),"n")</f>
        <v>cg</v>
      </c>
      <c r="S121" s="195" t="str">
        <f>IF(AND(S$3&gt;=$D121,S$3&lt;=$E121),IF((S$3-$D121+1)*VLOOKUP($A121,presupuesto!$B:$Q,16,FALSE)&gt;=VLOOKUP($A121,informe!$A:$J,9,FALSE),"cg","c"),"n")</f>
        <v>cg</v>
      </c>
      <c r="T121" s="195" t="str">
        <f>IF(AND(T$3&gt;=$D121,T$3&lt;=$E121),IF((T$3-$D121+1)*VLOOKUP($A121,presupuesto!$B:$Q,16,FALSE)&gt;=VLOOKUP($A121,informe!$A:$J,9,FALSE),"cg","c"),"n")</f>
        <v>cg</v>
      </c>
      <c r="U121" s="195" t="str">
        <f>IF(AND(U$3&gt;=$D121,U$3&lt;=$E121),IF((U$3-$D121+1)*VLOOKUP($A121,presupuesto!$B:$Q,16,FALSE)&gt;=VLOOKUP($A121,informe!$A:$J,9,FALSE),"cg","c"),"n")</f>
        <v>cg</v>
      </c>
      <c r="V121" s="195" t="str">
        <f>IF(AND(V$3&gt;=$D121,V$3&lt;=$E121),IF((V$3-$D121+1)*VLOOKUP($A121,presupuesto!$B:$Q,16,FALSE)&gt;=VLOOKUP($A121,informe!$A:$J,9,FALSE),"cg","c"),"n")</f>
        <v>cg</v>
      </c>
      <c r="W121" s="195" t="str">
        <f>IF(AND(W$3&gt;=$D121,W$3&lt;=$E121),IF((W$3-$D121+1)*VLOOKUP($A121,presupuesto!$B:$Q,16,FALSE)&gt;=VLOOKUP($A121,informe!$A:$J,9,FALSE),"cg","c"),"n")</f>
        <v>cg</v>
      </c>
      <c r="X121" s="195" t="str">
        <f>IF(AND(X$3&gt;=$D121,X$3&lt;=$E121),IF((X$3-$D121+1)*VLOOKUP($A121,presupuesto!$B:$Q,16,FALSE)&gt;=VLOOKUP($A121,informe!$A:$J,9,FALSE),"cg","c"),"n")</f>
        <v>cg</v>
      </c>
      <c r="Y121" s="195" t="str">
        <f>IF(AND(Y$3&gt;=$D121,Y$3&lt;=$E121),IF((Y$3-$D121+1)*VLOOKUP($A121,presupuesto!$B:$Q,16,FALSE)&gt;=VLOOKUP($A121,informe!$A:$J,9,FALSE),"cg","c"),"n")</f>
        <v>cg</v>
      </c>
      <c r="Z121" s="195" t="str">
        <f>IF(AND(Z$3&gt;=$D121,Z$3&lt;=$E121),IF((Z$3-$D121+1)*VLOOKUP($A121,presupuesto!$B:$Q,16,FALSE)&gt;=VLOOKUP($A121,informe!$A:$J,9,FALSE),"cg","c"),"n")</f>
        <v>cg</v>
      </c>
      <c r="AA121" s="195" t="str">
        <f>IF(AND(AA$3&gt;=$D121,AA$3&lt;=$E121),IF((AA$3-$D121+1)*VLOOKUP($A121,presupuesto!$B:$Q,16,FALSE)&gt;=VLOOKUP($A121,informe!$A:$J,9,FALSE),"cg","c"),"n")</f>
        <v>cg</v>
      </c>
      <c r="AB121" s="195" t="str">
        <f>IF(AND(AB$3&gt;=$D121,AB$3&lt;=$E121),IF((AB$3-$D121+1)*VLOOKUP($A121,presupuesto!$B:$Q,16,FALSE)&gt;=VLOOKUP($A121,informe!$A:$J,9,FALSE),"cg","c"),"n")</f>
        <v>cg</v>
      </c>
      <c r="AC121" s="195" t="str">
        <f>IF(AND(AC$3&gt;=$D121,AC$3&lt;=$E121),IF((AC$3-$D121+1)*VLOOKUP($A121,presupuesto!$B:$Q,16,FALSE)&gt;=VLOOKUP($A121,informe!$A:$J,9,FALSE),"cg","c"),"n")</f>
        <v>cg</v>
      </c>
      <c r="AD121" s="195" t="str">
        <f>IF(AND(AD$3&gt;=$D121,AD$3&lt;=$E121),IF((AD$3-$D121+1)*VLOOKUP($A121,presupuesto!$B:$Q,16,FALSE)&gt;=VLOOKUP($A121,informe!$A:$J,9,FALSE),"cg","c"),"n")</f>
        <v>cg</v>
      </c>
      <c r="AE121" s="195" t="str">
        <f>IF(AND(AE$3&gt;=$D121,AE$3&lt;=$E121),IF((AE$3-$D121+1)*VLOOKUP($A121,presupuesto!$B:$Q,16,FALSE)&gt;=VLOOKUP($A121,informe!$A:$J,9,FALSE),"cg","c"),"n")</f>
        <v>cg</v>
      </c>
      <c r="AF121" s="195" t="str">
        <f>IF(AND(AF$3&gt;=$D121,AF$3&lt;=$E121),IF((AF$3-$D121+1)*VLOOKUP($A121,presupuesto!$B:$Q,16,FALSE)&gt;=VLOOKUP($A121,informe!$A:$J,9,FALSE),"cg","c"),"n")</f>
        <v>cg</v>
      </c>
      <c r="AG121" s="195" t="str">
        <f>IF(AND(AG$3&gt;=$D121,AG$3&lt;=$E121),IF((AG$3-$D121+1)*VLOOKUP($A121,presupuesto!$B:$Q,16,FALSE)&gt;=VLOOKUP($A121,informe!$A:$J,9,FALSE),"cg","c"),"n")</f>
        <v>cg</v>
      </c>
      <c r="AH121" s="195" t="str">
        <f>IF(AND(AH$3&gt;=$D121,AH$3&lt;=$E121),IF((AH$3-$D121+1)*VLOOKUP($A121,presupuesto!$B:$Q,16,FALSE)&gt;=VLOOKUP($A121,informe!$A:$J,9,FALSE),"cg","c"),"n")</f>
        <v>cg</v>
      </c>
      <c r="AI121" s="195" t="str">
        <f>IF(AND(AI$3&gt;=$D121,AI$3&lt;=$E121),IF((AI$3-$D121+1)*VLOOKUP($A121,presupuesto!$B:$Q,16,FALSE)&gt;=VLOOKUP($A121,informe!$A:$J,9,FALSE),"cg","c"),"n")</f>
        <v>cg</v>
      </c>
      <c r="AJ121" s="195" t="str">
        <f>IF(AND(AJ$3&gt;=$D121,AJ$3&lt;=$E121),IF((AJ$3-$D121+1)*VLOOKUP($A121,presupuesto!$B:$Q,16,FALSE)&gt;=VLOOKUP($A121,informe!$A:$J,9,FALSE),"cg","c"),"n")</f>
        <v>cg</v>
      </c>
      <c r="AK121" s="196" t="str">
        <f>IF(AND(AK$3&gt;=$D121,AK$3&lt;=$E121),IF((AK$3-$D121+1)*VLOOKUP($A121,presupuesto!$B:$Q,16,FALSE)&gt;=VLOOKUP($A121,informe!$A:$J,9,FALSE),"cg","c"),"n")</f>
        <v>cg</v>
      </c>
    </row>
    <row r="122" spans="1:37" x14ac:dyDescent="0.25">
      <c r="A122" s="197">
        <f>presupuesto!B121</f>
        <v>78</v>
      </c>
      <c r="B122" s="182" t="str">
        <f>presupuesto!C121</f>
        <v xml:space="preserve">            Cañería de HDPE PN 10 D = 75 mm</v>
      </c>
      <c r="C122" s="174" t="str">
        <f>presupuesto!G121</f>
        <v>305 días</v>
      </c>
      <c r="D122" s="177">
        <f>presupuesto!N121</f>
        <v>45600</v>
      </c>
      <c r="E122" s="177">
        <f>presupuesto!O121</f>
        <v>45904</v>
      </c>
      <c r="F122" s="194" t="str">
        <f>IF(AK122="n",CONCATENATE(" - "),IF(AK122="cg",CONCATENATE(" - "),CONCATENATE(ROUND(IFERROR(VLOOKUP(A122,informe!A:J,9,FALSE)/VLOOKUP(A122,informe!A:J,5,FALSE),0)*100,2),"% ")))</f>
        <v xml:space="preserve">48,56% </v>
      </c>
      <c r="G122" s="195" t="str">
        <f>IF(AND(G$3&gt;=$D122,G$3&lt;=$E122),IF((G$3-$D122+1)*VLOOKUP($A122,presupuesto!$B:$Q,16,FALSE)&gt;=VLOOKUP($A122,informe!$A:$J,9,FALSE),"cg","c"),"n")</f>
        <v>c</v>
      </c>
      <c r="H122" s="195" t="str">
        <f>IF(AND(H$3&gt;=$D122,H$3&lt;=$E122),IF((H$3-$D122+1)*VLOOKUP($A122,presupuesto!$B:$Q,16,FALSE)&gt;=VLOOKUP($A122,informe!$A:$J,9,FALSE),"cg","c"),"n")</f>
        <v>c</v>
      </c>
      <c r="I122" s="195" t="str">
        <f>IF(AND(I$3&gt;=$D122,I$3&lt;=$E122),IF((I$3-$D122+1)*VLOOKUP($A122,presupuesto!$B:$Q,16,FALSE)&gt;=VLOOKUP($A122,informe!$A:$J,9,FALSE),"cg","c"),"n")</f>
        <v>c</v>
      </c>
      <c r="J122" s="195" t="str">
        <f>IF(AND(J$3&gt;=$D122,J$3&lt;=$E122),IF((J$3-$D122+1)*VLOOKUP($A122,presupuesto!$B:$Q,16,FALSE)&gt;=VLOOKUP($A122,informe!$A:$J,9,FALSE),"cg","c"),"n")</f>
        <v>c</v>
      </c>
      <c r="K122" s="195" t="str">
        <f>IF(AND(K$3&gt;=$D122,K$3&lt;=$E122),IF((K$3-$D122+1)*VLOOKUP($A122,presupuesto!$B:$Q,16,FALSE)&gt;=VLOOKUP($A122,informe!$A:$J,9,FALSE),"cg","c"),"n")</f>
        <v>c</v>
      </c>
      <c r="L122" s="195" t="str">
        <f>IF(AND(L$3&gt;=$D122,L$3&lt;=$E122),IF((L$3-$D122+1)*VLOOKUP($A122,presupuesto!$B:$Q,16,FALSE)&gt;=VLOOKUP($A122,informe!$A:$J,9,FALSE),"cg","c"),"n")</f>
        <v>c</v>
      </c>
      <c r="M122" s="195" t="str">
        <f>IF(AND(M$3&gt;=$D122,M$3&lt;=$E122),IF((M$3-$D122+1)*VLOOKUP($A122,presupuesto!$B:$Q,16,FALSE)&gt;=VLOOKUP($A122,informe!$A:$J,9,FALSE),"cg","c"),"n")</f>
        <v>c</v>
      </c>
      <c r="N122" s="195" t="str">
        <f>IF(AND(N$3&gt;=$D122,N$3&lt;=$E122),IF((N$3-$D122+1)*VLOOKUP($A122,presupuesto!$B:$Q,16,FALSE)&gt;=VLOOKUP($A122,informe!$A:$J,9,FALSE),"cg","c"),"n")</f>
        <v>c</v>
      </c>
      <c r="O122" s="195" t="str">
        <f>IF(AND(O$3&gt;=$D122,O$3&lt;=$E122),IF((O$3-$D122+1)*VLOOKUP($A122,presupuesto!$B:$Q,16,FALSE)&gt;=VLOOKUP($A122,informe!$A:$J,9,FALSE),"cg","c"),"n")</f>
        <v>c</v>
      </c>
      <c r="P122" s="195" t="str">
        <f>IF(AND(P$3&gt;=$D122,P$3&lt;=$E122),IF((P$3-$D122+1)*VLOOKUP($A122,presupuesto!$B:$Q,16,FALSE)&gt;=VLOOKUP($A122,informe!$A:$J,9,FALSE),"cg","c"),"n")</f>
        <v>c</v>
      </c>
      <c r="Q122" s="195" t="str">
        <f>IF(AND(Q$3&gt;=$D122,Q$3&lt;=$E122),IF((Q$3-$D122+1)*VLOOKUP($A122,presupuesto!$B:$Q,16,FALSE)&gt;=VLOOKUP($A122,informe!$A:$J,9,FALSE),"cg","c"),"n")</f>
        <v>c</v>
      </c>
      <c r="R122" s="195" t="str">
        <f>IF(AND(R$3&gt;=$D122,R$3&lt;=$E122),IF((R$3-$D122+1)*VLOOKUP($A122,presupuesto!$B:$Q,16,FALSE)&gt;=VLOOKUP($A122,informe!$A:$J,9,FALSE),"cg","c"),"n")</f>
        <v>c</v>
      </c>
      <c r="S122" s="195" t="str">
        <f>IF(AND(S$3&gt;=$D122,S$3&lt;=$E122),IF((S$3-$D122+1)*VLOOKUP($A122,presupuesto!$B:$Q,16,FALSE)&gt;=VLOOKUP($A122,informe!$A:$J,9,FALSE),"cg","c"),"n")</f>
        <v>c</v>
      </c>
      <c r="T122" s="195" t="str">
        <f>IF(AND(T$3&gt;=$D122,T$3&lt;=$E122),IF((T$3-$D122+1)*VLOOKUP($A122,presupuesto!$B:$Q,16,FALSE)&gt;=VLOOKUP($A122,informe!$A:$J,9,FALSE),"cg","c"),"n")</f>
        <v>c</v>
      </c>
      <c r="U122" s="195" t="str">
        <f>IF(AND(U$3&gt;=$D122,U$3&lt;=$E122),IF((U$3-$D122+1)*VLOOKUP($A122,presupuesto!$B:$Q,16,FALSE)&gt;=VLOOKUP($A122,informe!$A:$J,9,FALSE),"cg","c"),"n")</f>
        <v>c</v>
      </c>
      <c r="V122" s="195" t="str">
        <f>IF(AND(V$3&gt;=$D122,V$3&lt;=$E122),IF((V$3-$D122+1)*VLOOKUP($A122,presupuesto!$B:$Q,16,FALSE)&gt;=VLOOKUP($A122,informe!$A:$J,9,FALSE),"cg","c"),"n")</f>
        <v>c</v>
      </c>
      <c r="W122" s="195" t="str">
        <f>IF(AND(W$3&gt;=$D122,W$3&lt;=$E122),IF((W$3-$D122+1)*VLOOKUP($A122,presupuesto!$B:$Q,16,FALSE)&gt;=VLOOKUP($A122,informe!$A:$J,9,FALSE),"cg","c"),"n")</f>
        <v>c</v>
      </c>
      <c r="X122" s="195" t="str">
        <f>IF(AND(X$3&gt;=$D122,X$3&lt;=$E122),IF((X$3-$D122+1)*VLOOKUP($A122,presupuesto!$B:$Q,16,FALSE)&gt;=VLOOKUP($A122,informe!$A:$J,9,FALSE),"cg","c"),"n")</f>
        <v>c</v>
      </c>
      <c r="Y122" s="195" t="str">
        <f>IF(AND(Y$3&gt;=$D122,Y$3&lt;=$E122),IF((Y$3-$D122+1)*VLOOKUP($A122,presupuesto!$B:$Q,16,FALSE)&gt;=VLOOKUP($A122,informe!$A:$J,9,FALSE),"cg","c"),"n")</f>
        <v>c</v>
      </c>
      <c r="Z122" s="195" t="str">
        <f>IF(AND(Z$3&gt;=$D122,Z$3&lt;=$E122),IF((Z$3-$D122+1)*VLOOKUP($A122,presupuesto!$B:$Q,16,FALSE)&gt;=VLOOKUP($A122,informe!$A:$J,9,FALSE),"cg","c"),"n")</f>
        <v>c</v>
      </c>
      <c r="AA122" s="195" t="str">
        <f>IF(AND(AA$3&gt;=$D122,AA$3&lt;=$E122),IF((AA$3-$D122+1)*VLOOKUP($A122,presupuesto!$B:$Q,16,FALSE)&gt;=VLOOKUP($A122,informe!$A:$J,9,FALSE),"cg","c"),"n")</f>
        <v>c</v>
      </c>
      <c r="AB122" s="195" t="str">
        <f>IF(AND(AB$3&gt;=$D122,AB$3&lt;=$E122),IF((AB$3-$D122+1)*VLOOKUP($A122,presupuesto!$B:$Q,16,FALSE)&gt;=VLOOKUP($A122,informe!$A:$J,9,FALSE),"cg","c"),"n")</f>
        <v>c</v>
      </c>
      <c r="AC122" s="195" t="str">
        <f>IF(AND(AC$3&gt;=$D122,AC$3&lt;=$E122),IF((AC$3-$D122+1)*VLOOKUP($A122,presupuesto!$B:$Q,16,FALSE)&gt;=VLOOKUP($A122,informe!$A:$J,9,FALSE),"cg","c"),"n")</f>
        <v>c</v>
      </c>
      <c r="AD122" s="195" t="str">
        <f>IF(AND(AD$3&gt;=$D122,AD$3&lt;=$E122),IF((AD$3-$D122+1)*VLOOKUP($A122,presupuesto!$B:$Q,16,FALSE)&gt;=VLOOKUP($A122,informe!$A:$J,9,FALSE),"cg","c"),"n")</f>
        <v>c</v>
      </c>
      <c r="AE122" s="195" t="str">
        <f>IF(AND(AE$3&gt;=$D122,AE$3&lt;=$E122),IF((AE$3-$D122+1)*VLOOKUP($A122,presupuesto!$B:$Q,16,FALSE)&gt;=VLOOKUP($A122,informe!$A:$J,9,FALSE),"cg","c"),"n")</f>
        <v>c</v>
      </c>
      <c r="AF122" s="195" t="str">
        <f>IF(AND(AF$3&gt;=$D122,AF$3&lt;=$E122),IF((AF$3-$D122+1)*VLOOKUP($A122,presupuesto!$B:$Q,16,FALSE)&gt;=VLOOKUP($A122,informe!$A:$J,9,FALSE),"cg","c"),"n")</f>
        <v>c</v>
      </c>
      <c r="AG122" s="195" t="str">
        <f>IF(AND(AG$3&gt;=$D122,AG$3&lt;=$E122),IF((AG$3-$D122+1)*VLOOKUP($A122,presupuesto!$B:$Q,16,FALSE)&gt;=VLOOKUP($A122,informe!$A:$J,9,FALSE),"cg","c"),"n")</f>
        <v>c</v>
      </c>
      <c r="AH122" s="195" t="str">
        <f>IF(AND(AH$3&gt;=$D122,AH$3&lt;=$E122),IF((AH$3-$D122+1)*VLOOKUP($A122,presupuesto!$B:$Q,16,FALSE)&gt;=VLOOKUP($A122,informe!$A:$J,9,FALSE),"cg","c"),"n")</f>
        <v>c</v>
      </c>
      <c r="AI122" s="195" t="str">
        <f>IF(AND(AI$3&gt;=$D122,AI$3&lt;=$E122),IF((AI$3-$D122+1)*VLOOKUP($A122,presupuesto!$B:$Q,16,FALSE)&gt;=VLOOKUP($A122,informe!$A:$J,9,FALSE),"cg","c"),"n")</f>
        <v>c</v>
      </c>
      <c r="AJ122" s="195" t="str">
        <f>IF(AND(AJ$3&gt;=$D122,AJ$3&lt;=$E122),IF((AJ$3-$D122+1)*VLOOKUP($A122,presupuesto!$B:$Q,16,FALSE)&gt;=VLOOKUP($A122,informe!$A:$J,9,FALSE),"cg","c"),"n")</f>
        <v>c</v>
      </c>
      <c r="AK122" s="196" t="str">
        <f>IF(AND(AK$3&gt;=$D122,AK$3&lt;=$E122),IF((AK$3-$D122+1)*VLOOKUP($A122,presupuesto!$B:$Q,16,FALSE)&gt;=VLOOKUP($A122,informe!$A:$J,9,FALSE),"cg","c"),"n")</f>
        <v>c</v>
      </c>
    </row>
    <row r="123" spans="1:37" ht="13" x14ac:dyDescent="0.3">
      <c r="A123" s="197" t="str">
        <f>presupuesto!B122</f>
        <v>B.2.-</v>
      </c>
      <c r="B123" s="181" t="str">
        <f>presupuesto!C122</f>
        <v xml:space="preserve">         Suministro, transporte, transporte interno, colocación y prueba de Tuberías de Acero Galvanizado</v>
      </c>
      <c r="C123" s="174" t="str">
        <f>presupuesto!G122</f>
        <v>150 días</v>
      </c>
      <c r="D123" s="177">
        <f>presupuesto!N122</f>
        <v>45740</v>
      </c>
      <c r="E123" s="177">
        <f>presupuesto!O122</f>
        <v>45889</v>
      </c>
      <c r="F123" s="194" t="str">
        <f>IF(AK123="n",CONCATENATE(" - "),IF(AK123="cg",CONCATENATE(" - "),CONCATENATE(ROUND(IFERROR(VLOOKUP(A123,informe!A:J,9,FALSE)/VLOOKUP(A123,informe!A:J,5,FALSE),0)*100,2),"% ")))</f>
        <v xml:space="preserve"> - </v>
      </c>
      <c r="G123" s="195" t="str">
        <f>IF(AND(G$3&gt;=$D123,G$3&lt;=$E123),IF((G$3-$D123+1)*VLOOKUP($A123,presupuesto!$B:$Q,16,FALSE)&gt;=VLOOKUP($A123,informe!$A:$J,9,FALSE),"cg","c"),"n")</f>
        <v>n</v>
      </c>
      <c r="H123" s="195" t="str">
        <f>IF(AND(H$3&gt;=$D123,H$3&lt;=$E123),IF((H$3-$D123+1)*VLOOKUP($A123,presupuesto!$B:$Q,16,FALSE)&gt;=VLOOKUP($A123,informe!$A:$J,9,FALSE),"cg","c"),"n")</f>
        <v>n</v>
      </c>
      <c r="I123" s="195" t="str">
        <f>IF(AND(I$3&gt;=$D123,I$3&lt;=$E123),IF((I$3-$D123+1)*VLOOKUP($A123,presupuesto!$B:$Q,16,FALSE)&gt;=VLOOKUP($A123,informe!$A:$J,9,FALSE),"cg","c"),"n")</f>
        <v>n</v>
      </c>
      <c r="J123" s="195" t="str">
        <f>IF(AND(J$3&gt;=$D123,J$3&lt;=$E123),IF((J$3-$D123+1)*VLOOKUP($A123,presupuesto!$B:$Q,16,FALSE)&gt;=VLOOKUP($A123,informe!$A:$J,9,FALSE),"cg","c"),"n")</f>
        <v>n</v>
      </c>
      <c r="K123" s="195" t="str">
        <f>IF(AND(K$3&gt;=$D123,K$3&lt;=$E123),IF((K$3-$D123+1)*VLOOKUP($A123,presupuesto!$B:$Q,16,FALSE)&gt;=VLOOKUP($A123,informe!$A:$J,9,FALSE),"cg","c"),"n")</f>
        <v>n</v>
      </c>
      <c r="L123" s="195" t="str">
        <f>IF(AND(L$3&gt;=$D123,L$3&lt;=$E123),IF((L$3-$D123+1)*VLOOKUP($A123,presupuesto!$B:$Q,16,FALSE)&gt;=VLOOKUP($A123,informe!$A:$J,9,FALSE),"cg","c"),"n")</f>
        <v>n</v>
      </c>
      <c r="M123" s="195" t="str">
        <f>IF(AND(M$3&gt;=$D123,M$3&lt;=$E123),IF((M$3-$D123+1)*VLOOKUP($A123,presupuesto!$B:$Q,16,FALSE)&gt;=VLOOKUP($A123,informe!$A:$J,9,FALSE),"cg","c"),"n")</f>
        <v>n</v>
      </c>
      <c r="N123" s="195" t="str">
        <f>IF(AND(N$3&gt;=$D123,N$3&lt;=$E123),IF((N$3-$D123+1)*VLOOKUP($A123,presupuesto!$B:$Q,16,FALSE)&gt;=VLOOKUP($A123,informe!$A:$J,9,FALSE),"cg","c"),"n")</f>
        <v>n</v>
      </c>
      <c r="O123" s="195" t="str">
        <f>IF(AND(O$3&gt;=$D123,O$3&lt;=$E123),IF((O$3-$D123+1)*VLOOKUP($A123,presupuesto!$B:$Q,16,FALSE)&gt;=VLOOKUP($A123,informe!$A:$J,9,FALSE),"cg","c"),"n")</f>
        <v>n</v>
      </c>
      <c r="P123" s="195" t="str">
        <f>IF(AND(P$3&gt;=$D123,P$3&lt;=$E123),IF((P$3-$D123+1)*VLOOKUP($A123,presupuesto!$B:$Q,16,FALSE)&gt;=VLOOKUP($A123,informe!$A:$J,9,FALSE),"cg","c"),"n")</f>
        <v>n</v>
      </c>
      <c r="Q123" s="195" t="str">
        <f>IF(AND(Q$3&gt;=$D123,Q$3&lt;=$E123),IF((Q$3-$D123+1)*VLOOKUP($A123,presupuesto!$B:$Q,16,FALSE)&gt;=VLOOKUP($A123,informe!$A:$J,9,FALSE),"cg","c"),"n")</f>
        <v>n</v>
      </c>
      <c r="R123" s="195" t="str">
        <f>IF(AND(R$3&gt;=$D123,R$3&lt;=$E123),IF((R$3-$D123+1)*VLOOKUP($A123,presupuesto!$B:$Q,16,FALSE)&gt;=VLOOKUP($A123,informe!$A:$J,9,FALSE),"cg","c"),"n")</f>
        <v>n</v>
      </c>
      <c r="S123" s="195" t="str">
        <f>IF(AND(S$3&gt;=$D123,S$3&lt;=$E123),IF((S$3-$D123+1)*VLOOKUP($A123,presupuesto!$B:$Q,16,FALSE)&gt;=VLOOKUP($A123,informe!$A:$J,9,FALSE),"cg","c"),"n")</f>
        <v>n</v>
      </c>
      <c r="T123" s="195" t="str">
        <f>IF(AND(T$3&gt;=$D123,T$3&lt;=$E123),IF((T$3-$D123+1)*VLOOKUP($A123,presupuesto!$B:$Q,16,FALSE)&gt;=VLOOKUP($A123,informe!$A:$J,9,FALSE),"cg","c"),"n")</f>
        <v>n</v>
      </c>
      <c r="U123" s="195" t="str">
        <f>IF(AND(U$3&gt;=$D123,U$3&lt;=$E123),IF((U$3-$D123+1)*VLOOKUP($A123,presupuesto!$B:$Q,16,FALSE)&gt;=VLOOKUP($A123,informe!$A:$J,9,FALSE),"cg","c"),"n")</f>
        <v>n</v>
      </c>
      <c r="V123" s="195" t="str">
        <f>IF(AND(V$3&gt;=$D123,V$3&lt;=$E123),IF((V$3-$D123+1)*VLOOKUP($A123,presupuesto!$B:$Q,16,FALSE)&gt;=VLOOKUP($A123,informe!$A:$J,9,FALSE),"cg","c"),"n")</f>
        <v>n</v>
      </c>
      <c r="W123" s="195" t="str">
        <f>IF(AND(W$3&gt;=$D123,W$3&lt;=$E123),IF((W$3-$D123+1)*VLOOKUP($A123,presupuesto!$B:$Q,16,FALSE)&gt;=VLOOKUP($A123,informe!$A:$J,9,FALSE),"cg","c"),"n")</f>
        <v>n</v>
      </c>
      <c r="X123" s="195" t="str">
        <f>IF(AND(X$3&gt;=$D123,X$3&lt;=$E123),IF((X$3-$D123+1)*VLOOKUP($A123,presupuesto!$B:$Q,16,FALSE)&gt;=VLOOKUP($A123,informe!$A:$J,9,FALSE),"cg","c"),"n")</f>
        <v>n</v>
      </c>
      <c r="Y123" s="195" t="str">
        <f>IF(AND(Y$3&gt;=$D123,Y$3&lt;=$E123),IF((Y$3-$D123+1)*VLOOKUP($A123,presupuesto!$B:$Q,16,FALSE)&gt;=VLOOKUP($A123,informe!$A:$J,9,FALSE),"cg","c"),"n")</f>
        <v>n</v>
      </c>
      <c r="Z123" s="195" t="str">
        <f>IF(AND(Z$3&gt;=$D123,Z$3&lt;=$E123),IF((Z$3-$D123+1)*VLOOKUP($A123,presupuesto!$B:$Q,16,FALSE)&gt;=VLOOKUP($A123,informe!$A:$J,9,FALSE),"cg","c"),"n")</f>
        <v>n</v>
      </c>
      <c r="AA123" s="195" t="str">
        <f>IF(AND(AA$3&gt;=$D123,AA$3&lt;=$E123),IF((AA$3-$D123+1)*VLOOKUP($A123,presupuesto!$B:$Q,16,FALSE)&gt;=VLOOKUP($A123,informe!$A:$J,9,FALSE),"cg","c"),"n")</f>
        <v>n</v>
      </c>
      <c r="AB123" s="195" t="str">
        <f>IF(AND(AB$3&gt;=$D123,AB$3&lt;=$E123),IF((AB$3-$D123+1)*VLOOKUP($A123,presupuesto!$B:$Q,16,FALSE)&gt;=VLOOKUP($A123,informe!$A:$J,9,FALSE),"cg","c"),"n")</f>
        <v>n</v>
      </c>
      <c r="AC123" s="195" t="str">
        <f>IF(AND(AC$3&gt;=$D123,AC$3&lt;=$E123),IF((AC$3-$D123+1)*VLOOKUP($A123,presupuesto!$B:$Q,16,FALSE)&gt;=VLOOKUP($A123,informe!$A:$J,9,FALSE),"cg","c"),"n")</f>
        <v>n</v>
      </c>
      <c r="AD123" s="195" t="str">
        <f>IF(AND(AD$3&gt;=$D123,AD$3&lt;=$E123),IF((AD$3-$D123+1)*VLOOKUP($A123,presupuesto!$B:$Q,16,FALSE)&gt;=VLOOKUP($A123,informe!$A:$J,9,FALSE),"cg","c"),"n")</f>
        <v>n</v>
      </c>
      <c r="AE123" s="195" t="str">
        <f>IF(AND(AE$3&gt;=$D123,AE$3&lt;=$E123),IF((AE$3-$D123+1)*VLOOKUP($A123,presupuesto!$B:$Q,16,FALSE)&gt;=VLOOKUP($A123,informe!$A:$J,9,FALSE),"cg","c"),"n")</f>
        <v>n</v>
      </c>
      <c r="AF123" s="195" t="str">
        <f>IF(AND(AF$3&gt;=$D123,AF$3&lt;=$E123),IF((AF$3-$D123+1)*VLOOKUP($A123,presupuesto!$B:$Q,16,FALSE)&gt;=VLOOKUP($A123,informe!$A:$J,9,FALSE),"cg","c"),"n")</f>
        <v>n</v>
      </c>
      <c r="AG123" s="195" t="str">
        <f>IF(AND(AG$3&gt;=$D123,AG$3&lt;=$E123),IF((AG$3-$D123+1)*VLOOKUP($A123,presupuesto!$B:$Q,16,FALSE)&gt;=VLOOKUP($A123,informe!$A:$J,9,FALSE),"cg","c"),"n")</f>
        <v>n</v>
      </c>
      <c r="AH123" s="195" t="str">
        <f>IF(AND(AH$3&gt;=$D123,AH$3&lt;=$E123),IF((AH$3-$D123+1)*VLOOKUP($A123,presupuesto!$B:$Q,16,FALSE)&gt;=VLOOKUP($A123,informe!$A:$J,9,FALSE),"cg","c"),"n")</f>
        <v>n</v>
      </c>
      <c r="AI123" s="195" t="str">
        <f>IF(AND(AI$3&gt;=$D123,AI$3&lt;=$E123),IF((AI$3-$D123+1)*VLOOKUP($A123,presupuesto!$B:$Q,16,FALSE)&gt;=VLOOKUP($A123,informe!$A:$J,9,FALSE),"cg","c"),"n")</f>
        <v>n</v>
      </c>
      <c r="AJ123" s="195" t="str">
        <f>IF(AND(AJ$3&gt;=$D123,AJ$3&lt;=$E123),IF((AJ$3-$D123+1)*VLOOKUP($A123,presupuesto!$B:$Q,16,FALSE)&gt;=VLOOKUP($A123,informe!$A:$J,9,FALSE),"cg","c"),"n")</f>
        <v>n</v>
      </c>
      <c r="AK123" s="196" t="str">
        <f>IF(AND(AK$3&gt;=$D123,AK$3&lt;=$E123),IF((AK$3-$D123+1)*VLOOKUP($A123,presupuesto!$B:$Q,16,FALSE)&gt;=VLOOKUP($A123,informe!$A:$J,9,FALSE),"cg","c"),"n")</f>
        <v>n</v>
      </c>
    </row>
    <row r="124" spans="1:37" x14ac:dyDescent="0.25">
      <c r="A124" s="197">
        <f>presupuesto!B123</f>
        <v>79</v>
      </c>
      <c r="B124" s="182" t="str">
        <f>presupuesto!C123</f>
        <v xml:space="preserve">            Cañería de acero galvanizado Sch 40 D = 3”</v>
      </c>
      <c r="C124" s="174" t="str">
        <f>presupuesto!G123</f>
        <v>150 días</v>
      </c>
      <c r="D124" s="177">
        <f>presupuesto!N123</f>
        <v>45740</v>
      </c>
      <c r="E124" s="177">
        <f>presupuesto!O123</f>
        <v>45889</v>
      </c>
      <c r="F124" s="194" t="str">
        <f>IF(AK124="n",CONCATENATE(" - "),IF(AK124="cg",CONCATENATE(" - "),CONCATENATE(ROUND(IFERROR(VLOOKUP(A124,informe!A:J,9,FALSE)/VLOOKUP(A124,informe!A:J,5,FALSE),0)*100,2),"% ")))</f>
        <v xml:space="preserve"> - </v>
      </c>
      <c r="G124" s="195" t="str">
        <f>IF(AND(G$3&gt;=$D124,G$3&lt;=$E124),IF((G$3-$D124+1)*VLOOKUP($A124,presupuesto!$B:$Q,16,FALSE)&gt;=VLOOKUP($A124,informe!$A:$J,9,FALSE),"cg","c"),"n")</f>
        <v>n</v>
      </c>
      <c r="H124" s="195" t="str">
        <f>IF(AND(H$3&gt;=$D124,H$3&lt;=$E124),IF((H$3-$D124+1)*VLOOKUP($A124,presupuesto!$B:$Q,16,FALSE)&gt;=VLOOKUP($A124,informe!$A:$J,9,FALSE),"cg","c"),"n")</f>
        <v>n</v>
      </c>
      <c r="I124" s="195" t="str">
        <f>IF(AND(I$3&gt;=$D124,I$3&lt;=$E124),IF((I$3-$D124+1)*VLOOKUP($A124,presupuesto!$B:$Q,16,FALSE)&gt;=VLOOKUP($A124,informe!$A:$J,9,FALSE),"cg","c"),"n")</f>
        <v>n</v>
      </c>
      <c r="J124" s="195" t="str">
        <f>IF(AND(J$3&gt;=$D124,J$3&lt;=$E124),IF((J$3-$D124+1)*VLOOKUP($A124,presupuesto!$B:$Q,16,FALSE)&gt;=VLOOKUP($A124,informe!$A:$J,9,FALSE),"cg","c"),"n")</f>
        <v>n</v>
      </c>
      <c r="K124" s="195" t="str">
        <f>IF(AND(K$3&gt;=$D124,K$3&lt;=$E124),IF((K$3-$D124+1)*VLOOKUP($A124,presupuesto!$B:$Q,16,FALSE)&gt;=VLOOKUP($A124,informe!$A:$J,9,FALSE),"cg","c"),"n")</f>
        <v>n</v>
      </c>
      <c r="L124" s="195" t="str">
        <f>IF(AND(L$3&gt;=$D124,L$3&lt;=$E124),IF((L$3-$D124+1)*VLOOKUP($A124,presupuesto!$B:$Q,16,FALSE)&gt;=VLOOKUP($A124,informe!$A:$J,9,FALSE),"cg","c"),"n")</f>
        <v>n</v>
      </c>
      <c r="M124" s="195" t="str">
        <f>IF(AND(M$3&gt;=$D124,M$3&lt;=$E124),IF((M$3-$D124+1)*VLOOKUP($A124,presupuesto!$B:$Q,16,FALSE)&gt;=VLOOKUP($A124,informe!$A:$J,9,FALSE),"cg","c"),"n")</f>
        <v>n</v>
      </c>
      <c r="N124" s="195" t="str">
        <f>IF(AND(N$3&gt;=$D124,N$3&lt;=$E124),IF((N$3-$D124+1)*VLOOKUP($A124,presupuesto!$B:$Q,16,FALSE)&gt;=VLOOKUP($A124,informe!$A:$J,9,FALSE),"cg","c"),"n")</f>
        <v>n</v>
      </c>
      <c r="O124" s="195" t="str">
        <f>IF(AND(O$3&gt;=$D124,O$3&lt;=$E124),IF((O$3-$D124+1)*VLOOKUP($A124,presupuesto!$B:$Q,16,FALSE)&gt;=VLOOKUP($A124,informe!$A:$J,9,FALSE),"cg","c"),"n")</f>
        <v>n</v>
      </c>
      <c r="P124" s="195" t="str">
        <f>IF(AND(P$3&gt;=$D124,P$3&lt;=$E124),IF((P$3-$D124+1)*VLOOKUP($A124,presupuesto!$B:$Q,16,FALSE)&gt;=VLOOKUP($A124,informe!$A:$J,9,FALSE),"cg","c"),"n")</f>
        <v>n</v>
      </c>
      <c r="Q124" s="195" t="str">
        <f>IF(AND(Q$3&gt;=$D124,Q$3&lt;=$E124),IF((Q$3-$D124+1)*VLOOKUP($A124,presupuesto!$B:$Q,16,FALSE)&gt;=VLOOKUP($A124,informe!$A:$J,9,FALSE),"cg","c"),"n")</f>
        <v>n</v>
      </c>
      <c r="R124" s="195" t="str">
        <f>IF(AND(R$3&gt;=$D124,R$3&lt;=$E124),IF((R$3-$D124+1)*VLOOKUP($A124,presupuesto!$B:$Q,16,FALSE)&gt;=VLOOKUP($A124,informe!$A:$J,9,FALSE),"cg","c"),"n")</f>
        <v>n</v>
      </c>
      <c r="S124" s="195" t="str">
        <f>IF(AND(S$3&gt;=$D124,S$3&lt;=$E124),IF((S$3-$D124+1)*VLOOKUP($A124,presupuesto!$B:$Q,16,FALSE)&gt;=VLOOKUP($A124,informe!$A:$J,9,FALSE),"cg","c"),"n")</f>
        <v>n</v>
      </c>
      <c r="T124" s="195" t="str">
        <f>IF(AND(T$3&gt;=$D124,T$3&lt;=$E124),IF((T$3-$D124+1)*VLOOKUP($A124,presupuesto!$B:$Q,16,FALSE)&gt;=VLOOKUP($A124,informe!$A:$J,9,FALSE),"cg","c"),"n")</f>
        <v>n</v>
      </c>
      <c r="U124" s="195" t="str">
        <f>IF(AND(U$3&gt;=$D124,U$3&lt;=$E124),IF((U$3-$D124+1)*VLOOKUP($A124,presupuesto!$B:$Q,16,FALSE)&gt;=VLOOKUP($A124,informe!$A:$J,9,FALSE),"cg","c"),"n")</f>
        <v>n</v>
      </c>
      <c r="V124" s="195" t="str">
        <f>IF(AND(V$3&gt;=$D124,V$3&lt;=$E124),IF((V$3-$D124+1)*VLOOKUP($A124,presupuesto!$B:$Q,16,FALSE)&gt;=VLOOKUP($A124,informe!$A:$J,9,FALSE),"cg","c"),"n")</f>
        <v>n</v>
      </c>
      <c r="W124" s="195" t="str">
        <f>IF(AND(W$3&gt;=$D124,W$3&lt;=$E124),IF((W$3-$D124+1)*VLOOKUP($A124,presupuesto!$B:$Q,16,FALSE)&gt;=VLOOKUP($A124,informe!$A:$J,9,FALSE),"cg","c"),"n")</f>
        <v>n</v>
      </c>
      <c r="X124" s="195" t="str">
        <f>IF(AND(X$3&gt;=$D124,X$3&lt;=$E124),IF((X$3-$D124+1)*VLOOKUP($A124,presupuesto!$B:$Q,16,FALSE)&gt;=VLOOKUP($A124,informe!$A:$J,9,FALSE),"cg","c"),"n")</f>
        <v>n</v>
      </c>
      <c r="Y124" s="195" t="str">
        <f>IF(AND(Y$3&gt;=$D124,Y$3&lt;=$E124),IF((Y$3-$D124+1)*VLOOKUP($A124,presupuesto!$B:$Q,16,FALSE)&gt;=VLOOKUP($A124,informe!$A:$J,9,FALSE),"cg","c"),"n")</f>
        <v>n</v>
      </c>
      <c r="Z124" s="195" t="str">
        <f>IF(AND(Z$3&gt;=$D124,Z$3&lt;=$E124),IF((Z$3-$D124+1)*VLOOKUP($A124,presupuesto!$B:$Q,16,FALSE)&gt;=VLOOKUP($A124,informe!$A:$J,9,FALSE),"cg","c"),"n")</f>
        <v>n</v>
      </c>
      <c r="AA124" s="195" t="str">
        <f>IF(AND(AA$3&gt;=$D124,AA$3&lt;=$E124),IF((AA$3-$D124+1)*VLOOKUP($A124,presupuesto!$B:$Q,16,FALSE)&gt;=VLOOKUP($A124,informe!$A:$J,9,FALSE),"cg","c"),"n")</f>
        <v>n</v>
      </c>
      <c r="AB124" s="195" t="str">
        <f>IF(AND(AB$3&gt;=$D124,AB$3&lt;=$E124),IF((AB$3-$D124+1)*VLOOKUP($A124,presupuesto!$B:$Q,16,FALSE)&gt;=VLOOKUP($A124,informe!$A:$J,9,FALSE),"cg","c"),"n")</f>
        <v>n</v>
      </c>
      <c r="AC124" s="195" t="str">
        <f>IF(AND(AC$3&gt;=$D124,AC$3&lt;=$E124),IF((AC$3-$D124+1)*VLOOKUP($A124,presupuesto!$B:$Q,16,FALSE)&gt;=VLOOKUP($A124,informe!$A:$J,9,FALSE),"cg","c"),"n")</f>
        <v>n</v>
      </c>
      <c r="AD124" s="195" t="str">
        <f>IF(AND(AD$3&gt;=$D124,AD$3&lt;=$E124),IF((AD$3-$D124+1)*VLOOKUP($A124,presupuesto!$B:$Q,16,FALSE)&gt;=VLOOKUP($A124,informe!$A:$J,9,FALSE),"cg","c"),"n")</f>
        <v>n</v>
      </c>
      <c r="AE124" s="195" t="str">
        <f>IF(AND(AE$3&gt;=$D124,AE$3&lt;=$E124),IF((AE$3-$D124+1)*VLOOKUP($A124,presupuesto!$B:$Q,16,FALSE)&gt;=VLOOKUP($A124,informe!$A:$J,9,FALSE),"cg","c"),"n")</f>
        <v>n</v>
      </c>
      <c r="AF124" s="195" t="str">
        <f>IF(AND(AF$3&gt;=$D124,AF$3&lt;=$E124),IF((AF$3-$D124+1)*VLOOKUP($A124,presupuesto!$B:$Q,16,FALSE)&gt;=VLOOKUP($A124,informe!$A:$J,9,FALSE),"cg","c"),"n")</f>
        <v>n</v>
      </c>
      <c r="AG124" s="195" t="str">
        <f>IF(AND(AG$3&gt;=$D124,AG$3&lt;=$E124),IF((AG$3-$D124+1)*VLOOKUP($A124,presupuesto!$B:$Q,16,FALSE)&gt;=VLOOKUP($A124,informe!$A:$J,9,FALSE),"cg","c"),"n")</f>
        <v>n</v>
      </c>
      <c r="AH124" s="195" t="str">
        <f>IF(AND(AH$3&gt;=$D124,AH$3&lt;=$E124),IF((AH$3-$D124+1)*VLOOKUP($A124,presupuesto!$B:$Q,16,FALSE)&gt;=VLOOKUP($A124,informe!$A:$J,9,FALSE),"cg","c"),"n")</f>
        <v>n</v>
      </c>
      <c r="AI124" s="195" t="str">
        <f>IF(AND(AI$3&gt;=$D124,AI$3&lt;=$E124),IF((AI$3-$D124+1)*VLOOKUP($A124,presupuesto!$B:$Q,16,FALSE)&gt;=VLOOKUP($A124,informe!$A:$J,9,FALSE),"cg","c"),"n")</f>
        <v>n</v>
      </c>
      <c r="AJ124" s="195" t="str">
        <f>IF(AND(AJ$3&gt;=$D124,AJ$3&lt;=$E124),IF((AJ$3-$D124+1)*VLOOKUP($A124,presupuesto!$B:$Q,16,FALSE)&gt;=VLOOKUP($A124,informe!$A:$J,9,FALSE),"cg","c"),"n")</f>
        <v>n</v>
      </c>
      <c r="AK124" s="196" t="str">
        <f>IF(AND(AK$3&gt;=$D124,AK$3&lt;=$E124),IF((AK$3-$D124+1)*VLOOKUP($A124,presupuesto!$B:$Q,16,FALSE)&gt;=VLOOKUP($A124,informe!$A:$J,9,FALSE),"cg","c"),"n")</f>
        <v>n</v>
      </c>
    </row>
    <row r="125" spans="1:37" x14ac:dyDescent="0.25">
      <c r="A125" s="197">
        <f>presupuesto!B124</f>
        <v>80</v>
      </c>
      <c r="B125" s="182" t="str">
        <f>presupuesto!C124</f>
        <v xml:space="preserve">            Cañería de acero galvanizado Sch 40, D = 6”</v>
      </c>
      <c r="C125" s="174" t="str">
        <f>presupuesto!G124</f>
        <v>90 días</v>
      </c>
      <c r="D125" s="177">
        <f>presupuesto!N124</f>
        <v>45785</v>
      </c>
      <c r="E125" s="177">
        <f>presupuesto!O124</f>
        <v>45874</v>
      </c>
      <c r="F125" s="194" t="str">
        <f>IF(AK125="n",CONCATENATE(" - "),IF(AK125="cg",CONCATENATE(" - "),CONCATENATE(ROUND(IFERROR(VLOOKUP(A125,informe!A:J,9,FALSE)/VLOOKUP(A125,informe!A:J,5,FALSE),0)*100,2),"% ")))</f>
        <v xml:space="preserve"> - </v>
      </c>
      <c r="G125" s="195" t="str">
        <f>IF(AND(G$3&gt;=$D125,G$3&lt;=$E125),IF((G$3-$D125+1)*VLOOKUP($A125,presupuesto!$B:$Q,16,FALSE)&gt;=VLOOKUP($A125,informe!$A:$J,9,FALSE),"cg","c"),"n")</f>
        <v>n</v>
      </c>
      <c r="H125" s="195" t="str">
        <f>IF(AND(H$3&gt;=$D125,H$3&lt;=$E125),IF((H$3-$D125+1)*VLOOKUP($A125,presupuesto!$B:$Q,16,FALSE)&gt;=VLOOKUP($A125,informe!$A:$J,9,FALSE),"cg","c"),"n")</f>
        <v>n</v>
      </c>
      <c r="I125" s="195" t="str">
        <f>IF(AND(I$3&gt;=$D125,I$3&lt;=$E125),IF((I$3-$D125+1)*VLOOKUP($A125,presupuesto!$B:$Q,16,FALSE)&gt;=VLOOKUP($A125,informe!$A:$J,9,FALSE),"cg","c"),"n")</f>
        <v>n</v>
      </c>
      <c r="J125" s="195" t="str">
        <f>IF(AND(J$3&gt;=$D125,J$3&lt;=$E125),IF((J$3-$D125+1)*VLOOKUP($A125,presupuesto!$B:$Q,16,FALSE)&gt;=VLOOKUP($A125,informe!$A:$J,9,FALSE),"cg","c"),"n")</f>
        <v>n</v>
      </c>
      <c r="K125" s="195" t="str">
        <f>IF(AND(K$3&gt;=$D125,K$3&lt;=$E125),IF((K$3-$D125+1)*VLOOKUP($A125,presupuesto!$B:$Q,16,FALSE)&gt;=VLOOKUP($A125,informe!$A:$J,9,FALSE),"cg","c"),"n")</f>
        <v>n</v>
      </c>
      <c r="L125" s="195" t="str">
        <f>IF(AND(L$3&gt;=$D125,L$3&lt;=$E125),IF((L$3-$D125+1)*VLOOKUP($A125,presupuesto!$B:$Q,16,FALSE)&gt;=VLOOKUP($A125,informe!$A:$J,9,FALSE),"cg","c"),"n")</f>
        <v>n</v>
      </c>
      <c r="M125" s="195" t="str">
        <f>IF(AND(M$3&gt;=$D125,M$3&lt;=$E125),IF((M$3-$D125+1)*VLOOKUP($A125,presupuesto!$B:$Q,16,FALSE)&gt;=VLOOKUP($A125,informe!$A:$J,9,FALSE),"cg","c"),"n")</f>
        <v>n</v>
      </c>
      <c r="N125" s="195" t="str">
        <f>IF(AND(N$3&gt;=$D125,N$3&lt;=$E125),IF((N$3-$D125+1)*VLOOKUP($A125,presupuesto!$B:$Q,16,FALSE)&gt;=VLOOKUP($A125,informe!$A:$J,9,FALSE),"cg","c"),"n")</f>
        <v>n</v>
      </c>
      <c r="O125" s="195" t="str">
        <f>IF(AND(O$3&gt;=$D125,O$3&lt;=$E125),IF((O$3-$D125+1)*VLOOKUP($A125,presupuesto!$B:$Q,16,FALSE)&gt;=VLOOKUP($A125,informe!$A:$J,9,FALSE),"cg","c"),"n")</f>
        <v>n</v>
      </c>
      <c r="P125" s="195" t="str">
        <f>IF(AND(P$3&gt;=$D125,P$3&lt;=$E125),IF((P$3-$D125+1)*VLOOKUP($A125,presupuesto!$B:$Q,16,FALSE)&gt;=VLOOKUP($A125,informe!$A:$J,9,FALSE),"cg","c"),"n")</f>
        <v>n</v>
      </c>
      <c r="Q125" s="195" t="str">
        <f>IF(AND(Q$3&gt;=$D125,Q$3&lt;=$E125),IF((Q$3-$D125+1)*VLOOKUP($A125,presupuesto!$B:$Q,16,FALSE)&gt;=VLOOKUP($A125,informe!$A:$J,9,FALSE),"cg","c"),"n")</f>
        <v>n</v>
      </c>
      <c r="R125" s="195" t="str">
        <f>IF(AND(R$3&gt;=$D125,R$3&lt;=$E125),IF((R$3-$D125+1)*VLOOKUP($A125,presupuesto!$B:$Q,16,FALSE)&gt;=VLOOKUP($A125,informe!$A:$J,9,FALSE),"cg","c"),"n")</f>
        <v>n</v>
      </c>
      <c r="S125" s="195" t="str">
        <f>IF(AND(S$3&gt;=$D125,S$3&lt;=$E125),IF((S$3-$D125+1)*VLOOKUP($A125,presupuesto!$B:$Q,16,FALSE)&gt;=VLOOKUP($A125,informe!$A:$J,9,FALSE),"cg","c"),"n")</f>
        <v>n</v>
      </c>
      <c r="T125" s="195" t="str">
        <f>IF(AND(T$3&gt;=$D125,T$3&lt;=$E125),IF((T$3-$D125+1)*VLOOKUP($A125,presupuesto!$B:$Q,16,FALSE)&gt;=VLOOKUP($A125,informe!$A:$J,9,FALSE),"cg","c"),"n")</f>
        <v>n</v>
      </c>
      <c r="U125" s="195" t="str">
        <f>IF(AND(U$3&gt;=$D125,U$3&lt;=$E125),IF((U$3-$D125+1)*VLOOKUP($A125,presupuesto!$B:$Q,16,FALSE)&gt;=VLOOKUP($A125,informe!$A:$J,9,FALSE),"cg","c"),"n")</f>
        <v>n</v>
      </c>
      <c r="V125" s="195" t="str">
        <f>IF(AND(V$3&gt;=$D125,V$3&lt;=$E125),IF((V$3-$D125+1)*VLOOKUP($A125,presupuesto!$B:$Q,16,FALSE)&gt;=VLOOKUP($A125,informe!$A:$J,9,FALSE),"cg","c"),"n")</f>
        <v>n</v>
      </c>
      <c r="W125" s="195" t="str">
        <f>IF(AND(W$3&gt;=$D125,W$3&lt;=$E125),IF((W$3-$D125+1)*VLOOKUP($A125,presupuesto!$B:$Q,16,FALSE)&gt;=VLOOKUP($A125,informe!$A:$J,9,FALSE),"cg","c"),"n")</f>
        <v>n</v>
      </c>
      <c r="X125" s="195" t="str">
        <f>IF(AND(X$3&gt;=$D125,X$3&lt;=$E125),IF((X$3-$D125+1)*VLOOKUP($A125,presupuesto!$B:$Q,16,FALSE)&gt;=VLOOKUP($A125,informe!$A:$J,9,FALSE),"cg","c"),"n")</f>
        <v>n</v>
      </c>
      <c r="Y125" s="195" t="str">
        <f>IF(AND(Y$3&gt;=$D125,Y$3&lt;=$E125),IF((Y$3-$D125+1)*VLOOKUP($A125,presupuesto!$B:$Q,16,FALSE)&gt;=VLOOKUP($A125,informe!$A:$J,9,FALSE),"cg","c"),"n")</f>
        <v>n</v>
      </c>
      <c r="Z125" s="195" t="str">
        <f>IF(AND(Z$3&gt;=$D125,Z$3&lt;=$E125),IF((Z$3-$D125+1)*VLOOKUP($A125,presupuesto!$B:$Q,16,FALSE)&gt;=VLOOKUP($A125,informe!$A:$J,9,FALSE),"cg","c"),"n")</f>
        <v>n</v>
      </c>
      <c r="AA125" s="195" t="str">
        <f>IF(AND(AA$3&gt;=$D125,AA$3&lt;=$E125),IF((AA$3-$D125+1)*VLOOKUP($A125,presupuesto!$B:$Q,16,FALSE)&gt;=VLOOKUP($A125,informe!$A:$J,9,FALSE),"cg","c"),"n")</f>
        <v>n</v>
      </c>
      <c r="AB125" s="195" t="str">
        <f>IF(AND(AB$3&gt;=$D125,AB$3&lt;=$E125),IF((AB$3-$D125+1)*VLOOKUP($A125,presupuesto!$B:$Q,16,FALSE)&gt;=VLOOKUP($A125,informe!$A:$J,9,FALSE),"cg","c"),"n")</f>
        <v>n</v>
      </c>
      <c r="AC125" s="195" t="str">
        <f>IF(AND(AC$3&gt;=$D125,AC$3&lt;=$E125),IF((AC$3-$D125+1)*VLOOKUP($A125,presupuesto!$B:$Q,16,FALSE)&gt;=VLOOKUP($A125,informe!$A:$J,9,FALSE),"cg","c"),"n")</f>
        <v>n</v>
      </c>
      <c r="AD125" s="195" t="str">
        <f>IF(AND(AD$3&gt;=$D125,AD$3&lt;=$E125),IF((AD$3-$D125+1)*VLOOKUP($A125,presupuesto!$B:$Q,16,FALSE)&gt;=VLOOKUP($A125,informe!$A:$J,9,FALSE),"cg","c"),"n")</f>
        <v>n</v>
      </c>
      <c r="AE125" s="195" t="str">
        <f>IF(AND(AE$3&gt;=$D125,AE$3&lt;=$E125),IF((AE$3-$D125+1)*VLOOKUP($A125,presupuesto!$B:$Q,16,FALSE)&gt;=VLOOKUP($A125,informe!$A:$J,9,FALSE),"cg","c"),"n")</f>
        <v>n</v>
      </c>
      <c r="AF125" s="195" t="str">
        <f>IF(AND(AF$3&gt;=$D125,AF$3&lt;=$E125),IF((AF$3-$D125+1)*VLOOKUP($A125,presupuesto!$B:$Q,16,FALSE)&gt;=VLOOKUP($A125,informe!$A:$J,9,FALSE),"cg","c"),"n")</f>
        <v>n</v>
      </c>
      <c r="AG125" s="195" t="str">
        <f>IF(AND(AG$3&gt;=$D125,AG$3&lt;=$E125),IF((AG$3-$D125+1)*VLOOKUP($A125,presupuesto!$B:$Q,16,FALSE)&gt;=VLOOKUP($A125,informe!$A:$J,9,FALSE),"cg","c"),"n")</f>
        <v>n</v>
      </c>
      <c r="AH125" s="195" t="str">
        <f>IF(AND(AH$3&gt;=$D125,AH$3&lt;=$E125),IF((AH$3-$D125+1)*VLOOKUP($A125,presupuesto!$B:$Q,16,FALSE)&gt;=VLOOKUP($A125,informe!$A:$J,9,FALSE),"cg","c"),"n")</f>
        <v>n</v>
      </c>
      <c r="AI125" s="195" t="str">
        <f>IF(AND(AI$3&gt;=$D125,AI$3&lt;=$E125),IF((AI$3-$D125+1)*VLOOKUP($A125,presupuesto!$B:$Q,16,FALSE)&gt;=VLOOKUP($A125,informe!$A:$J,9,FALSE),"cg","c"),"n")</f>
        <v>n</v>
      </c>
      <c r="AJ125" s="195" t="str">
        <f>IF(AND(AJ$3&gt;=$D125,AJ$3&lt;=$E125),IF((AJ$3-$D125+1)*VLOOKUP($A125,presupuesto!$B:$Q,16,FALSE)&gt;=VLOOKUP($A125,informe!$A:$J,9,FALSE),"cg","c"),"n")</f>
        <v>n</v>
      </c>
      <c r="AK125" s="196" t="str">
        <f>IF(AND(AK$3&gt;=$D125,AK$3&lt;=$E125),IF((AK$3-$D125+1)*VLOOKUP($A125,presupuesto!$B:$Q,16,FALSE)&gt;=VLOOKUP($A125,informe!$A:$J,9,FALSE),"cg","c"),"n")</f>
        <v>n</v>
      </c>
    </row>
    <row r="126" spans="1:37" ht="13" x14ac:dyDescent="0.3">
      <c r="A126" s="193" t="str">
        <f>presupuesto!B125</f>
        <v>B.3.-</v>
      </c>
      <c r="B126" s="181" t="str">
        <f>presupuesto!C125</f>
        <v xml:space="preserve">         Suministro, transporte, transporte interno, colocación y prueba de Piezas Especiales con/sin mecanismo</v>
      </c>
      <c r="C126" s="173" t="str">
        <f>presupuesto!G125</f>
        <v>180 días</v>
      </c>
      <c r="D126" s="176">
        <f>presupuesto!N125</f>
        <v>45725</v>
      </c>
      <c r="E126" s="176">
        <f>presupuesto!O125</f>
        <v>45904</v>
      </c>
      <c r="F126" s="194" t="str">
        <f>IF(AK126="n",CONCATENATE(" - "),IF(AK126="cg",CONCATENATE(" - "),CONCATENATE(ROUND(IFERROR(VLOOKUP(A126,informe!A:J,9,FALSE)/VLOOKUP(A126,informe!A:J,5,FALSE),0)*100,2),"% ")))</f>
        <v xml:space="preserve"> - </v>
      </c>
      <c r="G126" s="195" t="str">
        <f>IF(AND(G$3&gt;=$D126,G$3&lt;=$E126),IF((G$3-$D126+1)*VLOOKUP($A126,presupuesto!$B:$Q,16,FALSE)&gt;=VLOOKUP($A126,informe!$A:$J,9,FALSE),"cg","c"),"n")</f>
        <v>n</v>
      </c>
      <c r="H126" s="195" t="str">
        <f>IF(AND(H$3&gt;=$D126,H$3&lt;=$E126),IF((H$3-$D126+1)*VLOOKUP($A126,presupuesto!$B:$Q,16,FALSE)&gt;=VLOOKUP($A126,informe!$A:$J,9,FALSE),"cg","c"),"n")</f>
        <v>n</v>
      </c>
      <c r="I126" s="195" t="str">
        <f>IF(AND(I$3&gt;=$D126,I$3&lt;=$E126),IF((I$3-$D126+1)*VLOOKUP($A126,presupuesto!$B:$Q,16,FALSE)&gt;=VLOOKUP($A126,informe!$A:$J,9,FALSE),"cg","c"),"n")</f>
        <v>n</v>
      </c>
      <c r="J126" s="195" t="str">
        <f>IF(AND(J$3&gt;=$D126,J$3&lt;=$E126),IF((J$3-$D126+1)*VLOOKUP($A126,presupuesto!$B:$Q,16,FALSE)&gt;=VLOOKUP($A126,informe!$A:$J,9,FALSE),"cg","c"),"n")</f>
        <v>n</v>
      </c>
      <c r="K126" s="195" t="str">
        <f>IF(AND(K$3&gt;=$D126,K$3&lt;=$E126),IF((K$3-$D126+1)*VLOOKUP($A126,presupuesto!$B:$Q,16,FALSE)&gt;=VLOOKUP($A126,informe!$A:$J,9,FALSE),"cg","c"),"n")</f>
        <v>n</v>
      </c>
      <c r="L126" s="195" t="str">
        <f>IF(AND(L$3&gt;=$D126,L$3&lt;=$E126),IF((L$3-$D126+1)*VLOOKUP($A126,presupuesto!$B:$Q,16,FALSE)&gt;=VLOOKUP($A126,informe!$A:$J,9,FALSE),"cg","c"),"n")</f>
        <v>n</v>
      </c>
      <c r="M126" s="195" t="str">
        <f>IF(AND(M$3&gt;=$D126,M$3&lt;=$E126),IF((M$3-$D126+1)*VLOOKUP($A126,presupuesto!$B:$Q,16,FALSE)&gt;=VLOOKUP($A126,informe!$A:$J,9,FALSE),"cg","c"),"n")</f>
        <v>n</v>
      </c>
      <c r="N126" s="195" t="str">
        <f>IF(AND(N$3&gt;=$D126,N$3&lt;=$E126),IF((N$3-$D126+1)*VLOOKUP($A126,presupuesto!$B:$Q,16,FALSE)&gt;=VLOOKUP($A126,informe!$A:$J,9,FALSE),"cg","c"),"n")</f>
        <v>n</v>
      </c>
      <c r="O126" s="195" t="str">
        <f>IF(AND(O$3&gt;=$D126,O$3&lt;=$E126),IF((O$3-$D126+1)*VLOOKUP($A126,presupuesto!$B:$Q,16,FALSE)&gt;=VLOOKUP($A126,informe!$A:$J,9,FALSE),"cg","c"),"n")</f>
        <v>n</v>
      </c>
      <c r="P126" s="195" t="str">
        <f>IF(AND(P$3&gt;=$D126,P$3&lt;=$E126),IF((P$3-$D126+1)*VLOOKUP($A126,presupuesto!$B:$Q,16,FALSE)&gt;=VLOOKUP($A126,informe!$A:$J,9,FALSE),"cg","c"),"n")</f>
        <v>n</v>
      </c>
      <c r="Q126" s="195" t="str">
        <f>IF(AND(Q$3&gt;=$D126,Q$3&lt;=$E126),IF((Q$3-$D126+1)*VLOOKUP($A126,presupuesto!$B:$Q,16,FALSE)&gt;=VLOOKUP($A126,informe!$A:$J,9,FALSE),"cg","c"),"n")</f>
        <v>n</v>
      </c>
      <c r="R126" s="195" t="str">
        <f>IF(AND(R$3&gt;=$D126,R$3&lt;=$E126),IF((R$3-$D126+1)*VLOOKUP($A126,presupuesto!$B:$Q,16,FALSE)&gt;=VLOOKUP($A126,informe!$A:$J,9,FALSE),"cg","c"),"n")</f>
        <v>n</v>
      </c>
      <c r="S126" s="195" t="str">
        <f>IF(AND(S$3&gt;=$D126,S$3&lt;=$E126),IF((S$3-$D126+1)*VLOOKUP($A126,presupuesto!$B:$Q,16,FALSE)&gt;=VLOOKUP($A126,informe!$A:$J,9,FALSE),"cg","c"),"n")</f>
        <v>n</v>
      </c>
      <c r="T126" s="195" t="str">
        <f>IF(AND(T$3&gt;=$D126,T$3&lt;=$E126),IF((T$3-$D126+1)*VLOOKUP($A126,presupuesto!$B:$Q,16,FALSE)&gt;=VLOOKUP($A126,informe!$A:$J,9,FALSE),"cg","c"),"n")</f>
        <v>n</v>
      </c>
      <c r="U126" s="195" t="str">
        <f>IF(AND(U$3&gt;=$D126,U$3&lt;=$E126),IF((U$3-$D126+1)*VLOOKUP($A126,presupuesto!$B:$Q,16,FALSE)&gt;=VLOOKUP($A126,informe!$A:$J,9,FALSE),"cg","c"),"n")</f>
        <v>n</v>
      </c>
      <c r="V126" s="195" t="str">
        <f>IF(AND(V$3&gt;=$D126,V$3&lt;=$E126),IF((V$3-$D126+1)*VLOOKUP($A126,presupuesto!$B:$Q,16,FALSE)&gt;=VLOOKUP($A126,informe!$A:$J,9,FALSE),"cg","c"),"n")</f>
        <v>n</v>
      </c>
      <c r="W126" s="195" t="str">
        <f>IF(AND(W$3&gt;=$D126,W$3&lt;=$E126),IF((W$3-$D126+1)*VLOOKUP($A126,presupuesto!$B:$Q,16,FALSE)&gt;=VLOOKUP($A126,informe!$A:$J,9,FALSE),"cg","c"),"n")</f>
        <v>n</v>
      </c>
      <c r="X126" s="195" t="str">
        <f>IF(AND(X$3&gt;=$D126,X$3&lt;=$E126),IF((X$3-$D126+1)*VLOOKUP($A126,presupuesto!$B:$Q,16,FALSE)&gt;=VLOOKUP($A126,informe!$A:$J,9,FALSE),"cg","c"),"n")</f>
        <v>n</v>
      </c>
      <c r="Y126" s="195" t="str">
        <f>IF(AND(Y$3&gt;=$D126,Y$3&lt;=$E126),IF((Y$3-$D126+1)*VLOOKUP($A126,presupuesto!$B:$Q,16,FALSE)&gt;=VLOOKUP($A126,informe!$A:$J,9,FALSE),"cg","c"),"n")</f>
        <v>n</v>
      </c>
      <c r="Z126" s="195" t="str">
        <f>IF(AND(Z$3&gt;=$D126,Z$3&lt;=$E126),IF((Z$3-$D126+1)*VLOOKUP($A126,presupuesto!$B:$Q,16,FALSE)&gt;=VLOOKUP($A126,informe!$A:$J,9,FALSE),"cg","c"),"n")</f>
        <v>n</v>
      </c>
      <c r="AA126" s="195" t="str">
        <f>IF(AND(AA$3&gt;=$D126,AA$3&lt;=$E126),IF((AA$3-$D126+1)*VLOOKUP($A126,presupuesto!$B:$Q,16,FALSE)&gt;=VLOOKUP($A126,informe!$A:$J,9,FALSE),"cg","c"),"n")</f>
        <v>n</v>
      </c>
      <c r="AB126" s="195" t="str">
        <f>IF(AND(AB$3&gt;=$D126,AB$3&lt;=$E126),IF((AB$3-$D126+1)*VLOOKUP($A126,presupuesto!$B:$Q,16,FALSE)&gt;=VLOOKUP($A126,informe!$A:$J,9,FALSE),"cg","c"),"n")</f>
        <v>n</v>
      </c>
      <c r="AC126" s="195" t="str">
        <f>IF(AND(AC$3&gt;=$D126,AC$3&lt;=$E126),IF((AC$3-$D126+1)*VLOOKUP($A126,presupuesto!$B:$Q,16,FALSE)&gt;=VLOOKUP($A126,informe!$A:$J,9,FALSE),"cg","c"),"n")</f>
        <v>n</v>
      </c>
      <c r="AD126" s="195" t="str">
        <f>IF(AND(AD$3&gt;=$D126,AD$3&lt;=$E126),IF((AD$3-$D126+1)*VLOOKUP($A126,presupuesto!$B:$Q,16,FALSE)&gt;=VLOOKUP($A126,informe!$A:$J,9,FALSE),"cg","c"),"n")</f>
        <v>n</v>
      </c>
      <c r="AE126" s="195" t="str">
        <f>IF(AND(AE$3&gt;=$D126,AE$3&lt;=$E126),IF((AE$3-$D126+1)*VLOOKUP($A126,presupuesto!$B:$Q,16,FALSE)&gt;=VLOOKUP($A126,informe!$A:$J,9,FALSE),"cg","c"),"n")</f>
        <v>n</v>
      </c>
      <c r="AF126" s="195" t="str">
        <f>IF(AND(AF$3&gt;=$D126,AF$3&lt;=$E126),IF((AF$3-$D126+1)*VLOOKUP($A126,presupuesto!$B:$Q,16,FALSE)&gt;=VLOOKUP($A126,informe!$A:$J,9,FALSE),"cg","c"),"n")</f>
        <v>n</v>
      </c>
      <c r="AG126" s="195" t="str">
        <f>IF(AND(AG$3&gt;=$D126,AG$3&lt;=$E126),IF((AG$3-$D126+1)*VLOOKUP($A126,presupuesto!$B:$Q,16,FALSE)&gt;=VLOOKUP($A126,informe!$A:$J,9,FALSE),"cg","c"),"n")</f>
        <v>n</v>
      </c>
      <c r="AH126" s="195" t="str">
        <f>IF(AND(AH$3&gt;=$D126,AH$3&lt;=$E126),IF((AH$3-$D126+1)*VLOOKUP($A126,presupuesto!$B:$Q,16,FALSE)&gt;=VLOOKUP($A126,informe!$A:$J,9,FALSE),"cg","c"),"n")</f>
        <v>n</v>
      </c>
      <c r="AI126" s="195" t="str">
        <f>IF(AND(AI$3&gt;=$D126,AI$3&lt;=$E126),IF((AI$3-$D126+1)*VLOOKUP($A126,presupuesto!$B:$Q,16,FALSE)&gt;=VLOOKUP($A126,informe!$A:$J,9,FALSE),"cg","c"),"n")</f>
        <v>n</v>
      </c>
      <c r="AJ126" s="195" t="str">
        <f>IF(AND(AJ$3&gt;=$D126,AJ$3&lt;=$E126),IF((AJ$3-$D126+1)*VLOOKUP($A126,presupuesto!$B:$Q,16,FALSE)&gt;=VLOOKUP($A126,informe!$A:$J,9,FALSE),"cg","c"),"n")</f>
        <v>n</v>
      </c>
      <c r="AK126" s="196" t="str">
        <f>IF(AND(AK$3&gt;=$D126,AK$3&lt;=$E126),IF((AK$3-$D126+1)*VLOOKUP($A126,presupuesto!$B:$Q,16,FALSE)&gt;=VLOOKUP($A126,informe!$A:$J,9,FALSE),"cg","c"),"n")</f>
        <v>n</v>
      </c>
    </row>
    <row r="127" spans="1:37" ht="13" x14ac:dyDescent="0.25">
      <c r="A127" s="193">
        <f>presupuesto!B126</f>
        <v>81</v>
      </c>
      <c r="B127" s="182" t="str">
        <f>presupuesto!C126</f>
        <v xml:space="preserve">            Piezas especiales de HDPE</v>
      </c>
      <c r="C127" s="173" t="str">
        <f>presupuesto!G126</f>
        <v>180 días</v>
      </c>
      <c r="D127" s="176">
        <f>presupuesto!N126</f>
        <v>45725</v>
      </c>
      <c r="E127" s="176">
        <f>presupuesto!O126</f>
        <v>45904</v>
      </c>
      <c r="F127" s="194" t="str">
        <f>IF(AK127="n",CONCATENATE(" - "),IF(AK127="cg",CONCATENATE(" - "),CONCATENATE(ROUND(IFERROR(VLOOKUP(A127,informe!A:J,9,FALSE)/VLOOKUP(A127,informe!A:J,5,FALSE),0)*100,2),"% ")))</f>
        <v xml:space="preserve"> - </v>
      </c>
      <c r="G127" s="195" t="str">
        <f>IF(AND(G$3&gt;=$D127,G$3&lt;=$E127),IF((G$3-$D127+1)*VLOOKUP($A127,presupuesto!$B:$Q,16,FALSE)&gt;=VLOOKUP($A127,informe!$A:$J,9,FALSE),"cg","c"),"n")</f>
        <v>n</v>
      </c>
      <c r="H127" s="195" t="str">
        <f>IF(AND(H$3&gt;=$D127,H$3&lt;=$E127),IF((H$3-$D127+1)*VLOOKUP($A127,presupuesto!$B:$Q,16,FALSE)&gt;=VLOOKUP($A127,informe!$A:$J,9,FALSE),"cg","c"),"n")</f>
        <v>n</v>
      </c>
      <c r="I127" s="195" t="str">
        <f>IF(AND(I$3&gt;=$D127,I$3&lt;=$E127),IF((I$3-$D127+1)*VLOOKUP($A127,presupuesto!$B:$Q,16,FALSE)&gt;=VLOOKUP($A127,informe!$A:$J,9,FALSE),"cg","c"),"n")</f>
        <v>n</v>
      </c>
      <c r="J127" s="195" t="str">
        <f>IF(AND(J$3&gt;=$D127,J$3&lt;=$E127),IF((J$3-$D127+1)*VLOOKUP($A127,presupuesto!$B:$Q,16,FALSE)&gt;=VLOOKUP($A127,informe!$A:$J,9,FALSE),"cg","c"),"n")</f>
        <v>n</v>
      </c>
      <c r="K127" s="195" t="str">
        <f>IF(AND(K$3&gt;=$D127,K$3&lt;=$E127),IF((K$3-$D127+1)*VLOOKUP($A127,presupuesto!$B:$Q,16,FALSE)&gt;=VLOOKUP($A127,informe!$A:$J,9,FALSE),"cg","c"),"n")</f>
        <v>n</v>
      </c>
      <c r="L127" s="195" t="str">
        <f>IF(AND(L$3&gt;=$D127,L$3&lt;=$E127),IF((L$3-$D127+1)*VLOOKUP($A127,presupuesto!$B:$Q,16,FALSE)&gt;=VLOOKUP($A127,informe!$A:$J,9,FALSE),"cg","c"),"n")</f>
        <v>n</v>
      </c>
      <c r="M127" s="195" t="str">
        <f>IF(AND(M$3&gt;=$D127,M$3&lt;=$E127),IF((M$3-$D127+1)*VLOOKUP($A127,presupuesto!$B:$Q,16,FALSE)&gt;=VLOOKUP($A127,informe!$A:$J,9,FALSE),"cg","c"),"n")</f>
        <v>n</v>
      </c>
      <c r="N127" s="195" t="str">
        <f>IF(AND(N$3&gt;=$D127,N$3&lt;=$E127),IF((N$3-$D127+1)*VLOOKUP($A127,presupuesto!$B:$Q,16,FALSE)&gt;=VLOOKUP($A127,informe!$A:$J,9,FALSE),"cg","c"),"n")</f>
        <v>n</v>
      </c>
      <c r="O127" s="195" t="str">
        <f>IF(AND(O$3&gt;=$D127,O$3&lt;=$E127),IF((O$3-$D127+1)*VLOOKUP($A127,presupuesto!$B:$Q,16,FALSE)&gt;=VLOOKUP($A127,informe!$A:$J,9,FALSE),"cg","c"),"n")</f>
        <v>n</v>
      </c>
      <c r="P127" s="195" t="str">
        <f>IF(AND(P$3&gt;=$D127,P$3&lt;=$E127),IF((P$3-$D127+1)*VLOOKUP($A127,presupuesto!$B:$Q,16,FALSE)&gt;=VLOOKUP($A127,informe!$A:$J,9,FALSE),"cg","c"),"n")</f>
        <v>n</v>
      </c>
      <c r="Q127" s="195" t="str">
        <f>IF(AND(Q$3&gt;=$D127,Q$3&lt;=$E127),IF((Q$3-$D127+1)*VLOOKUP($A127,presupuesto!$B:$Q,16,FALSE)&gt;=VLOOKUP($A127,informe!$A:$J,9,FALSE),"cg","c"),"n")</f>
        <v>n</v>
      </c>
      <c r="R127" s="195" t="str">
        <f>IF(AND(R$3&gt;=$D127,R$3&lt;=$E127),IF((R$3-$D127+1)*VLOOKUP($A127,presupuesto!$B:$Q,16,FALSE)&gt;=VLOOKUP($A127,informe!$A:$J,9,FALSE),"cg","c"),"n")</f>
        <v>n</v>
      </c>
      <c r="S127" s="195" t="str">
        <f>IF(AND(S$3&gt;=$D127,S$3&lt;=$E127),IF((S$3-$D127+1)*VLOOKUP($A127,presupuesto!$B:$Q,16,FALSE)&gt;=VLOOKUP($A127,informe!$A:$J,9,FALSE),"cg","c"),"n")</f>
        <v>n</v>
      </c>
      <c r="T127" s="195" t="str">
        <f>IF(AND(T$3&gt;=$D127,T$3&lt;=$E127),IF((T$3-$D127+1)*VLOOKUP($A127,presupuesto!$B:$Q,16,FALSE)&gt;=VLOOKUP($A127,informe!$A:$J,9,FALSE),"cg","c"),"n")</f>
        <v>n</v>
      </c>
      <c r="U127" s="195" t="str">
        <f>IF(AND(U$3&gt;=$D127,U$3&lt;=$E127),IF((U$3-$D127+1)*VLOOKUP($A127,presupuesto!$B:$Q,16,FALSE)&gt;=VLOOKUP($A127,informe!$A:$J,9,FALSE),"cg","c"),"n")</f>
        <v>n</v>
      </c>
      <c r="V127" s="195" t="str">
        <f>IF(AND(V$3&gt;=$D127,V$3&lt;=$E127),IF((V$3-$D127+1)*VLOOKUP($A127,presupuesto!$B:$Q,16,FALSE)&gt;=VLOOKUP($A127,informe!$A:$J,9,FALSE),"cg","c"),"n")</f>
        <v>n</v>
      </c>
      <c r="W127" s="195" t="str">
        <f>IF(AND(W$3&gt;=$D127,W$3&lt;=$E127),IF((W$3-$D127+1)*VLOOKUP($A127,presupuesto!$B:$Q,16,FALSE)&gt;=VLOOKUP($A127,informe!$A:$J,9,FALSE),"cg","c"),"n")</f>
        <v>n</v>
      </c>
      <c r="X127" s="195" t="str">
        <f>IF(AND(X$3&gt;=$D127,X$3&lt;=$E127),IF((X$3-$D127+1)*VLOOKUP($A127,presupuesto!$B:$Q,16,FALSE)&gt;=VLOOKUP($A127,informe!$A:$J,9,FALSE),"cg","c"),"n")</f>
        <v>n</v>
      </c>
      <c r="Y127" s="195" t="str">
        <f>IF(AND(Y$3&gt;=$D127,Y$3&lt;=$E127),IF((Y$3-$D127+1)*VLOOKUP($A127,presupuesto!$B:$Q,16,FALSE)&gt;=VLOOKUP($A127,informe!$A:$J,9,FALSE),"cg","c"),"n")</f>
        <v>n</v>
      </c>
      <c r="Z127" s="195" t="str">
        <f>IF(AND(Z$3&gt;=$D127,Z$3&lt;=$E127),IF((Z$3-$D127+1)*VLOOKUP($A127,presupuesto!$B:$Q,16,FALSE)&gt;=VLOOKUP($A127,informe!$A:$J,9,FALSE),"cg","c"),"n")</f>
        <v>n</v>
      </c>
      <c r="AA127" s="195" t="str">
        <f>IF(AND(AA$3&gt;=$D127,AA$3&lt;=$E127),IF((AA$3-$D127+1)*VLOOKUP($A127,presupuesto!$B:$Q,16,FALSE)&gt;=VLOOKUP($A127,informe!$A:$J,9,FALSE),"cg","c"),"n")</f>
        <v>n</v>
      </c>
      <c r="AB127" s="195" t="str">
        <f>IF(AND(AB$3&gt;=$D127,AB$3&lt;=$E127),IF((AB$3-$D127+1)*VLOOKUP($A127,presupuesto!$B:$Q,16,FALSE)&gt;=VLOOKUP($A127,informe!$A:$J,9,FALSE),"cg","c"),"n")</f>
        <v>n</v>
      </c>
      <c r="AC127" s="195" t="str">
        <f>IF(AND(AC$3&gt;=$D127,AC$3&lt;=$E127),IF((AC$3-$D127+1)*VLOOKUP($A127,presupuesto!$B:$Q,16,FALSE)&gt;=VLOOKUP($A127,informe!$A:$J,9,FALSE),"cg","c"),"n")</f>
        <v>n</v>
      </c>
      <c r="AD127" s="195" t="str">
        <f>IF(AND(AD$3&gt;=$D127,AD$3&lt;=$E127),IF((AD$3-$D127+1)*VLOOKUP($A127,presupuesto!$B:$Q,16,FALSE)&gt;=VLOOKUP($A127,informe!$A:$J,9,FALSE),"cg","c"),"n")</f>
        <v>n</v>
      </c>
      <c r="AE127" s="195" t="str">
        <f>IF(AND(AE$3&gt;=$D127,AE$3&lt;=$E127),IF((AE$3-$D127+1)*VLOOKUP($A127,presupuesto!$B:$Q,16,FALSE)&gt;=VLOOKUP($A127,informe!$A:$J,9,FALSE),"cg","c"),"n")</f>
        <v>n</v>
      </c>
      <c r="AF127" s="195" t="str">
        <f>IF(AND(AF$3&gt;=$D127,AF$3&lt;=$E127),IF((AF$3-$D127+1)*VLOOKUP($A127,presupuesto!$B:$Q,16,FALSE)&gt;=VLOOKUP($A127,informe!$A:$J,9,FALSE),"cg","c"),"n")</f>
        <v>n</v>
      </c>
      <c r="AG127" s="195" t="str">
        <f>IF(AND(AG$3&gt;=$D127,AG$3&lt;=$E127),IF((AG$3-$D127+1)*VLOOKUP($A127,presupuesto!$B:$Q,16,FALSE)&gt;=VLOOKUP($A127,informe!$A:$J,9,FALSE),"cg","c"),"n")</f>
        <v>n</v>
      </c>
      <c r="AH127" s="195" t="str">
        <f>IF(AND(AH$3&gt;=$D127,AH$3&lt;=$E127),IF((AH$3-$D127+1)*VLOOKUP($A127,presupuesto!$B:$Q,16,FALSE)&gt;=VLOOKUP($A127,informe!$A:$J,9,FALSE),"cg","c"),"n")</f>
        <v>n</v>
      </c>
      <c r="AI127" s="195" t="str">
        <f>IF(AND(AI$3&gt;=$D127,AI$3&lt;=$E127),IF((AI$3-$D127+1)*VLOOKUP($A127,presupuesto!$B:$Q,16,FALSE)&gt;=VLOOKUP($A127,informe!$A:$J,9,FALSE),"cg","c"),"n")</f>
        <v>n</v>
      </c>
      <c r="AJ127" s="195" t="str">
        <f>IF(AND(AJ$3&gt;=$D127,AJ$3&lt;=$E127),IF((AJ$3-$D127+1)*VLOOKUP($A127,presupuesto!$B:$Q,16,FALSE)&gt;=VLOOKUP($A127,informe!$A:$J,9,FALSE),"cg","c"),"n")</f>
        <v>n</v>
      </c>
      <c r="AK127" s="196" t="str">
        <f>IF(AND(AK$3&gt;=$D127,AK$3&lt;=$E127),IF((AK$3-$D127+1)*VLOOKUP($A127,presupuesto!$B:$Q,16,FALSE)&gt;=VLOOKUP($A127,informe!$A:$J,9,FALSE),"cg","c"),"n")</f>
        <v>n</v>
      </c>
    </row>
    <row r="128" spans="1:37" x14ac:dyDescent="0.25">
      <c r="A128" s="197">
        <f>presupuesto!B127</f>
        <v>82</v>
      </c>
      <c r="B128" s="182" t="str">
        <f>presupuesto!C127</f>
        <v xml:space="preserve">            Piezas especiales de Fierro Fundido</v>
      </c>
      <c r="C128" s="174" t="str">
        <f>presupuesto!G127</f>
        <v>150 días</v>
      </c>
      <c r="D128" s="177">
        <f>presupuesto!N127</f>
        <v>45740</v>
      </c>
      <c r="E128" s="177">
        <f>presupuesto!O127</f>
        <v>45889</v>
      </c>
      <c r="F128" s="194" t="str">
        <f>IF(AK128="n",CONCATENATE(" - "),IF(AK128="cg",CONCATENATE(" - "),CONCATENATE(ROUND(IFERROR(VLOOKUP(A128,informe!A:J,9,FALSE)/VLOOKUP(A128,informe!A:J,5,FALSE),0)*100,2),"% ")))</f>
        <v xml:space="preserve"> - </v>
      </c>
      <c r="G128" s="195" t="str">
        <f>IF(AND(G$3&gt;=$D128,G$3&lt;=$E128),IF((G$3-$D128+1)*VLOOKUP($A128,presupuesto!$B:$Q,16,FALSE)&gt;=VLOOKUP($A128,informe!$A:$J,9,FALSE),"cg","c"),"n")</f>
        <v>n</v>
      </c>
      <c r="H128" s="195" t="str">
        <f>IF(AND(H$3&gt;=$D128,H$3&lt;=$E128),IF((H$3-$D128+1)*VLOOKUP($A128,presupuesto!$B:$Q,16,FALSE)&gt;=VLOOKUP($A128,informe!$A:$J,9,FALSE),"cg","c"),"n")</f>
        <v>n</v>
      </c>
      <c r="I128" s="195" t="str">
        <f>IF(AND(I$3&gt;=$D128,I$3&lt;=$E128),IF((I$3-$D128+1)*VLOOKUP($A128,presupuesto!$B:$Q,16,FALSE)&gt;=VLOOKUP($A128,informe!$A:$J,9,FALSE),"cg","c"),"n")</f>
        <v>n</v>
      </c>
      <c r="J128" s="195" t="str">
        <f>IF(AND(J$3&gt;=$D128,J$3&lt;=$E128),IF((J$3-$D128+1)*VLOOKUP($A128,presupuesto!$B:$Q,16,FALSE)&gt;=VLOOKUP($A128,informe!$A:$J,9,FALSE),"cg","c"),"n")</f>
        <v>n</v>
      </c>
      <c r="K128" s="195" t="str">
        <f>IF(AND(K$3&gt;=$D128,K$3&lt;=$E128),IF((K$3-$D128+1)*VLOOKUP($A128,presupuesto!$B:$Q,16,FALSE)&gt;=VLOOKUP($A128,informe!$A:$J,9,FALSE),"cg","c"),"n")</f>
        <v>n</v>
      </c>
      <c r="L128" s="195" t="str">
        <f>IF(AND(L$3&gt;=$D128,L$3&lt;=$E128),IF((L$3-$D128+1)*VLOOKUP($A128,presupuesto!$B:$Q,16,FALSE)&gt;=VLOOKUP($A128,informe!$A:$J,9,FALSE),"cg","c"),"n")</f>
        <v>n</v>
      </c>
      <c r="M128" s="195" t="str">
        <f>IF(AND(M$3&gt;=$D128,M$3&lt;=$E128),IF((M$3-$D128+1)*VLOOKUP($A128,presupuesto!$B:$Q,16,FALSE)&gt;=VLOOKUP($A128,informe!$A:$J,9,FALSE),"cg","c"),"n")</f>
        <v>n</v>
      </c>
      <c r="N128" s="195" t="str">
        <f>IF(AND(N$3&gt;=$D128,N$3&lt;=$E128),IF((N$3-$D128+1)*VLOOKUP($A128,presupuesto!$B:$Q,16,FALSE)&gt;=VLOOKUP($A128,informe!$A:$J,9,FALSE),"cg","c"),"n")</f>
        <v>n</v>
      </c>
      <c r="O128" s="195" t="str">
        <f>IF(AND(O$3&gt;=$D128,O$3&lt;=$E128),IF((O$3-$D128+1)*VLOOKUP($A128,presupuesto!$B:$Q,16,FALSE)&gt;=VLOOKUP($A128,informe!$A:$J,9,FALSE),"cg","c"),"n")</f>
        <v>n</v>
      </c>
      <c r="P128" s="195" t="str">
        <f>IF(AND(P$3&gt;=$D128,P$3&lt;=$E128),IF((P$3-$D128+1)*VLOOKUP($A128,presupuesto!$B:$Q,16,FALSE)&gt;=VLOOKUP($A128,informe!$A:$J,9,FALSE),"cg","c"),"n")</f>
        <v>n</v>
      </c>
      <c r="Q128" s="195" t="str">
        <f>IF(AND(Q$3&gt;=$D128,Q$3&lt;=$E128),IF((Q$3-$D128+1)*VLOOKUP($A128,presupuesto!$B:$Q,16,FALSE)&gt;=VLOOKUP($A128,informe!$A:$J,9,FALSE),"cg","c"),"n")</f>
        <v>n</v>
      </c>
      <c r="R128" s="195" t="str">
        <f>IF(AND(R$3&gt;=$D128,R$3&lt;=$E128),IF((R$3-$D128+1)*VLOOKUP($A128,presupuesto!$B:$Q,16,FALSE)&gt;=VLOOKUP($A128,informe!$A:$J,9,FALSE),"cg","c"),"n")</f>
        <v>n</v>
      </c>
      <c r="S128" s="195" t="str">
        <f>IF(AND(S$3&gt;=$D128,S$3&lt;=$E128),IF((S$3-$D128+1)*VLOOKUP($A128,presupuesto!$B:$Q,16,FALSE)&gt;=VLOOKUP($A128,informe!$A:$J,9,FALSE),"cg","c"),"n")</f>
        <v>n</v>
      </c>
      <c r="T128" s="195" t="str">
        <f>IF(AND(T$3&gt;=$D128,T$3&lt;=$E128),IF((T$3-$D128+1)*VLOOKUP($A128,presupuesto!$B:$Q,16,FALSE)&gt;=VLOOKUP($A128,informe!$A:$J,9,FALSE),"cg","c"),"n")</f>
        <v>n</v>
      </c>
      <c r="U128" s="195" t="str">
        <f>IF(AND(U$3&gt;=$D128,U$3&lt;=$E128),IF((U$3-$D128+1)*VLOOKUP($A128,presupuesto!$B:$Q,16,FALSE)&gt;=VLOOKUP($A128,informe!$A:$J,9,FALSE),"cg","c"),"n")</f>
        <v>n</v>
      </c>
      <c r="V128" s="195" t="str">
        <f>IF(AND(V$3&gt;=$D128,V$3&lt;=$E128),IF((V$3-$D128+1)*VLOOKUP($A128,presupuesto!$B:$Q,16,FALSE)&gt;=VLOOKUP($A128,informe!$A:$J,9,FALSE),"cg","c"),"n")</f>
        <v>n</v>
      </c>
      <c r="W128" s="195" t="str">
        <f>IF(AND(W$3&gt;=$D128,W$3&lt;=$E128),IF((W$3-$D128+1)*VLOOKUP($A128,presupuesto!$B:$Q,16,FALSE)&gt;=VLOOKUP($A128,informe!$A:$J,9,FALSE),"cg","c"),"n")</f>
        <v>n</v>
      </c>
      <c r="X128" s="195" t="str">
        <f>IF(AND(X$3&gt;=$D128,X$3&lt;=$E128),IF((X$3-$D128+1)*VLOOKUP($A128,presupuesto!$B:$Q,16,FALSE)&gt;=VLOOKUP($A128,informe!$A:$J,9,FALSE),"cg","c"),"n")</f>
        <v>n</v>
      </c>
      <c r="Y128" s="195" t="str">
        <f>IF(AND(Y$3&gt;=$D128,Y$3&lt;=$E128),IF((Y$3-$D128+1)*VLOOKUP($A128,presupuesto!$B:$Q,16,FALSE)&gt;=VLOOKUP($A128,informe!$A:$J,9,FALSE),"cg","c"),"n")</f>
        <v>n</v>
      </c>
      <c r="Z128" s="195" t="str">
        <f>IF(AND(Z$3&gt;=$D128,Z$3&lt;=$E128),IF((Z$3-$D128+1)*VLOOKUP($A128,presupuesto!$B:$Q,16,FALSE)&gt;=VLOOKUP($A128,informe!$A:$J,9,FALSE),"cg","c"),"n")</f>
        <v>n</v>
      </c>
      <c r="AA128" s="195" t="str">
        <f>IF(AND(AA$3&gt;=$D128,AA$3&lt;=$E128),IF((AA$3-$D128+1)*VLOOKUP($A128,presupuesto!$B:$Q,16,FALSE)&gt;=VLOOKUP($A128,informe!$A:$J,9,FALSE),"cg","c"),"n")</f>
        <v>n</v>
      </c>
      <c r="AB128" s="195" t="str">
        <f>IF(AND(AB$3&gt;=$D128,AB$3&lt;=$E128),IF((AB$3-$D128+1)*VLOOKUP($A128,presupuesto!$B:$Q,16,FALSE)&gt;=VLOOKUP($A128,informe!$A:$J,9,FALSE),"cg","c"),"n")</f>
        <v>n</v>
      </c>
      <c r="AC128" s="195" t="str">
        <f>IF(AND(AC$3&gt;=$D128,AC$3&lt;=$E128),IF((AC$3-$D128+1)*VLOOKUP($A128,presupuesto!$B:$Q,16,FALSE)&gt;=VLOOKUP($A128,informe!$A:$J,9,FALSE),"cg","c"),"n")</f>
        <v>n</v>
      </c>
      <c r="AD128" s="195" t="str">
        <f>IF(AND(AD$3&gt;=$D128,AD$3&lt;=$E128),IF((AD$3-$D128+1)*VLOOKUP($A128,presupuesto!$B:$Q,16,FALSE)&gt;=VLOOKUP($A128,informe!$A:$J,9,FALSE),"cg","c"),"n")</f>
        <v>n</v>
      </c>
      <c r="AE128" s="195" t="str">
        <f>IF(AND(AE$3&gt;=$D128,AE$3&lt;=$E128),IF((AE$3-$D128+1)*VLOOKUP($A128,presupuesto!$B:$Q,16,FALSE)&gt;=VLOOKUP($A128,informe!$A:$J,9,FALSE),"cg","c"),"n")</f>
        <v>n</v>
      </c>
      <c r="AF128" s="195" t="str">
        <f>IF(AND(AF$3&gt;=$D128,AF$3&lt;=$E128),IF((AF$3-$D128+1)*VLOOKUP($A128,presupuesto!$B:$Q,16,FALSE)&gt;=VLOOKUP($A128,informe!$A:$J,9,FALSE),"cg","c"),"n")</f>
        <v>n</v>
      </c>
      <c r="AG128" s="195" t="str">
        <f>IF(AND(AG$3&gt;=$D128,AG$3&lt;=$E128),IF((AG$3-$D128+1)*VLOOKUP($A128,presupuesto!$B:$Q,16,FALSE)&gt;=VLOOKUP($A128,informe!$A:$J,9,FALSE),"cg","c"),"n")</f>
        <v>n</v>
      </c>
      <c r="AH128" s="195" t="str">
        <f>IF(AND(AH$3&gt;=$D128,AH$3&lt;=$E128),IF((AH$3-$D128+1)*VLOOKUP($A128,presupuesto!$B:$Q,16,FALSE)&gt;=VLOOKUP($A128,informe!$A:$J,9,FALSE),"cg","c"),"n")</f>
        <v>n</v>
      </c>
      <c r="AI128" s="195" t="str">
        <f>IF(AND(AI$3&gt;=$D128,AI$3&lt;=$E128),IF((AI$3-$D128+1)*VLOOKUP($A128,presupuesto!$B:$Q,16,FALSE)&gt;=VLOOKUP($A128,informe!$A:$J,9,FALSE),"cg","c"),"n")</f>
        <v>n</v>
      </c>
      <c r="AJ128" s="195" t="str">
        <f>IF(AND(AJ$3&gt;=$D128,AJ$3&lt;=$E128),IF((AJ$3-$D128+1)*VLOOKUP($A128,presupuesto!$B:$Q,16,FALSE)&gt;=VLOOKUP($A128,informe!$A:$J,9,FALSE),"cg","c"),"n")</f>
        <v>n</v>
      </c>
      <c r="AK128" s="196" t="str">
        <f>IF(AND(AK$3&gt;=$D128,AK$3&lt;=$E128),IF((AK$3-$D128+1)*VLOOKUP($A128,presupuesto!$B:$Q,16,FALSE)&gt;=VLOOKUP($A128,informe!$A:$J,9,FALSE),"cg","c"),"n")</f>
        <v>n</v>
      </c>
    </row>
    <row r="129" spans="1:37" x14ac:dyDescent="0.25">
      <c r="A129" s="197">
        <f>presupuesto!B128</f>
        <v>83</v>
      </c>
      <c r="B129" s="182" t="str">
        <f>presupuesto!C128</f>
        <v xml:space="preserve">            Piezas especiales de Acero Galvanizado</v>
      </c>
      <c r="C129" s="174" t="str">
        <f>presupuesto!G128</f>
        <v>150 días</v>
      </c>
      <c r="D129" s="177">
        <f>presupuesto!N128</f>
        <v>45740</v>
      </c>
      <c r="E129" s="177">
        <f>presupuesto!O128</f>
        <v>45889</v>
      </c>
      <c r="F129" s="194" t="str">
        <f>IF(AK129="n",CONCATENATE(" - "),IF(AK129="cg",CONCATENATE(" - "),CONCATENATE(ROUND(IFERROR(VLOOKUP(A129,informe!A:J,9,FALSE)/VLOOKUP(A129,informe!A:J,5,FALSE),0)*100,2),"% ")))</f>
        <v xml:space="preserve"> - </v>
      </c>
      <c r="G129" s="195" t="str">
        <f>IF(AND(G$3&gt;=$D129,G$3&lt;=$E129),IF((G$3-$D129+1)*VLOOKUP($A129,presupuesto!$B:$Q,16,FALSE)&gt;=VLOOKUP($A129,informe!$A:$J,9,FALSE),"cg","c"),"n")</f>
        <v>n</v>
      </c>
      <c r="H129" s="195" t="str">
        <f>IF(AND(H$3&gt;=$D129,H$3&lt;=$E129),IF((H$3-$D129+1)*VLOOKUP($A129,presupuesto!$B:$Q,16,FALSE)&gt;=VLOOKUP($A129,informe!$A:$J,9,FALSE),"cg","c"),"n")</f>
        <v>n</v>
      </c>
      <c r="I129" s="195" t="str">
        <f>IF(AND(I$3&gt;=$D129,I$3&lt;=$E129),IF((I$3-$D129+1)*VLOOKUP($A129,presupuesto!$B:$Q,16,FALSE)&gt;=VLOOKUP($A129,informe!$A:$J,9,FALSE),"cg","c"),"n")</f>
        <v>n</v>
      </c>
      <c r="J129" s="195" t="str">
        <f>IF(AND(J$3&gt;=$D129,J$3&lt;=$E129),IF((J$3-$D129+1)*VLOOKUP($A129,presupuesto!$B:$Q,16,FALSE)&gt;=VLOOKUP($A129,informe!$A:$J,9,FALSE),"cg","c"),"n")</f>
        <v>n</v>
      </c>
      <c r="K129" s="195" t="str">
        <f>IF(AND(K$3&gt;=$D129,K$3&lt;=$E129),IF((K$3-$D129+1)*VLOOKUP($A129,presupuesto!$B:$Q,16,FALSE)&gt;=VLOOKUP($A129,informe!$A:$J,9,FALSE),"cg","c"),"n")</f>
        <v>n</v>
      </c>
      <c r="L129" s="195" t="str">
        <f>IF(AND(L$3&gt;=$D129,L$3&lt;=$E129),IF((L$3-$D129+1)*VLOOKUP($A129,presupuesto!$B:$Q,16,FALSE)&gt;=VLOOKUP($A129,informe!$A:$J,9,FALSE),"cg","c"),"n")</f>
        <v>n</v>
      </c>
      <c r="M129" s="195" t="str">
        <f>IF(AND(M$3&gt;=$D129,M$3&lt;=$E129),IF((M$3-$D129+1)*VLOOKUP($A129,presupuesto!$B:$Q,16,FALSE)&gt;=VLOOKUP($A129,informe!$A:$J,9,FALSE),"cg","c"),"n")</f>
        <v>n</v>
      </c>
      <c r="N129" s="195" t="str">
        <f>IF(AND(N$3&gt;=$D129,N$3&lt;=$E129),IF((N$3-$D129+1)*VLOOKUP($A129,presupuesto!$B:$Q,16,FALSE)&gt;=VLOOKUP($A129,informe!$A:$J,9,FALSE),"cg","c"),"n")</f>
        <v>n</v>
      </c>
      <c r="O129" s="195" t="str">
        <f>IF(AND(O$3&gt;=$D129,O$3&lt;=$E129),IF((O$3-$D129+1)*VLOOKUP($A129,presupuesto!$B:$Q,16,FALSE)&gt;=VLOOKUP($A129,informe!$A:$J,9,FALSE),"cg","c"),"n")</f>
        <v>n</v>
      </c>
      <c r="P129" s="195" t="str">
        <f>IF(AND(P$3&gt;=$D129,P$3&lt;=$E129),IF((P$3-$D129+1)*VLOOKUP($A129,presupuesto!$B:$Q,16,FALSE)&gt;=VLOOKUP($A129,informe!$A:$J,9,FALSE),"cg","c"),"n")</f>
        <v>n</v>
      </c>
      <c r="Q129" s="195" t="str">
        <f>IF(AND(Q$3&gt;=$D129,Q$3&lt;=$E129),IF((Q$3-$D129+1)*VLOOKUP($A129,presupuesto!$B:$Q,16,FALSE)&gt;=VLOOKUP($A129,informe!$A:$J,9,FALSE),"cg","c"),"n")</f>
        <v>n</v>
      </c>
      <c r="R129" s="195" t="str">
        <f>IF(AND(R$3&gt;=$D129,R$3&lt;=$E129),IF((R$3-$D129+1)*VLOOKUP($A129,presupuesto!$B:$Q,16,FALSE)&gt;=VLOOKUP($A129,informe!$A:$J,9,FALSE),"cg","c"),"n")</f>
        <v>n</v>
      </c>
      <c r="S129" s="195" t="str">
        <f>IF(AND(S$3&gt;=$D129,S$3&lt;=$E129),IF((S$3-$D129+1)*VLOOKUP($A129,presupuesto!$B:$Q,16,FALSE)&gt;=VLOOKUP($A129,informe!$A:$J,9,FALSE),"cg","c"),"n")</f>
        <v>n</v>
      </c>
      <c r="T129" s="195" t="str">
        <f>IF(AND(T$3&gt;=$D129,T$3&lt;=$E129),IF((T$3-$D129+1)*VLOOKUP($A129,presupuesto!$B:$Q,16,FALSE)&gt;=VLOOKUP($A129,informe!$A:$J,9,FALSE),"cg","c"),"n")</f>
        <v>n</v>
      </c>
      <c r="U129" s="195" t="str">
        <f>IF(AND(U$3&gt;=$D129,U$3&lt;=$E129),IF((U$3-$D129+1)*VLOOKUP($A129,presupuesto!$B:$Q,16,FALSE)&gt;=VLOOKUP($A129,informe!$A:$J,9,FALSE),"cg","c"),"n")</f>
        <v>n</v>
      </c>
      <c r="V129" s="195" t="str">
        <f>IF(AND(V$3&gt;=$D129,V$3&lt;=$E129),IF((V$3-$D129+1)*VLOOKUP($A129,presupuesto!$B:$Q,16,FALSE)&gt;=VLOOKUP($A129,informe!$A:$J,9,FALSE),"cg","c"),"n")</f>
        <v>n</v>
      </c>
      <c r="W129" s="195" t="str">
        <f>IF(AND(W$3&gt;=$D129,W$3&lt;=$E129),IF((W$3-$D129+1)*VLOOKUP($A129,presupuesto!$B:$Q,16,FALSE)&gt;=VLOOKUP($A129,informe!$A:$J,9,FALSE),"cg","c"),"n")</f>
        <v>n</v>
      </c>
      <c r="X129" s="195" t="str">
        <f>IF(AND(X$3&gt;=$D129,X$3&lt;=$E129),IF((X$3-$D129+1)*VLOOKUP($A129,presupuesto!$B:$Q,16,FALSE)&gt;=VLOOKUP($A129,informe!$A:$J,9,FALSE),"cg","c"),"n")</f>
        <v>n</v>
      </c>
      <c r="Y129" s="195" t="str">
        <f>IF(AND(Y$3&gt;=$D129,Y$3&lt;=$E129),IF((Y$3-$D129+1)*VLOOKUP($A129,presupuesto!$B:$Q,16,FALSE)&gt;=VLOOKUP($A129,informe!$A:$J,9,FALSE),"cg","c"),"n")</f>
        <v>n</v>
      </c>
      <c r="Z129" s="195" t="str">
        <f>IF(AND(Z$3&gt;=$D129,Z$3&lt;=$E129),IF((Z$3-$D129+1)*VLOOKUP($A129,presupuesto!$B:$Q,16,FALSE)&gt;=VLOOKUP($A129,informe!$A:$J,9,FALSE),"cg","c"),"n")</f>
        <v>n</v>
      </c>
      <c r="AA129" s="195" t="str">
        <f>IF(AND(AA$3&gt;=$D129,AA$3&lt;=$E129),IF((AA$3-$D129+1)*VLOOKUP($A129,presupuesto!$B:$Q,16,FALSE)&gt;=VLOOKUP($A129,informe!$A:$J,9,FALSE),"cg","c"),"n")</f>
        <v>n</v>
      </c>
      <c r="AB129" s="195" t="str">
        <f>IF(AND(AB$3&gt;=$D129,AB$3&lt;=$E129),IF((AB$3-$D129+1)*VLOOKUP($A129,presupuesto!$B:$Q,16,FALSE)&gt;=VLOOKUP($A129,informe!$A:$J,9,FALSE),"cg","c"),"n")</f>
        <v>n</v>
      </c>
      <c r="AC129" s="195" t="str">
        <f>IF(AND(AC$3&gt;=$D129,AC$3&lt;=$E129),IF((AC$3-$D129+1)*VLOOKUP($A129,presupuesto!$B:$Q,16,FALSE)&gt;=VLOOKUP($A129,informe!$A:$J,9,FALSE),"cg","c"),"n")</f>
        <v>n</v>
      </c>
      <c r="AD129" s="195" t="str">
        <f>IF(AND(AD$3&gt;=$D129,AD$3&lt;=$E129),IF((AD$3-$D129+1)*VLOOKUP($A129,presupuesto!$B:$Q,16,FALSE)&gt;=VLOOKUP($A129,informe!$A:$J,9,FALSE),"cg","c"),"n")</f>
        <v>n</v>
      </c>
      <c r="AE129" s="195" t="str">
        <f>IF(AND(AE$3&gt;=$D129,AE$3&lt;=$E129),IF((AE$3-$D129+1)*VLOOKUP($A129,presupuesto!$B:$Q,16,FALSE)&gt;=VLOOKUP($A129,informe!$A:$J,9,FALSE),"cg","c"),"n")</f>
        <v>n</v>
      </c>
      <c r="AF129" s="195" t="str">
        <f>IF(AND(AF$3&gt;=$D129,AF$3&lt;=$E129),IF((AF$3-$D129+1)*VLOOKUP($A129,presupuesto!$B:$Q,16,FALSE)&gt;=VLOOKUP($A129,informe!$A:$J,9,FALSE),"cg","c"),"n")</f>
        <v>n</v>
      </c>
      <c r="AG129" s="195" t="str">
        <f>IF(AND(AG$3&gt;=$D129,AG$3&lt;=$E129),IF((AG$3-$D129+1)*VLOOKUP($A129,presupuesto!$B:$Q,16,FALSE)&gt;=VLOOKUP($A129,informe!$A:$J,9,FALSE),"cg","c"),"n")</f>
        <v>n</v>
      </c>
      <c r="AH129" s="195" t="str">
        <f>IF(AND(AH$3&gt;=$D129,AH$3&lt;=$E129),IF((AH$3-$D129+1)*VLOOKUP($A129,presupuesto!$B:$Q,16,FALSE)&gt;=VLOOKUP($A129,informe!$A:$J,9,FALSE),"cg","c"),"n")</f>
        <v>n</v>
      </c>
      <c r="AI129" s="195" t="str">
        <f>IF(AND(AI$3&gt;=$D129,AI$3&lt;=$E129),IF((AI$3-$D129+1)*VLOOKUP($A129,presupuesto!$B:$Q,16,FALSE)&gt;=VLOOKUP($A129,informe!$A:$J,9,FALSE),"cg","c"),"n")</f>
        <v>n</v>
      </c>
      <c r="AJ129" s="195" t="str">
        <f>IF(AND(AJ$3&gt;=$D129,AJ$3&lt;=$E129),IF((AJ$3-$D129+1)*VLOOKUP($A129,presupuesto!$B:$Q,16,FALSE)&gt;=VLOOKUP($A129,informe!$A:$J,9,FALSE),"cg","c"),"n")</f>
        <v>n</v>
      </c>
      <c r="AK129" s="196" t="str">
        <f>IF(AND(AK$3&gt;=$D129,AK$3&lt;=$E129),IF((AK$3-$D129+1)*VLOOKUP($A129,presupuesto!$B:$Q,16,FALSE)&gt;=VLOOKUP($A129,informe!$A:$J,9,FALSE),"cg","c"),"n")</f>
        <v>n</v>
      </c>
    </row>
    <row r="130" spans="1:37" ht="13" x14ac:dyDescent="0.25">
      <c r="A130" s="193">
        <f>presupuesto!B129</f>
        <v>84</v>
      </c>
      <c r="B130" s="182" t="str">
        <f>presupuesto!C129</f>
        <v xml:space="preserve">            Piezas Especiales con mecanismo</v>
      </c>
      <c r="C130" s="173" t="str">
        <f>presupuesto!G129</f>
        <v>150 días</v>
      </c>
      <c r="D130" s="176">
        <f>presupuesto!N129</f>
        <v>45740</v>
      </c>
      <c r="E130" s="176">
        <f>presupuesto!O129</f>
        <v>45889</v>
      </c>
      <c r="F130" s="194" t="str">
        <f>IF(AK130="n",CONCATENATE(" - "),IF(AK130="cg",CONCATENATE(" - "),CONCATENATE(ROUND(IFERROR(VLOOKUP(A130,informe!A:J,9,FALSE)/VLOOKUP(A130,informe!A:J,5,FALSE),0)*100,2),"% ")))</f>
        <v xml:space="preserve"> - </v>
      </c>
      <c r="G130" s="195" t="str">
        <f>IF(AND(G$3&gt;=$D130,G$3&lt;=$E130),IF((G$3-$D130+1)*VLOOKUP($A130,presupuesto!$B:$Q,16,FALSE)&gt;=VLOOKUP($A130,informe!$A:$J,9,FALSE),"cg","c"),"n")</f>
        <v>n</v>
      </c>
      <c r="H130" s="195" t="str">
        <f>IF(AND(H$3&gt;=$D130,H$3&lt;=$E130),IF((H$3-$D130+1)*VLOOKUP($A130,presupuesto!$B:$Q,16,FALSE)&gt;=VLOOKUP($A130,informe!$A:$J,9,FALSE),"cg","c"),"n")</f>
        <v>n</v>
      </c>
      <c r="I130" s="195" t="str">
        <f>IF(AND(I$3&gt;=$D130,I$3&lt;=$E130),IF((I$3-$D130+1)*VLOOKUP($A130,presupuesto!$B:$Q,16,FALSE)&gt;=VLOOKUP($A130,informe!$A:$J,9,FALSE),"cg","c"),"n")</f>
        <v>n</v>
      </c>
      <c r="J130" s="195" t="str">
        <f>IF(AND(J$3&gt;=$D130,J$3&lt;=$E130),IF((J$3-$D130+1)*VLOOKUP($A130,presupuesto!$B:$Q,16,FALSE)&gt;=VLOOKUP($A130,informe!$A:$J,9,FALSE),"cg","c"),"n")</f>
        <v>n</v>
      </c>
      <c r="K130" s="195" t="str">
        <f>IF(AND(K$3&gt;=$D130,K$3&lt;=$E130),IF((K$3-$D130+1)*VLOOKUP($A130,presupuesto!$B:$Q,16,FALSE)&gt;=VLOOKUP($A130,informe!$A:$J,9,FALSE),"cg","c"),"n")</f>
        <v>n</v>
      </c>
      <c r="L130" s="195" t="str">
        <f>IF(AND(L$3&gt;=$D130,L$3&lt;=$E130),IF((L$3-$D130+1)*VLOOKUP($A130,presupuesto!$B:$Q,16,FALSE)&gt;=VLOOKUP($A130,informe!$A:$J,9,FALSE),"cg","c"),"n")</f>
        <v>n</v>
      </c>
      <c r="M130" s="195" t="str">
        <f>IF(AND(M$3&gt;=$D130,M$3&lt;=$E130),IF((M$3-$D130+1)*VLOOKUP($A130,presupuesto!$B:$Q,16,FALSE)&gt;=VLOOKUP($A130,informe!$A:$J,9,FALSE),"cg","c"),"n")</f>
        <v>n</v>
      </c>
      <c r="N130" s="195" t="str">
        <f>IF(AND(N$3&gt;=$D130,N$3&lt;=$E130),IF((N$3-$D130+1)*VLOOKUP($A130,presupuesto!$B:$Q,16,FALSE)&gt;=VLOOKUP($A130,informe!$A:$J,9,FALSE),"cg","c"),"n")</f>
        <v>n</v>
      </c>
      <c r="O130" s="195" t="str">
        <f>IF(AND(O$3&gt;=$D130,O$3&lt;=$E130),IF((O$3-$D130+1)*VLOOKUP($A130,presupuesto!$B:$Q,16,FALSE)&gt;=VLOOKUP($A130,informe!$A:$J,9,FALSE),"cg","c"),"n")</f>
        <v>n</v>
      </c>
      <c r="P130" s="195" t="str">
        <f>IF(AND(P$3&gt;=$D130,P$3&lt;=$E130),IF((P$3-$D130+1)*VLOOKUP($A130,presupuesto!$B:$Q,16,FALSE)&gt;=VLOOKUP($A130,informe!$A:$J,9,FALSE),"cg","c"),"n")</f>
        <v>n</v>
      </c>
      <c r="Q130" s="195" t="str">
        <f>IF(AND(Q$3&gt;=$D130,Q$3&lt;=$E130),IF((Q$3-$D130+1)*VLOOKUP($A130,presupuesto!$B:$Q,16,FALSE)&gt;=VLOOKUP($A130,informe!$A:$J,9,FALSE),"cg","c"),"n")</f>
        <v>n</v>
      </c>
      <c r="R130" s="195" t="str">
        <f>IF(AND(R$3&gt;=$D130,R$3&lt;=$E130),IF((R$3-$D130+1)*VLOOKUP($A130,presupuesto!$B:$Q,16,FALSE)&gt;=VLOOKUP($A130,informe!$A:$J,9,FALSE),"cg","c"),"n")</f>
        <v>n</v>
      </c>
      <c r="S130" s="195" t="str">
        <f>IF(AND(S$3&gt;=$D130,S$3&lt;=$E130),IF((S$3-$D130+1)*VLOOKUP($A130,presupuesto!$B:$Q,16,FALSE)&gt;=VLOOKUP($A130,informe!$A:$J,9,FALSE),"cg","c"),"n")</f>
        <v>n</v>
      </c>
      <c r="T130" s="195" t="str">
        <f>IF(AND(T$3&gt;=$D130,T$3&lt;=$E130),IF((T$3-$D130+1)*VLOOKUP($A130,presupuesto!$B:$Q,16,FALSE)&gt;=VLOOKUP($A130,informe!$A:$J,9,FALSE),"cg","c"),"n")</f>
        <v>n</v>
      </c>
      <c r="U130" s="195" t="str">
        <f>IF(AND(U$3&gt;=$D130,U$3&lt;=$E130),IF((U$3-$D130+1)*VLOOKUP($A130,presupuesto!$B:$Q,16,FALSE)&gt;=VLOOKUP($A130,informe!$A:$J,9,FALSE),"cg","c"),"n")</f>
        <v>n</v>
      </c>
      <c r="V130" s="195" t="str">
        <f>IF(AND(V$3&gt;=$D130,V$3&lt;=$E130),IF((V$3-$D130+1)*VLOOKUP($A130,presupuesto!$B:$Q,16,FALSE)&gt;=VLOOKUP($A130,informe!$A:$J,9,FALSE),"cg","c"),"n")</f>
        <v>n</v>
      </c>
      <c r="W130" s="195" t="str">
        <f>IF(AND(W$3&gt;=$D130,W$3&lt;=$E130),IF((W$3-$D130+1)*VLOOKUP($A130,presupuesto!$B:$Q,16,FALSE)&gt;=VLOOKUP($A130,informe!$A:$J,9,FALSE),"cg","c"),"n")</f>
        <v>n</v>
      </c>
      <c r="X130" s="195" t="str">
        <f>IF(AND(X$3&gt;=$D130,X$3&lt;=$E130),IF((X$3-$D130+1)*VLOOKUP($A130,presupuesto!$B:$Q,16,FALSE)&gt;=VLOOKUP($A130,informe!$A:$J,9,FALSE),"cg","c"),"n")</f>
        <v>n</v>
      </c>
      <c r="Y130" s="195" t="str">
        <f>IF(AND(Y$3&gt;=$D130,Y$3&lt;=$E130),IF((Y$3-$D130+1)*VLOOKUP($A130,presupuesto!$B:$Q,16,FALSE)&gt;=VLOOKUP($A130,informe!$A:$J,9,FALSE),"cg","c"),"n")</f>
        <v>n</v>
      </c>
      <c r="Z130" s="195" t="str">
        <f>IF(AND(Z$3&gt;=$D130,Z$3&lt;=$E130),IF((Z$3-$D130+1)*VLOOKUP($A130,presupuesto!$B:$Q,16,FALSE)&gt;=VLOOKUP($A130,informe!$A:$J,9,FALSE),"cg","c"),"n")</f>
        <v>n</v>
      </c>
      <c r="AA130" s="195" t="str">
        <f>IF(AND(AA$3&gt;=$D130,AA$3&lt;=$E130),IF((AA$3-$D130+1)*VLOOKUP($A130,presupuesto!$B:$Q,16,FALSE)&gt;=VLOOKUP($A130,informe!$A:$J,9,FALSE),"cg","c"),"n")</f>
        <v>n</v>
      </c>
      <c r="AB130" s="195" t="str">
        <f>IF(AND(AB$3&gt;=$D130,AB$3&lt;=$E130),IF((AB$3-$D130+1)*VLOOKUP($A130,presupuesto!$B:$Q,16,FALSE)&gt;=VLOOKUP($A130,informe!$A:$J,9,FALSE),"cg","c"),"n")</f>
        <v>n</v>
      </c>
      <c r="AC130" s="195" t="str">
        <f>IF(AND(AC$3&gt;=$D130,AC$3&lt;=$E130),IF((AC$3-$D130+1)*VLOOKUP($A130,presupuesto!$B:$Q,16,FALSE)&gt;=VLOOKUP($A130,informe!$A:$J,9,FALSE),"cg","c"),"n")</f>
        <v>n</v>
      </c>
      <c r="AD130" s="195" t="str">
        <f>IF(AND(AD$3&gt;=$D130,AD$3&lt;=$E130),IF((AD$3-$D130+1)*VLOOKUP($A130,presupuesto!$B:$Q,16,FALSE)&gt;=VLOOKUP($A130,informe!$A:$J,9,FALSE),"cg","c"),"n")</f>
        <v>n</v>
      </c>
      <c r="AE130" s="195" t="str">
        <f>IF(AND(AE$3&gt;=$D130,AE$3&lt;=$E130),IF((AE$3-$D130+1)*VLOOKUP($A130,presupuesto!$B:$Q,16,FALSE)&gt;=VLOOKUP($A130,informe!$A:$J,9,FALSE),"cg","c"),"n")</f>
        <v>n</v>
      </c>
      <c r="AF130" s="195" t="str">
        <f>IF(AND(AF$3&gt;=$D130,AF$3&lt;=$E130),IF((AF$3-$D130+1)*VLOOKUP($A130,presupuesto!$B:$Q,16,FALSE)&gt;=VLOOKUP($A130,informe!$A:$J,9,FALSE),"cg","c"),"n")</f>
        <v>n</v>
      </c>
      <c r="AG130" s="195" t="str">
        <f>IF(AND(AG$3&gt;=$D130,AG$3&lt;=$E130),IF((AG$3-$D130+1)*VLOOKUP($A130,presupuesto!$B:$Q,16,FALSE)&gt;=VLOOKUP($A130,informe!$A:$J,9,FALSE),"cg","c"),"n")</f>
        <v>n</v>
      </c>
      <c r="AH130" s="195" t="str">
        <f>IF(AND(AH$3&gt;=$D130,AH$3&lt;=$E130),IF((AH$3-$D130+1)*VLOOKUP($A130,presupuesto!$B:$Q,16,FALSE)&gt;=VLOOKUP($A130,informe!$A:$J,9,FALSE),"cg","c"),"n")</f>
        <v>n</v>
      </c>
      <c r="AI130" s="195" t="str">
        <f>IF(AND(AI$3&gt;=$D130,AI$3&lt;=$E130),IF((AI$3-$D130+1)*VLOOKUP($A130,presupuesto!$B:$Q,16,FALSE)&gt;=VLOOKUP($A130,informe!$A:$J,9,FALSE),"cg","c"),"n")</f>
        <v>n</v>
      </c>
      <c r="AJ130" s="195" t="str">
        <f>IF(AND(AJ$3&gt;=$D130,AJ$3&lt;=$E130),IF((AJ$3-$D130+1)*VLOOKUP($A130,presupuesto!$B:$Q,16,FALSE)&gt;=VLOOKUP($A130,informe!$A:$J,9,FALSE),"cg","c"),"n")</f>
        <v>n</v>
      </c>
      <c r="AK130" s="196" t="str">
        <f>IF(AND(AK$3&gt;=$D130,AK$3&lt;=$E130),IF((AK$3-$D130+1)*VLOOKUP($A130,presupuesto!$B:$Q,16,FALSE)&gt;=VLOOKUP($A130,informe!$A:$J,9,FALSE),"cg","c"),"n")</f>
        <v>n</v>
      </c>
    </row>
    <row r="131" spans="1:37" ht="13" x14ac:dyDescent="0.3">
      <c r="A131" s="197" t="str">
        <f>presupuesto!B130</f>
        <v>B.4.-</v>
      </c>
      <c r="B131" s="181" t="str">
        <f>presupuesto!C130</f>
        <v xml:space="preserve">         Junturas</v>
      </c>
      <c r="C131" s="174" t="str">
        <f>presupuesto!G130</f>
        <v>210 días</v>
      </c>
      <c r="D131" s="177">
        <f>presupuesto!N130</f>
        <v>45695</v>
      </c>
      <c r="E131" s="177">
        <f>presupuesto!O130</f>
        <v>45904</v>
      </c>
      <c r="F131" s="194" t="str">
        <f>IF(AK131="n",CONCATENATE(" - "),IF(AK131="cg",CONCATENATE(" - "),CONCATENATE(ROUND(IFERROR(VLOOKUP(A131,informe!A:J,9,FALSE)/VLOOKUP(A131,informe!A:J,5,FALSE),0)*100,2),"% ")))</f>
        <v xml:space="preserve"> - </v>
      </c>
      <c r="G131" s="195" t="str">
        <f>IF(AND(G$3&gt;=$D131,G$3&lt;=$E131),IF((G$3-$D131+1)*VLOOKUP($A131,presupuesto!$B:$Q,16,FALSE)&gt;=VLOOKUP($A131,informe!$A:$J,9,FALSE),"cg","c"),"n")</f>
        <v>n</v>
      </c>
      <c r="H131" s="195" t="str">
        <f>IF(AND(H$3&gt;=$D131,H$3&lt;=$E131),IF((H$3-$D131+1)*VLOOKUP($A131,presupuesto!$B:$Q,16,FALSE)&gt;=VLOOKUP($A131,informe!$A:$J,9,FALSE),"cg","c"),"n")</f>
        <v>n</v>
      </c>
      <c r="I131" s="195" t="str">
        <f>IF(AND(I$3&gt;=$D131,I$3&lt;=$E131),IF((I$3-$D131+1)*VLOOKUP($A131,presupuesto!$B:$Q,16,FALSE)&gt;=VLOOKUP($A131,informe!$A:$J,9,FALSE),"cg","c"),"n")</f>
        <v>n</v>
      </c>
      <c r="J131" s="195" t="str">
        <f>IF(AND(J$3&gt;=$D131,J$3&lt;=$E131),IF((J$3-$D131+1)*VLOOKUP($A131,presupuesto!$B:$Q,16,FALSE)&gt;=VLOOKUP($A131,informe!$A:$J,9,FALSE),"cg","c"),"n")</f>
        <v>n</v>
      </c>
      <c r="K131" s="195" t="str">
        <f>IF(AND(K$3&gt;=$D131,K$3&lt;=$E131),IF((K$3-$D131+1)*VLOOKUP($A131,presupuesto!$B:$Q,16,FALSE)&gt;=VLOOKUP($A131,informe!$A:$J,9,FALSE),"cg","c"),"n")</f>
        <v>n</v>
      </c>
      <c r="L131" s="195" t="str">
        <f>IF(AND(L$3&gt;=$D131,L$3&lt;=$E131),IF((L$3-$D131+1)*VLOOKUP($A131,presupuesto!$B:$Q,16,FALSE)&gt;=VLOOKUP($A131,informe!$A:$J,9,FALSE),"cg","c"),"n")</f>
        <v>n</v>
      </c>
      <c r="M131" s="195" t="str">
        <f>IF(AND(M$3&gt;=$D131,M$3&lt;=$E131),IF((M$3-$D131+1)*VLOOKUP($A131,presupuesto!$B:$Q,16,FALSE)&gt;=VLOOKUP($A131,informe!$A:$J,9,FALSE),"cg","c"),"n")</f>
        <v>n</v>
      </c>
      <c r="N131" s="195" t="str">
        <f>IF(AND(N$3&gt;=$D131,N$3&lt;=$E131),IF((N$3-$D131+1)*VLOOKUP($A131,presupuesto!$B:$Q,16,FALSE)&gt;=VLOOKUP($A131,informe!$A:$J,9,FALSE),"cg","c"),"n")</f>
        <v>n</v>
      </c>
      <c r="O131" s="195" t="str">
        <f>IF(AND(O$3&gt;=$D131,O$3&lt;=$E131),IF((O$3-$D131+1)*VLOOKUP($A131,presupuesto!$B:$Q,16,FALSE)&gt;=VLOOKUP($A131,informe!$A:$J,9,FALSE),"cg","c"),"n")</f>
        <v>n</v>
      </c>
      <c r="P131" s="195" t="str">
        <f>IF(AND(P$3&gt;=$D131,P$3&lt;=$E131),IF((P$3-$D131+1)*VLOOKUP($A131,presupuesto!$B:$Q,16,FALSE)&gt;=VLOOKUP($A131,informe!$A:$J,9,FALSE),"cg","c"),"n")</f>
        <v>n</v>
      </c>
      <c r="Q131" s="195" t="str">
        <f>IF(AND(Q$3&gt;=$D131,Q$3&lt;=$E131),IF((Q$3-$D131+1)*VLOOKUP($A131,presupuesto!$B:$Q,16,FALSE)&gt;=VLOOKUP($A131,informe!$A:$J,9,FALSE),"cg","c"),"n")</f>
        <v>n</v>
      </c>
      <c r="R131" s="195" t="str">
        <f>IF(AND(R$3&gt;=$D131,R$3&lt;=$E131),IF((R$3-$D131+1)*VLOOKUP($A131,presupuesto!$B:$Q,16,FALSE)&gt;=VLOOKUP($A131,informe!$A:$J,9,FALSE),"cg","c"),"n")</f>
        <v>n</v>
      </c>
      <c r="S131" s="195" t="str">
        <f>IF(AND(S$3&gt;=$D131,S$3&lt;=$E131),IF((S$3-$D131+1)*VLOOKUP($A131,presupuesto!$B:$Q,16,FALSE)&gt;=VLOOKUP($A131,informe!$A:$J,9,FALSE),"cg","c"),"n")</f>
        <v>n</v>
      </c>
      <c r="T131" s="195" t="str">
        <f>IF(AND(T$3&gt;=$D131,T$3&lt;=$E131),IF((T$3-$D131+1)*VLOOKUP($A131,presupuesto!$B:$Q,16,FALSE)&gt;=VLOOKUP($A131,informe!$A:$J,9,FALSE),"cg","c"),"n")</f>
        <v>n</v>
      </c>
      <c r="U131" s="195" t="str">
        <f>IF(AND(U$3&gt;=$D131,U$3&lt;=$E131),IF((U$3-$D131+1)*VLOOKUP($A131,presupuesto!$B:$Q,16,FALSE)&gt;=VLOOKUP($A131,informe!$A:$J,9,FALSE),"cg","c"),"n")</f>
        <v>n</v>
      </c>
      <c r="V131" s="195" t="str">
        <f>IF(AND(V$3&gt;=$D131,V$3&lt;=$E131),IF((V$3-$D131+1)*VLOOKUP($A131,presupuesto!$B:$Q,16,FALSE)&gt;=VLOOKUP($A131,informe!$A:$J,9,FALSE),"cg","c"),"n")</f>
        <v>n</v>
      </c>
      <c r="W131" s="195" t="str">
        <f>IF(AND(W$3&gt;=$D131,W$3&lt;=$E131),IF((W$3-$D131+1)*VLOOKUP($A131,presupuesto!$B:$Q,16,FALSE)&gt;=VLOOKUP($A131,informe!$A:$J,9,FALSE),"cg","c"),"n")</f>
        <v>n</v>
      </c>
      <c r="X131" s="195" t="str">
        <f>IF(AND(X$3&gt;=$D131,X$3&lt;=$E131),IF((X$3-$D131+1)*VLOOKUP($A131,presupuesto!$B:$Q,16,FALSE)&gt;=VLOOKUP($A131,informe!$A:$J,9,FALSE),"cg","c"),"n")</f>
        <v>n</v>
      </c>
      <c r="Y131" s="195" t="str">
        <f>IF(AND(Y$3&gt;=$D131,Y$3&lt;=$E131),IF((Y$3-$D131+1)*VLOOKUP($A131,presupuesto!$B:$Q,16,FALSE)&gt;=VLOOKUP($A131,informe!$A:$J,9,FALSE),"cg","c"),"n")</f>
        <v>n</v>
      </c>
      <c r="Z131" s="195" t="str">
        <f>IF(AND(Z$3&gt;=$D131,Z$3&lt;=$E131),IF((Z$3-$D131+1)*VLOOKUP($A131,presupuesto!$B:$Q,16,FALSE)&gt;=VLOOKUP($A131,informe!$A:$J,9,FALSE),"cg","c"),"n")</f>
        <v>n</v>
      </c>
      <c r="AA131" s="195" t="str">
        <f>IF(AND(AA$3&gt;=$D131,AA$3&lt;=$E131),IF((AA$3-$D131+1)*VLOOKUP($A131,presupuesto!$B:$Q,16,FALSE)&gt;=VLOOKUP($A131,informe!$A:$J,9,FALSE),"cg","c"),"n")</f>
        <v>n</v>
      </c>
      <c r="AB131" s="195" t="str">
        <f>IF(AND(AB$3&gt;=$D131,AB$3&lt;=$E131),IF((AB$3-$D131+1)*VLOOKUP($A131,presupuesto!$B:$Q,16,FALSE)&gt;=VLOOKUP($A131,informe!$A:$J,9,FALSE),"cg","c"),"n")</f>
        <v>n</v>
      </c>
      <c r="AC131" s="195" t="str">
        <f>IF(AND(AC$3&gt;=$D131,AC$3&lt;=$E131),IF((AC$3-$D131+1)*VLOOKUP($A131,presupuesto!$B:$Q,16,FALSE)&gt;=VLOOKUP($A131,informe!$A:$J,9,FALSE),"cg","c"),"n")</f>
        <v>n</v>
      </c>
      <c r="AD131" s="195" t="str">
        <f>IF(AND(AD$3&gt;=$D131,AD$3&lt;=$E131),IF((AD$3-$D131+1)*VLOOKUP($A131,presupuesto!$B:$Q,16,FALSE)&gt;=VLOOKUP($A131,informe!$A:$J,9,FALSE),"cg","c"),"n")</f>
        <v>n</v>
      </c>
      <c r="AE131" s="195" t="str">
        <f>IF(AND(AE$3&gt;=$D131,AE$3&lt;=$E131),IF((AE$3-$D131+1)*VLOOKUP($A131,presupuesto!$B:$Q,16,FALSE)&gt;=VLOOKUP($A131,informe!$A:$J,9,FALSE),"cg","c"),"n")</f>
        <v>n</v>
      </c>
      <c r="AF131" s="195" t="str">
        <f>IF(AND(AF$3&gt;=$D131,AF$3&lt;=$E131),IF((AF$3-$D131+1)*VLOOKUP($A131,presupuesto!$B:$Q,16,FALSE)&gt;=VLOOKUP($A131,informe!$A:$J,9,FALSE),"cg","c"),"n")</f>
        <v>n</v>
      </c>
      <c r="AG131" s="195" t="str">
        <f>IF(AND(AG$3&gt;=$D131,AG$3&lt;=$E131),IF((AG$3-$D131+1)*VLOOKUP($A131,presupuesto!$B:$Q,16,FALSE)&gt;=VLOOKUP($A131,informe!$A:$J,9,FALSE),"cg","c"),"n")</f>
        <v>n</v>
      </c>
      <c r="AH131" s="195" t="str">
        <f>IF(AND(AH$3&gt;=$D131,AH$3&lt;=$E131),IF((AH$3-$D131+1)*VLOOKUP($A131,presupuesto!$B:$Q,16,FALSE)&gt;=VLOOKUP($A131,informe!$A:$J,9,FALSE),"cg","c"),"n")</f>
        <v>n</v>
      </c>
      <c r="AI131" s="195" t="str">
        <f>IF(AND(AI$3&gt;=$D131,AI$3&lt;=$E131),IF((AI$3-$D131+1)*VLOOKUP($A131,presupuesto!$B:$Q,16,FALSE)&gt;=VLOOKUP($A131,informe!$A:$J,9,FALSE),"cg","c"),"n")</f>
        <v>n</v>
      </c>
      <c r="AJ131" s="195" t="str">
        <f>IF(AND(AJ$3&gt;=$D131,AJ$3&lt;=$E131),IF((AJ$3-$D131+1)*VLOOKUP($A131,presupuesto!$B:$Q,16,FALSE)&gt;=VLOOKUP($A131,informe!$A:$J,9,FALSE),"cg","c"),"n")</f>
        <v>n</v>
      </c>
      <c r="AK131" s="196" t="str">
        <f>IF(AND(AK$3&gt;=$D131,AK$3&lt;=$E131),IF((AK$3-$D131+1)*VLOOKUP($A131,presupuesto!$B:$Q,16,FALSE)&gt;=VLOOKUP($A131,informe!$A:$J,9,FALSE),"cg","c"),"n")</f>
        <v>n</v>
      </c>
    </row>
    <row r="132" spans="1:37" x14ac:dyDescent="0.25">
      <c r="A132" s="197">
        <f>presupuesto!B131</f>
        <v>85</v>
      </c>
      <c r="B132" s="182" t="str">
        <f>presupuesto!C131</f>
        <v xml:space="preserve">            Anger 75 mm</v>
      </c>
      <c r="C132" s="174" t="str">
        <f>presupuesto!G131</f>
        <v>15 días</v>
      </c>
      <c r="D132" s="177">
        <f>presupuesto!N131</f>
        <v>45883</v>
      </c>
      <c r="E132" s="177">
        <f>presupuesto!O131</f>
        <v>45897</v>
      </c>
      <c r="F132" s="194" t="str">
        <f>IF(AK132="n",CONCATENATE(" - "),IF(AK132="cg",CONCATENATE(" - "),CONCATENATE(ROUND(IFERROR(VLOOKUP(A132,informe!A:J,9,FALSE)/VLOOKUP(A132,informe!A:J,5,FALSE),0)*100,2),"% ")))</f>
        <v xml:space="preserve"> - </v>
      </c>
      <c r="G132" s="195" t="str">
        <f>IF(AND(G$3&gt;=$D132,G$3&lt;=$E132),IF((G$3-$D132+1)*VLOOKUP($A132,presupuesto!$B:$Q,16,FALSE)&gt;=VLOOKUP($A132,informe!$A:$J,9,FALSE),"cg","c"),"n")</f>
        <v>n</v>
      </c>
      <c r="H132" s="195" t="str">
        <f>IF(AND(H$3&gt;=$D132,H$3&lt;=$E132),IF((H$3-$D132+1)*VLOOKUP($A132,presupuesto!$B:$Q,16,FALSE)&gt;=VLOOKUP($A132,informe!$A:$J,9,FALSE),"cg","c"),"n")</f>
        <v>n</v>
      </c>
      <c r="I132" s="195" t="str">
        <f>IF(AND(I$3&gt;=$D132,I$3&lt;=$E132),IF((I$3-$D132+1)*VLOOKUP($A132,presupuesto!$B:$Q,16,FALSE)&gt;=VLOOKUP($A132,informe!$A:$J,9,FALSE),"cg","c"),"n")</f>
        <v>n</v>
      </c>
      <c r="J132" s="195" t="str">
        <f>IF(AND(J$3&gt;=$D132,J$3&lt;=$E132),IF((J$3-$D132+1)*VLOOKUP($A132,presupuesto!$B:$Q,16,FALSE)&gt;=VLOOKUP($A132,informe!$A:$J,9,FALSE),"cg","c"),"n")</f>
        <v>n</v>
      </c>
      <c r="K132" s="195" t="str">
        <f>IF(AND(K$3&gt;=$D132,K$3&lt;=$E132),IF((K$3-$D132+1)*VLOOKUP($A132,presupuesto!$B:$Q,16,FALSE)&gt;=VLOOKUP($A132,informe!$A:$J,9,FALSE),"cg","c"),"n")</f>
        <v>n</v>
      </c>
      <c r="L132" s="195" t="str">
        <f>IF(AND(L$3&gt;=$D132,L$3&lt;=$E132),IF((L$3-$D132+1)*VLOOKUP($A132,presupuesto!$B:$Q,16,FALSE)&gt;=VLOOKUP($A132,informe!$A:$J,9,FALSE),"cg","c"),"n")</f>
        <v>n</v>
      </c>
      <c r="M132" s="195" t="str">
        <f>IF(AND(M$3&gt;=$D132,M$3&lt;=$E132),IF((M$3-$D132+1)*VLOOKUP($A132,presupuesto!$B:$Q,16,FALSE)&gt;=VLOOKUP($A132,informe!$A:$J,9,FALSE),"cg","c"),"n")</f>
        <v>n</v>
      </c>
      <c r="N132" s="195" t="str">
        <f>IF(AND(N$3&gt;=$D132,N$3&lt;=$E132),IF((N$3-$D132+1)*VLOOKUP($A132,presupuesto!$B:$Q,16,FALSE)&gt;=VLOOKUP($A132,informe!$A:$J,9,FALSE),"cg","c"),"n")</f>
        <v>n</v>
      </c>
      <c r="O132" s="195" t="str">
        <f>IF(AND(O$3&gt;=$D132,O$3&lt;=$E132),IF((O$3-$D132+1)*VLOOKUP($A132,presupuesto!$B:$Q,16,FALSE)&gt;=VLOOKUP($A132,informe!$A:$J,9,FALSE),"cg","c"),"n")</f>
        <v>n</v>
      </c>
      <c r="P132" s="195" t="str">
        <f>IF(AND(P$3&gt;=$D132,P$3&lt;=$E132),IF((P$3-$D132+1)*VLOOKUP($A132,presupuesto!$B:$Q,16,FALSE)&gt;=VLOOKUP($A132,informe!$A:$J,9,FALSE),"cg","c"),"n")</f>
        <v>n</v>
      </c>
      <c r="Q132" s="195" t="str">
        <f>IF(AND(Q$3&gt;=$D132,Q$3&lt;=$E132),IF((Q$3-$D132+1)*VLOOKUP($A132,presupuesto!$B:$Q,16,FALSE)&gt;=VLOOKUP($A132,informe!$A:$J,9,FALSE),"cg","c"),"n")</f>
        <v>n</v>
      </c>
      <c r="R132" s="195" t="str">
        <f>IF(AND(R$3&gt;=$D132,R$3&lt;=$E132),IF((R$3-$D132+1)*VLOOKUP($A132,presupuesto!$B:$Q,16,FALSE)&gt;=VLOOKUP($A132,informe!$A:$J,9,FALSE),"cg","c"),"n")</f>
        <v>n</v>
      </c>
      <c r="S132" s="195" t="str">
        <f>IF(AND(S$3&gt;=$D132,S$3&lt;=$E132),IF((S$3-$D132+1)*VLOOKUP($A132,presupuesto!$B:$Q,16,FALSE)&gt;=VLOOKUP($A132,informe!$A:$J,9,FALSE),"cg","c"),"n")</f>
        <v>n</v>
      </c>
      <c r="T132" s="195" t="str">
        <f>IF(AND(T$3&gt;=$D132,T$3&lt;=$E132),IF((T$3-$D132+1)*VLOOKUP($A132,presupuesto!$B:$Q,16,FALSE)&gt;=VLOOKUP($A132,informe!$A:$J,9,FALSE),"cg","c"),"n")</f>
        <v>n</v>
      </c>
      <c r="U132" s="195" t="str">
        <f>IF(AND(U$3&gt;=$D132,U$3&lt;=$E132),IF((U$3-$D132+1)*VLOOKUP($A132,presupuesto!$B:$Q,16,FALSE)&gt;=VLOOKUP($A132,informe!$A:$J,9,FALSE),"cg","c"),"n")</f>
        <v>n</v>
      </c>
      <c r="V132" s="195" t="str">
        <f>IF(AND(V$3&gt;=$D132,V$3&lt;=$E132),IF((V$3-$D132+1)*VLOOKUP($A132,presupuesto!$B:$Q,16,FALSE)&gt;=VLOOKUP($A132,informe!$A:$J,9,FALSE),"cg","c"),"n")</f>
        <v>n</v>
      </c>
      <c r="W132" s="195" t="str">
        <f>IF(AND(W$3&gt;=$D132,W$3&lt;=$E132),IF((W$3-$D132+1)*VLOOKUP($A132,presupuesto!$B:$Q,16,FALSE)&gt;=VLOOKUP($A132,informe!$A:$J,9,FALSE),"cg","c"),"n")</f>
        <v>n</v>
      </c>
      <c r="X132" s="195" t="str">
        <f>IF(AND(X$3&gt;=$D132,X$3&lt;=$E132),IF((X$3-$D132+1)*VLOOKUP($A132,presupuesto!$B:$Q,16,FALSE)&gt;=VLOOKUP($A132,informe!$A:$J,9,FALSE),"cg","c"),"n")</f>
        <v>n</v>
      </c>
      <c r="Y132" s="195" t="str">
        <f>IF(AND(Y$3&gt;=$D132,Y$3&lt;=$E132),IF((Y$3-$D132+1)*VLOOKUP($A132,presupuesto!$B:$Q,16,FALSE)&gt;=VLOOKUP($A132,informe!$A:$J,9,FALSE),"cg","c"),"n")</f>
        <v>n</v>
      </c>
      <c r="Z132" s="195" t="str">
        <f>IF(AND(Z$3&gt;=$D132,Z$3&lt;=$E132),IF((Z$3-$D132+1)*VLOOKUP($A132,presupuesto!$B:$Q,16,FALSE)&gt;=VLOOKUP($A132,informe!$A:$J,9,FALSE),"cg","c"),"n")</f>
        <v>n</v>
      </c>
      <c r="AA132" s="195" t="str">
        <f>IF(AND(AA$3&gt;=$D132,AA$3&lt;=$E132),IF((AA$3-$D132+1)*VLOOKUP($A132,presupuesto!$B:$Q,16,FALSE)&gt;=VLOOKUP($A132,informe!$A:$J,9,FALSE),"cg","c"),"n")</f>
        <v>n</v>
      </c>
      <c r="AB132" s="195" t="str">
        <f>IF(AND(AB$3&gt;=$D132,AB$3&lt;=$E132),IF((AB$3-$D132+1)*VLOOKUP($A132,presupuesto!$B:$Q,16,FALSE)&gt;=VLOOKUP($A132,informe!$A:$J,9,FALSE),"cg","c"),"n")</f>
        <v>n</v>
      </c>
      <c r="AC132" s="195" t="str">
        <f>IF(AND(AC$3&gt;=$D132,AC$3&lt;=$E132),IF((AC$3-$D132+1)*VLOOKUP($A132,presupuesto!$B:$Q,16,FALSE)&gt;=VLOOKUP($A132,informe!$A:$J,9,FALSE),"cg","c"),"n")</f>
        <v>n</v>
      </c>
      <c r="AD132" s="195" t="str">
        <f>IF(AND(AD$3&gt;=$D132,AD$3&lt;=$E132),IF((AD$3-$D132+1)*VLOOKUP($A132,presupuesto!$B:$Q,16,FALSE)&gt;=VLOOKUP($A132,informe!$A:$J,9,FALSE),"cg","c"),"n")</f>
        <v>n</v>
      </c>
      <c r="AE132" s="195" t="str">
        <f>IF(AND(AE$3&gt;=$D132,AE$3&lt;=$E132),IF((AE$3-$D132+1)*VLOOKUP($A132,presupuesto!$B:$Q,16,FALSE)&gt;=VLOOKUP($A132,informe!$A:$J,9,FALSE),"cg","c"),"n")</f>
        <v>n</v>
      </c>
      <c r="AF132" s="195" t="str">
        <f>IF(AND(AF$3&gt;=$D132,AF$3&lt;=$E132),IF((AF$3-$D132+1)*VLOOKUP($A132,presupuesto!$B:$Q,16,FALSE)&gt;=VLOOKUP($A132,informe!$A:$J,9,FALSE),"cg","c"),"n")</f>
        <v>n</v>
      </c>
      <c r="AG132" s="195" t="str">
        <f>IF(AND(AG$3&gt;=$D132,AG$3&lt;=$E132),IF((AG$3-$D132+1)*VLOOKUP($A132,presupuesto!$B:$Q,16,FALSE)&gt;=VLOOKUP($A132,informe!$A:$J,9,FALSE),"cg","c"),"n")</f>
        <v>n</v>
      </c>
      <c r="AH132" s="195" t="str">
        <f>IF(AND(AH$3&gt;=$D132,AH$3&lt;=$E132),IF((AH$3-$D132+1)*VLOOKUP($A132,presupuesto!$B:$Q,16,FALSE)&gt;=VLOOKUP($A132,informe!$A:$J,9,FALSE),"cg","c"),"n")</f>
        <v>n</v>
      </c>
      <c r="AI132" s="195" t="str">
        <f>IF(AND(AI$3&gt;=$D132,AI$3&lt;=$E132),IF((AI$3-$D132+1)*VLOOKUP($A132,presupuesto!$B:$Q,16,FALSE)&gt;=VLOOKUP($A132,informe!$A:$J,9,FALSE),"cg","c"),"n")</f>
        <v>n</v>
      </c>
      <c r="AJ132" s="195" t="str">
        <f>IF(AND(AJ$3&gt;=$D132,AJ$3&lt;=$E132),IF((AJ$3-$D132+1)*VLOOKUP($A132,presupuesto!$B:$Q,16,FALSE)&gt;=VLOOKUP($A132,informe!$A:$J,9,FALSE),"cg","c"),"n")</f>
        <v>n</v>
      </c>
      <c r="AK132" s="196" t="str">
        <f>IF(AND(AK$3&gt;=$D132,AK$3&lt;=$E132),IF((AK$3-$D132+1)*VLOOKUP($A132,presupuesto!$B:$Q,16,FALSE)&gt;=VLOOKUP($A132,informe!$A:$J,9,FALSE),"cg","c"),"n")</f>
        <v>n</v>
      </c>
    </row>
    <row r="133" spans="1:37" ht="13" x14ac:dyDescent="0.25">
      <c r="A133" s="193">
        <f>presupuesto!B132</f>
        <v>86</v>
      </c>
      <c r="B133" s="182" t="str">
        <f>presupuesto!C132</f>
        <v xml:space="preserve">            Termofusión 75 mm</v>
      </c>
      <c r="C133" s="173" t="str">
        <f>presupuesto!G132</f>
        <v>210 días</v>
      </c>
      <c r="D133" s="176">
        <f>presupuesto!N132</f>
        <v>45695</v>
      </c>
      <c r="E133" s="176">
        <f>presupuesto!O132</f>
        <v>45904</v>
      </c>
      <c r="F133" s="194" t="str">
        <f>IF(AK133="n",CONCATENATE(" - "),IF(AK133="cg",CONCATENATE(" - "),CONCATENATE(ROUND(IFERROR(VLOOKUP(A133,informe!A:J,9,FALSE)/VLOOKUP(A133,informe!A:J,5,FALSE),0)*100,2),"% ")))</f>
        <v xml:space="preserve"> - </v>
      </c>
      <c r="G133" s="195" t="str">
        <f>IF(AND(G$3&gt;=$D133,G$3&lt;=$E133),IF((G$3-$D133+1)*VLOOKUP($A133,presupuesto!$B:$Q,16,FALSE)&gt;=VLOOKUP($A133,informe!$A:$J,9,FALSE),"cg","c"),"n")</f>
        <v>n</v>
      </c>
      <c r="H133" s="195" t="str">
        <f>IF(AND(H$3&gt;=$D133,H$3&lt;=$E133),IF((H$3-$D133+1)*VLOOKUP($A133,presupuesto!$B:$Q,16,FALSE)&gt;=VLOOKUP($A133,informe!$A:$J,9,FALSE),"cg","c"),"n")</f>
        <v>n</v>
      </c>
      <c r="I133" s="195" t="str">
        <f>IF(AND(I$3&gt;=$D133,I$3&lt;=$E133),IF((I$3-$D133+1)*VLOOKUP($A133,presupuesto!$B:$Q,16,FALSE)&gt;=VLOOKUP($A133,informe!$A:$J,9,FALSE),"cg","c"),"n")</f>
        <v>n</v>
      </c>
      <c r="J133" s="195" t="str">
        <f>IF(AND(J$3&gt;=$D133,J$3&lt;=$E133),IF((J$3-$D133+1)*VLOOKUP($A133,presupuesto!$B:$Q,16,FALSE)&gt;=VLOOKUP($A133,informe!$A:$J,9,FALSE),"cg","c"),"n")</f>
        <v>n</v>
      </c>
      <c r="K133" s="195" t="str">
        <f>IF(AND(K$3&gt;=$D133,K$3&lt;=$E133),IF((K$3-$D133+1)*VLOOKUP($A133,presupuesto!$B:$Q,16,FALSE)&gt;=VLOOKUP($A133,informe!$A:$J,9,FALSE),"cg","c"),"n")</f>
        <v>n</v>
      </c>
      <c r="L133" s="195" t="str">
        <f>IF(AND(L$3&gt;=$D133,L$3&lt;=$E133),IF((L$3-$D133+1)*VLOOKUP($A133,presupuesto!$B:$Q,16,FALSE)&gt;=VLOOKUP($A133,informe!$A:$J,9,FALSE),"cg","c"),"n")</f>
        <v>n</v>
      </c>
      <c r="M133" s="195" t="str">
        <f>IF(AND(M$3&gt;=$D133,M$3&lt;=$E133),IF((M$3-$D133+1)*VLOOKUP($A133,presupuesto!$B:$Q,16,FALSE)&gt;=VLOOKUP($A133,informe!$A:$J,9,FALSE),"cg","c"),"n")</f>
        <v>n</v>
      </c>
      <c r="N133" s="195" t="str">
        <f>IF(AND(N$3&gt;=$D133,N$3&lt;=$E133),IF((N$3-$D133+1)*VLOOKUP($A133,presupuesto!$B:$Q,16,FALSE)&gt;=VLOOKUP($A133,informe!$A:$J,9,FALSE),"cg","c"),"n")</f>
        <v>n</v>
      </c>
      <c r="O133" s="195" t="str">
        <f>IF(AND(O$3&gt;=$D133,O$3&lt;=$E133),IF((O$3-$D133+1)*VLOOKUP($A133,presupuesto!$B:$Q,16,FALSE)&gt;=VLOOKUP($A133,informe!$A:$J,9,FALSE),"cg","c"),"n")</f>
        <v>n</v>
      </c>
      <c r="P133" s="195" t="str">
        <f>IF(AND(P$3&gt;=$D133,P$3&lt;=$E133),IF((P$3-$D133+1)*VLOOKUP($A133,presupuesto!$B:$Q,16,FALSE)&gt;=VLOOKUP($A133,informe!$A:$J,9,FALSE),"cg","c"),"n")</f>
        <v>n</v>
      </c>
      <c r="Q133" s="195" t="str">
        <f>IF(AND(Q$3&gt;=$D133,Q$3&lt;=$E133),IF((Q$3-$D133+1)*VLOOKUP($A133,presupuesto!$B:$Q,16,FALSE)&gt;=VLOOKUP($A133,informe!$A:$J,9,FALSE),"cg","c"),"n")</f>
        <v>n</v>
      </c>
      <c r="R133" s="195" t="str">
        <f>IF(AND(R$3&gt;=$D133,R$3&lt;=$E133),IF((R$3-$D133+1)*VLOOKUP($A133,presupuesto!$B:$Q,16,FALSE)&gt;=VLOOKUP($A133,informe!$A:$J,9,FALSE),"cg","c"),"n")</f>
        <v>n</v>
      </c>
      <c r="S133" s="195" t="str">
        <f>IF(AND(S$3&gt;=$D133,S$3&lt;=$E133),IF((S$3-$D133+1)*VLOOKUP($A133,presupuesto!$B:$Q,16,FALSE)&gt;=VLOOKUP($A133,informe!$A:$J,9,FALSE),"cg","c"),"n")</f>
        <v>n</v>
      </c>
      <c r="T133" s="195" t="str">
        <f>IF(AND(T$3&gt;=$D133,T$3&lt;=$E133),IF((T$3-$D133+1)*VLOOKUP($A133,presupuesto!$B:$Q,16,FALSE)&gt;=VLOOKUP($A133,informe!$A:$J,9,FALSE),"cg","c"),"n")</f>
        <v>n</v>
      </c>
      <c r="U133" s="195" t="str">
        <f>IF(AND(U$3&gt;=$D133,U$3&lt;=$E133),IF((U$3-$D133+1)*VLOOKUP($A133,presupuesto!$B:$Q,16,FALSE)&gt;=VLOOKUP($A133,informe!$A:$J,9,FALSE),"cg","c"),"n")</f>
        <v>n</v>
      </c>
      <c r="V133" s="195" t="str">
        <f>IF(AND(V$3&gt;=$D133,V$3&lt;=$E133),IF((V$3-$D133+1)*VLOOKUP($A133,presupuesto!$B:$Q,16,FALSE)&gt;=VLOOKUP($A133,informe!$A:$J,9,FALSE),"cg","c"),"n")</f>
        <v>n</v>
      </c>
      <c r="W133" s="195" t="str">
        <f>IF(AND(W$3&gt;=$D133,W$3&lt;=$E133),IF((W$3-$D133+1)*VLOOKUP($A133,presupuesto!$B:$Q,16,FALSE)&gt;=VLOOKUP($A133,informe!$A:$J,9,FALSE),"cg","c"),"n")</f>
        <v>n</v>
      </c>
      <c r="X133" s="195" t="str">
        <f>IF(AND(X$3&gt;=$D133,X$3&lt;=$E133),IF((X$3-$D133+1)*VLOOKUP($A133,presupuesto!$B:$Q,16,FALSE)&gt;=VLOOKUP($A133,informe!$A:$J,9,FALSE),"cg","c"),"n")</f>
        <v>n</v>
      </c>
      <c r="Y133" s="195" t="str">
        <f>IF(AND(Y$3&gt;=$D133,Y$3&lt;=$E133),IF((Y$3-$D133+1)*VLOOKUP($A133,presupuesto!$B:$Q,16,FALSE)&gt;=VLOOKUP($A133,informe!$A:$J,9,FALSE),"cg","c"),"n")</f>
        <v>n</v>
      </c>
      <c r="Z133" s="195" t="str">
        <f>IF(AND(Z$3&gt;=$D133,Z$3&lt;=$E133),IF((Z$3-$D133+1)*VLOOKUP($A133,presupuesto!$B:$Q,16,FALSE)&gt;=VLOOKUP($A133,informe!$A:$J,9,FALSE),"cg","c"),"n")</f>
        <v>n</v>
      </c>
      <c r="AA133" s="195" t="str">
        <f>IF(AND(AA$3&gt;=$D133,AA$3&lt;=$E133),IF((AA$3-$D133+1)*VLOOKUP($A133,presupuesto!$B:$Q,16,FALSE)&gt;=VLOOKUP($A133,informe!$A:$J,9,FALSE),"cg","c"),"n")</f>
        <v>n</v>
      </c>
      <c r="AB133" s="195" t="str">
        <f>IF(AND(AB$3&gt;=$D133,AB$3&lt;=$E133),IF((AB$3-$D133+1)*VLOOKUP($A133,presupuesto!$B:$Q,16,FALSE)&gt;=VLOOKUP($A133,informe!$A:$J,9,FALSE),"cg","c"),"n")</f>
        <v>n</v>
      </c>
      <c r="AC133" s="195" t="str">
        <f>IF(AND(AC$3&gt;=$D133,AC$3&lt;=$E133),IF((AC$3-$D133+1)*VLOOKUP($A133,presupuesto!$B:$Q,16,FALSE)&gt;=VLOOKUP($A133,informe!$A:$J,9,FALSE),"cg","c"),"n")</f>
        <v>n</v>
      </c>
      <c r="AD133" s="195" t="str">
        <f>IF(AND(AD$3&gt;=$D133,AD$3&lt;=$E133),IF((AD$3-$D133+1)*VLOOKUP($A133,presupuesto!$B:$Q,16,FALSE)&gt;=VLOOKUP($A133,informe!$A:$J,9,FALSE),"cg","c"),"n")</f>
        <v>n</v>
      </c>
      <c r="AE133" s="195" t="str">
        <f>IF(AND(AE$3&gt;=$D133,AE$3&lt;=$E133),IF((AE$3-$D133+1)*VLOOKUP($A133,presupuesto!$B:$Q,16,FALSE)&gt;=VLOOKUP($A133,informe!$A:$J,9,FALSE),"cg","c"),"n")</f>
        <v>n</v>
      </c>
      <c r="AF133" s="195" t="str">
        <f>IF(AND(AF$3&gt;=$D133,AF$3&lt;=$E133),IF((AF$3-$D133+1)*VLOOKUP($A133,presupuesto!$B:$Q,16,FALSE)&gt;=VLOOKUP($A133,informe!$A:$J,9,FALSE),"cg","c"),"n")</f>
        <v>n</v>
      </c>
      <c r="AG133" s="195" t="str">
        <f>IF(AND(AG$3&gt;=$D133,AG$3&lt;=$E133),IF((AG$3-$D133+1)*VLOOKUP($A133,presupuesto!$B:$Q,16,FALSE)&gt;=VLOOKUP($A133,informe!$A:$J,9,FALSE),"cg","c"),"n")</f>
        <v>n</v>
      </c>
      <c r="AH133" s="195" t="str">
        <f>IF(AND(AH$3&gt;=$D133,AH$3&lt;=$E133),IF((AH$3-$D133+1)*VLOOKUP($A133,presupuesto!$B:$Q,16,FALSE)&gt;=VLOOKUP($A133,informe!$A:$J,9,FALSE),"cg","c"),"n")</f>
        <v>n</v>
      </c>
      <c r="AI133" s="195" t="str">
        <f>IF(AND(AI$3&gt;=$D133,AI$3&lt;=$E133),IF((AI$3-$D133+1)*VLOOKUP($A133,presupuesto!$B:$Q,16,FALSE)&gt;=VLOOKUP($A133,informe!$A:$J,9,FALSE),"cg","c"),"n")</f>
        <v>n</v>
      </c>
      <c r="AJ133" s="195" t="str">
        <f>IF(AND(AJ$3&gt;=$D133,AJ$3&lt;=$E133),IF((AJ$3-$D133+1)*VLOOKUP($A133,presupuesto!$B:$Q,16,FALSE)&gt;=VLOOKUP($A133,informe!$A:$J,9,FALSE),"cg","c"),"n")</f>
        <v>n</v>
      </c>
      <c r="AK133" s="196" t="str">
        <f>IF(AND(AK$3&gt;=$D133,AK$3&lt;=$E133),IF((AK$3-$D133+1)*VLOOKUP($A133,presupuesto!$B:$Q,16,FALSE)&gt;=VLOOKUP($A133,informe!$A:$J,9,FALSE),"cg","c"),"n")</f>
        <v>n</v>
      </c>
    </row>
    <row r="134" spans="1:37" x14ac:dyDescent="0.25">
      <c r="A134" s="197">
        <f>presupuesto!B133</f>
        <v>87</v>
      </c>
      <c r="B134" s="182" t="str">
        <f>presupuesto!C133</f>
        <v xml:space="preserve">            Brida, D=3"</v>
      </c>
      <c r="C134" s="174" t="str">
        <f>presupuesto!G133</f>
        <v>150 días</v>
      </c>
      <c r="D134" s="177">
        <f>presupuesto!N133</f>
        <v>45740</v>
      </c>
      <c r="E134" s="177">
        <f>presupuesto!O133</f>
        <v>45889</v>
      </c>
      <c r="F134" s="194" t="str">
        <f>IF(AK134="n",CONCATENATE(" - "),IF(AK134="cg",CONCATENATE(" - "),CONCATENATE(ROUND(IFERROR(VLOOKUP(A134,informe!A:J,9,FALSE)/VLOOKUP(A134,informe!A:J,5,FALSE),0)*100,2),"% ")))</f>
        <v xml:space="preserve"> - </v>
      </c>
      <c r="G134" s="195" t="str">
        <f>IF(AND(G$3&gt;=$D134,G$3&lt;=$E134),IF((G$3-$D134+1)*VLOOKUP($A134,presupuesto!$B:$Q,16,FALSE)&gt;=VLOOKUP($A134,informe!$A:$J,9,FALSE),"cg","c"),"n")</f>
        <v>n</v>
      </c>
      <c r="H134" s="195" t="str">
        <f>IF(AND(H$3&gt;=$D134,H$3&lt;=$E134),IF((H$3-$D134+1)*VLOOKUP($A134,presupuesto!$B:$Q,16,FALSE)&gt;=VLOOKUP($A134,informe!$A:$J,9,FALSE),"cg","c"),"n")</f>
        <v>n</v>
      </c>
      <c r="I134" s="195" t="str">
        <f>IF(AND(I$3&gt;=$D134,I$3&lt;=$E134),IF((I$3-$D134+1)*VLOOKUP($A134,presupuesto!$B:$Q,16,FALSE)&gt;=VLOOKUP($A134,informe!$A:$J,9,FALSE),"cg","c"),"n")</f>
        <v>n</v>
      </c>
      <c r="J134" s="195" t="str">
        <f>IF(AND(J$3&gt;=$D134,J$3&lt;=$E134),IF((J$3-$D134+1)*VLOOKUP($A134,presupuesto!$B:$Q,16,FALSE)&gt;=VLOOKUP($A134,informe!$A:$J,9,FALSE),"cg","c"),"n")</f>
        <v>n</v>
      </c>
      <c r="K134" s="195" t="str">
        <f>IF(AND(K$3&gt;=$D134,K$3&lt;=$E134),IF((K$3-$D134+1)*VLOOKUP($A134,presupuesto!$B:$Q,16,FALSE)&gt;=VLOOKUP($A134,informe!$A:$J,9,FALSE),"cg","c"),"n")</f>
        <v>n</v>
      </c>
      <c r="L134" s="195" t="str">
        <f>IF(AND(L$3&gt;=$D134,L$3&lt;=$E134),IF((L$3-$D134+1)*VLOOKUP($A134,presupuesto!$B:$Q,16,FALSE)&gt;=VLOOKUP($A134,informe!$A:$J,9,FALSE),"cg","c"),"n")</f>
        <v>n</v>
      </c>
      <c r="M134" s="195" t="str">
        <f>IF(AND(M$3&gt;=$D134,M$3&lt;=$E134),IF((M$3-$D134+1)*VLOOKUP($A134,presupuesto!$B:$Q,16,FALSE)&gt;=VLOOKUP($A134,informe!$A:$J,9,FALSE),"cg","c"),"n")</f>
        <v>n</v>
      </c>
      <c r="N134" s="195" t="str">
        <f>IF(AND(N$3&gt;=$D134,N$3&lt;=$E134),IF((N$3-$D134+1)*VLOOKUP($A134,presupuesto!$B:$Q,16,FALSE)&gt;=VLOOKUP($A134,informe!$A:$J,9,FALSE),"cg","c"),"n")</f>
        <v>n</v>
      </c>
      <c r="O134" s="195" t="str">
        <f>IF(AND(O$3&gt;=$D134,O$3&lt;=$E134),IF((O$3-$D134+1)*VLOOKUP($A134,presupuesto!$B:$Q,16,FALSE)&gt;=VLOOKUP($A134,informe!$A:$J,9,FALSE),"cg","c"),"n")</f>
        <v>n</v>
      </c>
      <c r="P134" s="195" t="str">
        <f>IF(AND(P$3&gt;=$D134,P$3&lt;=$E134),IF((P$3-$D134+1)*VLOOKUP($A134,presupuesto!$B:$Q,16,FALSE)&gt;=VLOOKUP($A134,informe!$A:$J,9,FALSE),"cg","c"),"n")</f>
        <v>n</v>
      </c>
      <c r="Q134" s="195" t="str">
        <f>IF(AND(Q$3&gt;=$D134,Q$3&lt;=$E134),IF((Q$3-$D134+1)*VLOOKUP($A134,presupuesto!$B:$Q,16,FALSE)&gt;=VLOOKUP($A134,informe!$A:$J,9,FALSE),"cg","c"),"n")</f>
        <v>n</v>
      </c>
      <c r="R134" s="195" t="str">
        <f>IF(AND(R$3&gt;=$D134,R$3&lt;=$E134),IF((R$3-$D134+1)*VLOOKUP($A134,presupuesto!$B:$Q,16,FALSE)&gt;=VLOOKUP($A134,informe!$A:$J,9,FALSE),"cg","c"),"n")</f>
        <v>n</v>
      </c>
      <c r="S134" s="195" t="str">
        <f>IF(AND(S$3&gt;=$D134,S$3&lt;=$E134),IF((S$3-$D134+1)*VLOOKUP($A134,presupuesto!$B:$Q,16,FALSE)&gt;=VLOOKUP($A134,informe!$A:$J,9,FALSE),"cg","c"),"n")</f>
        <v>n</v>
      </c>
      <c r="T134" s="195" t="str">
        <f>IF(AND(T$3&gt;=$D134,T$3&lt;=$E134),IF((T$3-$D134+1)*VLOOKUP($A134,presupuesto!$B:$Q,16,FALSE)&gt;=VLOOKUP($A134,informe!$A:$J,9,FALSE),"cg","c"),"n")</f>
        <v>n</v>
      </c>
      <c r="U134" s="195" t="str">
        <f>IF(AND(U$3&gt;=$D134,U$3&lt;=$E134),IF((U$3-$D134+1)*VLOOKUP($A134,presupuesto!$B:$Q,16,FALSE)&gt;=VLOOKUP($A134,informe!$A:$J,9,FALSE),"cg","c"),"n")</f>
        <v>n</v>
      </c>
      <c r="V134" s="195" t="str">
        <f>IF(AND(V$3&gt;=$D134,V$3&lt;=$E134),IF((V$3-$D134+1)*VLOOKUP($A134,presupuesto!$B:$Q,16,FALSE)&gt;=VLOOKUP($A134,informe!$A:$J,9,FALSE),"cg","c"),"n")</f>
        <v>n</v>
      </c>
      <c r="W134" s="195" t="str">
        <f>IF(AND(W$3&gt;=$D134,W$3&lt;=$E134),IF((W$3-$D134+1)*VLOOKUP($A134,presupuesto!$B:$Q,16,FALSE)&gt;=VLOOKUP($A134,informe!$A:$J,9,FALSE),"cg","c"),"n")</f>
        <v>n</v>
      </c>
      <c r="X134" s="195" t="str">
        <f>IF(AND(X$3&gt;=$D134,X$3&lt;=$E134),IF((X$3-$D134+1)*VLOOKUP($A134,presupuesto!$B:$Q,16,FALSE)&gt;=VLOOKUP($A134,informe!$A:$J,9,FALSE),"cg","c"),"n")</f>
        <v>n</v>
      </c>
      <c r="Y134" s="195" t="str">
        <f>IF(AND(Y$3&gt;=$D134,Y$3&lt;=$E134),IF((Y$3-$D134+1)*VLOOKUP($A134,presupuesto!$B:$Q,16,FALSE)&gt;=VLOOKUP($A134,informe!$A:$J,9,FALSE),"cg","c"),"n")</f>
        <v>n</v>
      </c>
      <c r="Z134" s="195" t="str">
        <f>IF(AND(Z$3&gt;=$D134,Z$3&lt;=$E134),IF((Z$3-$D134+1)*VLOOKUP($A134,presupuesto!$B:$Q,16,FALSE)&gt;=VLOOKUP($A134,informe!$A:$J,9,FALSE),"cg","c"),"n")</f>
        <v>n</v>
      </c>
      <c r="AA134" s="195" t="str">
        <f>IF(AND(AA$3&gt;=$D134,AA$3&lt;=$E134),IF((AA$3-$D134+1)*VLOOKUP($A134,presupuesto!$B:$Q,16,FALSE)&gt;=VLOOKUP($A134,informe!$A:$J,9,FALSE),"cg","c"),"n")</f>
        <v>n</v>
      </c>
      <c r="AB134" s="195" t="str">
        <f>IF(AND(AB$3&gt;=$D134,AB$3&lt;=$E134),IF((AB$3-$D134+1)*VLOOKUP($A134,presupuesto!$B:$Q,16,FALSE)&gt;=VLOOKUP($A134,informe!$A:$J,9,FALSE),"cg","c"),"n")</f>
        <v>n</v>
      </c>
      <c r="AC134" s="195" t="str">
        <f>IF(AND(AC$3&gt;=$D134,AC$3&lt;=$E134),IF((AC$3-$D134+1)*VLOOKUP($A134,presupuesto!$B:$Q,16,FALSE)&gt;=VLOOKUP($A134,informe!$A:$J,9,FALSE),"cg","c"),"n")</f>
        <v>n</v>
      </c>
      <c r="AD134" s="195" t="str">
        <f>IF(AND(AD$3&gt;=$D134,AD$3&lt;=$E134),IF((AD$3-$D134+1)*VLOOKUP($A134,presupuesto!$B:$Q,16,FALSE)&gt;=VLOOKUP($A134,informe!$A:$J,9,FALSE),"cg","c"),"n")</f>
        <v>n</v>
      </c>
      <c r="AE134" s="195" t="str">
        <f>IF(AND(AE$3&gt;=$D134,AE$3&lt;=$E134),IF((AE$3-$D134+1)*VLOOKUP($A134,presupuesto!$B:$Q,16,FALSE)&gt;=VLOOKUP($A134,informe!$A:$J,9,FALSE),"cg","c"),"n")</f>
        <v>n</v>
      </c>
      <c r="AF134" s="195" t="str">
        <f>IF(AND(AF$3&gt;=$D134,AF$3&lt;=$E134),IF((AF$3-$D134+1)*VLOOKUP($A134,presupuesto!$B:$Q,16,FALSE)&gt;=VLOOKUP($A134,informe!$A:$J,9,FALSE),"cg","c"),"n")</f>
        <v>n</v>
      </c>
      <c r="AG134" s="195" t="str">
        <f>IF(AND(AG$3&gt;=$D134,AG$3&lt;=$E134),IF((AG$3-$D134+1)*VLOOKUP($A134,presupuesto!$B:$Q,16,FALSE)&gt;=VLOOKUP($A134,informe!$A:$J,9,FALSE),"cg","c"),"n")</f>
        <v>n</v>
      </c>
      <c r="AH134" s="195" t="str">
        <f>IF(AND(AH$3&gt;=$D134,AH$3&lt;=$E134),IF((AH$3-$D134+1)*VLOOKUP($A134,presupuesto!$B:$Q,16,FALSE)&gt;=VLOOKUP($A134,informe!$A:$J,9,FALSE),"cg","c"),"n")</f>
        <v>n</v>
      </c>
      <c r="AI134" s="195" t="str">
        <f>IF(AND(AI$3&gt;=$D134,AI$3&lt;=$E134),IF((AI$3-$D134+1)*VLOOKUP($A134,presupuesto!$B:$Q,16,FALSE)&gt;=VLOOKUP($A134,informe!$A:$J,9,FALSE),"cg","c"),"n")</f>
        <v>n</v>
      </c>
      <c r="AJ134" s="195" t="str">
        <f>IF(AND(AJ$3&gt;=$D134,AJ$3&lt;=$E134),IF((AJ$3-$D134+1)*VLOOKUP($A134,presupuesto!$B:$Q,16,FALSE)&gt;=VLOOKUP($A134,informe!$A:$J,9,FALSE),"cg","c"),"n")</f>
        <v>n</v>
      </c>
      <c r="AK134" s="196" t="str">
        <f>IF(AND(AK$3&gt;=$D134,AK$3&lt;=$E134),IF((AK$3-$D134+1)*VLOOKUP($A134,presupuesto!$B:$Q,16,FALSE)&gt;=VLOOKUP($A134,informe!$A:$J,9,FALSE),"cg","c"),"n")</f>
        <v>n</v>
      </c>
    </row>
    <row r="135" spans="1:37" x14ac:dyDescent="0.25">
      <c r="A135" s="197">
        <f>presupuesto!B134</f>
        <v>88</v>
      </c>
      <c r="B135" s="182" t="str">
        <f>presupuesto!C134</f>
        <v xml:space="preserve">            Autobloqueante D=3"</v>
      </c>
      <c r="C135" s="174" t="str">
        <f>presupuesto!G134</f>
        <v>120 días</v>
      </c>
      <c r="D135" s="177">
        <f>presupuesto!N134</f>
        <v>45770</v>
      </c>
      <c r="E135" s="177">
        <f>presupuesto!O134</f>
        <v>45889</v>
      </c>
      <c r="F135" s="194" t="str">
        <f>IF(AK135="n",CONCATENATE(" - "),IF(AK135="cg",CONCATENATE(" - "),CONCATENATE(ROUND(IFERROR(VLOOKUP(A135,informe!A:J,9,FALSE)/VLOOKUP(A135,informe!A:J,5,FALSE),0)*100,2),"% ")))</f>
        <v xml:space="preserve"> - </v>
      </c>
      <c r="G135" s="195" t="str">
        <f>IF(AND(G$3&gt;=$D135,G$3&lt;=$E135),IF((G$3-$D135+1)*VLOOKUP($A135,presupuesto!$B:$Q,16,FALSE)&gt;=VLOOKUP($A135,informe!$A:$J,9,FALSE),"cg","c"),"n")</f>
        <v>n</v>
      </c>
      <c r="H135" s="195" t="str">
        <f>IF(AND(H$3&gt;=$D135,H$3&lt;=$E135),IF((H$3-$D135+1)*VLOOKUP($A135,presupuesto!$B:$Q,16,FALSE)&gt;=VLOOKUP($A135,informe!$A:$J,9,FALSE),"cg","c"),"n")</f>
        <v>n</v>
      </c>
      <c r="I135" s="195" t="str">
        <f>IF(AND(I$3&gt;=$D135,I$3&lt;=$E135),IF((I$3-$D135+1)*VLOOKUP($A135,presupuesto!$B:$Q,16,FALSE)&gt;=VLOOKUP($A135,informe!$A:$J,9,FALSE),"cg","c"),"n")</f>
        <v>n</v>
      </c>
      <c r="J135" s="195" t="str">
        <f>IF(AND(J$3&gt;=$D135,J$3&lt;=$E135),IF((J$3-$D135+1)*VLOOKUP($A135,presupuesto!$B:$Q,16,FALSE)&gt;=VLOOKUP($A135,informe!$A:$J,9,FALSE),"cg","c"),"n")</f>
        <v>n</v>
      </c>
      <c r="K135" s="195" t="str">
        <f>IF(AND(K$3&gt;=$D135,K$3&lt;=$E135),IF((K$3-$D135+1)*VLOOKUP($A135,presupuesto!$B:$Q,16,FALSE)&gt;=VLOOKUP($A135,informe!$A:$J,9,FALSE),"cg","c"),"n")</f>
        <v>n</v>
      </c>
      <c r="L135" s="195" t="str">
        <f>IF(AND(L$3&gt;=$D135,L$3&lt;=$E135),IF((L$3-$D135+1)*VLOOKUP($A135,presupuesto!$B:$Q,16,FALSE)&gt;=VLOOKUP($A135,informe!$A:$J,9,FALSE),"cg","c"),"n")</f>
        <v>n</v>
      </c>
      <c r="M135" s="195" t="str">
        <f>IF(AND(M$3&gt;=$D135,M$3&lt;=$E135),IF((M$3-$D135+1)*VLOOKUP($A135,presupuesto!$B:$Q,16,FALSE)&gt;=VLOOKUP($A135,informe!$A:$J,9,FALSE),"cg","c"),"n")</f>
        <v>n</v>
      </c>
      <c r="N135" s="195" t="str">
        <f>IF(AND(N$3&gt;=$D135,N$3&lt;=$E135),IF((N$3-$D135+1)*VLOOKUP($A135,presupuesto!$B:$Q,16,FALSE)&gt;=VLOOKUP($A135,informe!$A:$J,9,FALSE),"cg","c"),"n")</f>
        <v>n</v>
      </c>
      <c r="O135" s="195" t="str">
        <f>IF(AND(O$3&gt;=$D135,O$3&lt;=$E135),IF((O$3-$D135+1)*VLOOKUP($A135,presupuesto!$B:$Q,16,FALSE)&gt;=VLOOKUP($A135,informe!$A:$J,9,FALSE),"cg","c"),"n")</f>
        <v>n</v>
      </c>
      <c r="P135" s="195" t="str">
        <f>IF(AND(P$3&gt;=$D135,P$3&lt;=$E135),IF((P$3-$D135+1)*VLOOKUP($A135,presupuesto!$B:$Q,16,FALSE)&gt;=VLOOKUP($A135,informe!$A:$J,9,FALSE),"cg","c"),"n")</f>
        <v>n</v>
      </c>
      <c r="Q135" s="195" t="str">
        <f>IF(AND(Q$3&gt;=$D135,Q$3&lt;=$E135),IF((Q$3-$D135+1)*VLOOKUP($A135,presupuesto!$B:$Q,16,FALSE)&gt;=VLOOKUP($A135,informe!$A:$J,9,FALSE),"cg","c"),"n")</f>
        <v>n</v>
      </c>
      <c r="R135" s="195" t="str">
        <f>IF(AND(R$3&gt;=$D135,R$3&lt;=$E135),IF((R$3-$D135+1)*VLOOKUP($A135,presupuesto!$B:$Q,16,FALSE)&gt;=VLOOKUP($A135,informe!$A:$J,9,FALSE),"cg","c"),"n")</f>
        <v>n</v>
      </c>
      <c r="S135" s="195" t="str">
        <f>IF(AND(S$3&gt;=$D135,S$3&lt;=$E135),IF((S$3-$D135+1)*VLOOKUP($A135,presupuesto!$B:$Q,16,FALSE)&gt;=VLOOKUP($A135,informe!$A:$J,9,FALSE),"cg","c"),"n")</f>
        <v>n</v>
      </c>
      <c r="T135" s="195" t="str">
        <f>IF(AND(T$3&gt;=$D135,T$3&lt;=$E135),IF((T$3-$D135+1)*VLOOKUP($A135,presupuesto!$B:$Q,16,FALSE)&gt;=VLOOKUP($A135,informe!$A:$J,9,FALSE),"cg","c"),"n")</f>
        <v>n</v>
      </c>
      <c r="U135" s="195" t="str">
        <f>IF(AND(U$3&gt;=$D135,U$3&lt;=$E135),IF((U$3-$D135+1)*VLOOKUP($A135,presupuesto!$B:$Q,16,FALSE)&gt;=VLOOKUP($A135,informe!$A:$J,9,FALSE),"cg","c"),"n")</f>
        <v>n</v>
      </c>
      <c r="V135" s="195" t="str">
        <f>IF(AND(V$3&gt;=$D135,V$3&lt;=$E135),IF((V$3-$D135+1)*VLOOKUP($A135,presupuesto!$B:$Q,16,FALSE)&gt;=VLOOKUP($A135,informe!$A:$J,9,FALSE),"cg","c"),"n")</f>
        <v>n</v>
      </c>
      <c r="W135" s="195" t="str">
        <f>IF(AND(W$3&gt;=$D135,W$3&lt;=$E135),IF((W$3-$D135+1)*VLOOKUP($A135,presupuesto!$B:$Q,16,FALSE)&gt;=VLOOKUP($A135,informe!$A:$J,9,FALSE),"cg","c"),"n")</f>
        <v>n</v>
      </c>
      <c r="X135" s="195" t="str">
        <f>IF(AND(X$3&gt;=$D135,X$3&lt;=$E135),IF((X$3-$D135+1)*VLOOKUP($A135,presupuesto!$B:$Q,16,FALSE)&gt;=VLOOKUP($A135,informe!$A:$J,9,FALSE),"cg","c"),"n")</f>
        <v>n</v>
      </c>
      <c r="Y135" s="195" t="str">
        <f>IF(AND(Y$3&gt;=$D135,Y$3&lt;=$E135),IF((Y$3-$D135+1)*VLOOKUP($A135,presupuesto!$B:$Q,16,FALSE)&gt;=VLOOKUP($A135,informe!$A:$J,9,FALSE),"cg","c"),"n")</f>
        <v>n</v>
      </c>
      <c r="Z135" s="195" t="str">
        <f>IF(AND(Z$3&gt;=$D135,Z$3&lt;=$E135),IF((Z$3-$D135+1)*VLOOKUP($A135,presupuesto!$B:$Q,16,FALSE)&gt;=VLOOKUP($A135,informe!$A:$J,9,FALSE),"cg","c"),"n")</f>
        <v>n</v>
      </c>
      <c r="AA135" s="195" t="str">
        <f>IF(AND(AA$3&gt;=$D135,AA$3&lt;=$E135),IF((AA$3-$D135+1)*VLOOKUP($A135,presupuesto!$B:$Q,16,FALSE)&gt;=VLOOKUP($A135,informe!$A:$J,9,FALSE),"cg","c"),"n")</f>
        <v>n</v>
      </c>
      <c r="AB135" s="195" t="str">
        <f>IF(AND(AB$3&gt;=$D135,AB$3&lt;=$E135),IF((AB$3-$D135+1)*VLOOKUP($A135,presupuesto!$B:$Q,16,FALSE)&gt;=VLOOKUP($A135,informe!$A:$J,9,FALSE),"cg","c"),"n")</f>
        <v>n</v>
      </c>
      <c r="AC135" s="195" t="str">
        <f>IF(AND(AC$3&gt;=$D135,AC$3&lt;=$E135),IF((AC$3-$D135+1)*VLOOKUP($A135,presupuesto!$B:$Q,16,FALSE)&gt;=VLOOKUP($A135,informe!$A:$J,9,FALSE),"cg","c"),"n")</f>
        <v>n</v>
      </c>
      <c r="AD135" s="195" t="str">
        <f>IF(AND(AD$3&gt;=$D135,AD$3&lt;=$E135),IF((AD$3-$D135+1)*VLOOKUP($A135,presupuesto!$B:$Q,16,FALSE)&gt;=VLOOKUP($A135,informe!$A:$J,9,FALSE),"cg","c"),"n")</f>
        <v>n</v>
      </c>
      <c r="AE135" s="195" t="str">
        <f>IF(AND(AE$3&gt;=$D135,AE$3&lt;=$E135),IF((AE$3-$D135+1)*VLOOKUP($A135,presupuesto!$B:$Q,16,FALSE)&gt;=VLOOKUP($A135,informe!$A:$J,9,FALSE),"cg","c"),"n")</f>
        <v>n</v>
      </c>
      <c r="AF135" s="195" t="str">
        <f>IF(AND(AF$3&gt;=$D135,AF$3&lt;=$E135),IF((AF$3-$D135+1)*VLOOKUP($A135,presupuesto!$B:$Q,16,FALSE)&gt;=VLOOKUP($A135,informe!$A:$J,9,FALSE),"cg","c"),"n")</f>
        <v>n</v>
      </c>
      <c r="AG135" s="195" t="str">
        <f>IF(AND(AG$3&gt;=$D135,AG$3&lt;=$E135),IF((AG$3-$D135+1)*VLOOKUP($A135,presupuesto!$B:$Q,16,FALSE)&gt;=VLOOKUP($A135,informe!$A:$J,9,FALSE),"cg","c"),"n")</f>
        <v>n</v>
      </c>
      <c r="AH135" s="195" t="str">
        <f>IF(AND(AH$3&gt;=$D135,AH$3&lt;=$E135),IF((AH$3-$D135+1)*VLOOKUP($A135,presupuesto!$B:$Q,16,FALSE)&gt;=VLOOKUP($A135,informe!$A:$J,9,FALSE),"cg","c"),"n")</f>
        <v>n</v>
      </c>
      <c r="AI135" s="195" t="str">
        <f>IF(AND(AI$3&gt;=$D135,AI$3&lt;=$E135),IF((AI$3-$D135+1)*VLOOKUP($A135,presupuesto!$B:$Q,16,FALSE)&gt;=VLOOKUP($A135,informe!$A:$J,9,FALSE),"cg","c"),"n")</f>
        <v>n</v>
      </c>
      <c r="AJ135" s="195" t="str">
        <f>IF(AND(AJ$3&gt;=$D135,AJ$3&lt;=$E135),IF((AJ$3-$D135+1)*VLOOKUP($A135,presupuesto!$B:$Q,16,FALSE)&gt;=VLOOKUP($A135,informe!$A:$J,9,FALSE),"cg","c"),"n")</f>
        <v>n</v>
      </c>
      <c r="AK135" s="196" t="str">
        <f>IF(AND(AK$3&gt;=$D135,AK$3&lt;=$E135),IF((AK$3-$D135+1)*VLOOKUP($A135,presupuesto!$B:$Q,16,FALSE)&gt;=VLOOKUP($A135,informe!$A:$J,9,FALSE),"cg","c"),"n")</f>
        <v>n</v>
      </c>
    </row>
    <row r="136" spans="1:37" x14ac:dyDescent="0.25">
      <c r="A136" s="197">
        <f>presupuesto!B135</f>
        <v>89</v>
      </c>
      <c r="B136" s="182" t="str">
        <f>presupuesto!C135</f>
        <v xml:space="preserve">            Hilo 3"</v>
      </c>
      <c r="C136" s="174" t="str">
        <f>presupuesto!G135</f>
        <v>150 días</v>
      </c>
      <c r="D136" s="177">
        <f>presupuesto!N135</f>
        <v>45740</v>
      </c>
      <c r="E136" s="177">
        <f>presupuesto!O135</f>
        <v>45889</v>
      </c>
      <c r="F136" s="194" t="str">
        <f>IF(AK136="n",CONCATENATE(" - "),IF(AK136="cg",CONCATENATE(" - "),CONCATENATE(ROUND(IFERROR(VLOOKUP(A136,informe!A:J,9,FALSE)/VLOOKUP(A136,informe!A:J,5,FALSE),0)*100,2),"% ")))</f>
        <v xml:space="preserve"> - </v>
      </c>
      <c r="G136" s="195" t="str">
        <f>IF(AND(G$3&gt;=$D136,G$3&lt;=$E136),IF((G$3-$D136+1)*VLOOKUP($A136,presupuesto!$B:$Q,16,FALSE)&gt;=VLOOKUP($A136,informe!$A:$J,9,FALSE),"cg","c"),"n")</f>
        <v>n</v>
      </c>
      <c r="H136" s="195" t="str">
        <f>IF(AND(H$3&gt;=$D136,H$3&lt;=$E136),IF((H$3-$D136+1)*VLOOKUP($A136,presupuesto!$B:$Q,16,FALSE)&gt;=VLOOKUP($A136,informe!$A:$J,9,FALSE),"cg","c"),"n")</f>
        <v>n</v>
      </c>
      <c r="I136" s="195" t="str">
        <f>IF(AND(I$3&gt;=$D136,I$3&lt;=$E136),IF((I$3-$D136+1)*VLOOKUP($A136,presupuesto!$B:$Q,16,FALSE)&gt;=VLOOKUP($A136,informe!$A:$J,9,FALSE),"cg","c"),"n")</f>
        <v>n</v>
      </c>
      <c r="J136" s="195" t="str">
        <f>IF(AND(J$3&gt;=$D136,J$3&lt;=$E136),IF((J$3-$D136+1)*VLOOKUP($A136,presupuesto!$B:$Q,16,FALSE)&gt;=VLOOKUP($A136,informe!$A:$J,9,FALSE),"cg","c"),"n")</f>
        <v>n</v>
      </c>
      <c r="K136" s="195" t="str">
        <f>IF(AND(K$3&gt;=$D136,K$3&lt;=$E136),IF((K$3-$D136+1)*VLOOKUP($A136,presupuesto!$B:$Q,16,FALSE)&gt;=VLOOKUP($A136,informe!$A:$J,9,FALSE),"cg","c"),"n")</f>
        <v>n</v>
      </c>
      <c r="L136" s="195" t="str">
        <f>IF(AND(L$3&gt;=$D136,L$3&lt;=$E136),IF((L$3-$D136+1)*VLOOKUP($A136,presupuesto!$B:$Q,16,FALSE)&gt;=VLOOKUP($A136,informe!$A:$J,9,FALSE),"cg","c"),"n")</f>
        <v>n</v>
      </c>
      <c r="M136" s="195" t="str">
        <f>IF(AND(M$3&gt;=$D136,M$3&lt;=$E136),IF((M$3-$D136+1)*VLOOKUP($A136,presupuesto!$B:$Q,16,FALSE)&gt;=VLOOKUP($A136,informe!$A:$J,9,FALSE),"cg","c"),"n")</f>
        <v>n</v>
      </c>
      <c r="N136" s="195" t="str">
        <f>IF(AND(N$3&gt;=$D136,N$3&lt;=$E136),IF((N$3-$D136+1)*VLOOKUP($A136,presupuesto!$B:$Q,16,FALSE)&gt;=VLOOKUP($A136,informe!$A:$J,9,FALSE),"cg","c"),"n")</f>
        <v>n</v>
      </c>
      <c r="O136" s="195" t="str">
        <f>IF(AND(O$3&gt;=$D136,O$3&lt;=$E136),IF((O$3-$D136+1)*VLOOKUP($A136,presupuesto!$B:$Q,16,FALSE)&gt;=VLOOKUP($A136,informe!$A:$J,9,FALSE),"cg","c"),"n")</f>
        <v>n</v>
      </c>
      <c r="P136" s="195" t="str">
        <f>IF(AND(P$3&gt;=$D136,P$3&lt;=$E136),IF((P$3-$D136+1)*VLOOKUP($A136,presupuesto!$B:$Q,16,FALSE)&gt;=VLOOKUP($A136,informe!$A:$J,9,FALSE),"cg","c"),"n")</f>
        <v>n</v>
      </c>
      <c r="Q136" s="195" t="str">
        <f>IF(AND(Q$3&gt;=$D136,Q$3&lt;=$E136),IF((Q$3-$D136+1)*VLOOKUP($A136,presupuesto!$B:$Q,16,FALSE)&gt;=VLOOKUP($A136,informe!$A:$J,9,FALSE),"cg","c"),"n")</f>
        <v>n</v>
      </c>
      <c r="R136" s="195" t="str">
        <f>IF(AND(R$3&gt;=$D136,R$3&lt;=$E136),IF((R$3-$D136+1)*VLOOKUP($A136,presupuesto!$B:$Q,16,FALSE)&gt;=VLOOKUP($A136,informe!$A:$J,9,FALSE),"cg","c"),"n")</f>
        <v>n</v>
      </c>
      <c r="S136" s="195" t="str">
        <f>IF(AND(S$3&gt;=$D136,S$3&lt;=$E136),IF((S$3-$D136+1)*VLOOKUP($A136,presupuesto!$B:$Q,16,FALSE)&gt;=VLOOKUP($A136,informe!$A:$J,9,FALSE),"cg","c"),"n")</f>
        <v>n</v>
      </c>
      <c r="T136" s="195" t="str">
        <f>IF(AND(T$3&gt;=$D136,T$3&lt;=$E136),IF((T$3-$D136+1)*VLOOKUP($A136,presupuesto!$B:$Q,16,FALSE)&gt;=VLOOKUP($A136,informe!$A:$J,9,FALSE),"cg","c"),"n")</f>
        <v>n</v>
      </c>
      <c r="U136" s="195" t="str">
        <f>IF(AND(U$3&gt;=$D136,U$3&lt;=$E136),IF((U$3-$D136+1)*VLOOKUP($A136,presupuesto!$B:$Q,16,FALSE)&gt;=VLOOKUP($A136,informe!$A:$J,9,FALSE),"cg","c"),"n")</f>
        <v>n</v>
      </c>
      <c r="V136" s="195" t="str">
        <f>IF(AND(V$3&gt;=$D136,V$3&lt;=$E136),IF((V$3-$D136+1)*VLOOKUP($A136,presupuesto!$B:$Q,16,FALSE)&gt;=VLOOKUP($A136,informe!$A:$J,9,FALSE),"cg","c"),"n")</f>
        <v>n</v>
      </c>
      <c r="W136" s="195" t="str">
        <f>IF(AND(W$3&gt;=$D136,W$3&lt;=$E136),IF((W$3-$D136+1)*VLOOKUP($A136,presupuesto!$B:$Q,16,FALSE)&gt;=VLOOKUP($A136,informe!$A:$J,9,FALSE),"cg","c"),"n")</f>
        <v>n</v>
      </c>
      <c r="X136" s="195" t="str">
        <f>IF(AND(X$3&gt;=$D136,X$3&lt;=$E136),IF((X$3-$D136+1)*VLOOKUP($A136,presupuesto!$B:$Q,16,FALSE)&gt;=VLOOKUP($A136,informe!$A:$J,9,FALSE),"cg","c"),"n")</f>
        <v>n</v>
      </c>
      <c r="Y136" s="195" t="str">
        <f>IF(AND(Y$3&gt;=$D136,Y$3&lt;=$E136),IF((Y$3-$D136+1)*VLOOKUP($A136,presupuesto!$B:$Q,16,FALSE)&gt;=VLOOKUP($A136,informe!$A:$J,9,FALSE),"cg","c"),"n")</f>
        <v>n</v>
      </c>
      <c r="Z136" s="195" t="str">
        <f>IF(AND(Z$3&gt;=$D136,Z$3&lt;=$E136),IF((Z$3-$D136+1)*VLOOKUP($A136,presupuesto!$B:$Q,16,FALSE)&gt;=VLOOKUP($A136,informe!$A:$J,9,FALSE),"cg","c"),"n")</f>
        <v>n</v>
      </c>
      <c r="AA136" s="195" t="str">
        <f>IF(AND(AA$3&gt;=$D136,AA$3&lt;=$E136),IF((AA$3-$D136+1)*VLOOKUP($A136,presupuesto!$B:$Q,16,FALSE)&gt;=VLOOKUP($A136,informe!$A:$J,9,FALSE),"cg","c"),"n")</f>
        <v>n</v>
      </c>
      <c r="AB136" s="195" t="str">
        <f>IF(AND(AB$3&gt;=$D136,AB$3&lt;=$E136),IF((AB$3-$D136+1)*VLOOKUP($A136,presupuesto!$B:$Q,16,FALSE)&gt;=VLOOKUP($A136,informe!$A:$J,9,FALSE),"cg","c"),"n")</f>
        <v>n</v>
      </c>
      <c r="AC136" s="195" t="str">
        <f>IF(AND(AC$3&gt;=$D136,AC$3&lt;=$E136),IF((AC$3-$D136+1)*VLOOKUP($A136,presupuesto!$B:$Q,16,FALSE)&gt;=VLOOKUP($A136,informe!$A:$J,9,FALSE),"cg","c"),"n")</f>
        <v>n</v>
      </c>
      <c r="AD136" s="195" t="str">
        <f>IF(AND(AD$3&gt;=$D136,AD$3&lt;=$E136),IF((AD$3-$D136+1)*VLOOKUP($A136,presupuesto!$B:$Q,16,FALSE)&gt;=VLOOKUP($A136,informe!$A:$J,9,FALSE),"cg","c"),"n")</f>
        <v>n</v>
      </c>
      <c r="AE136" s="195" t="str">
        <f>IF(AND(AE$3&gt;=$D136,AE$3&lt;=$E136),IF((AE$3-$D136+1)*VLOOKUP($A136,presupuesto!$B:$Q,16,FALSE)&gt;=VLOOKUP($A136,informe!$A:$J,9,FALSE),"cg","c"),"n")</f>
        <v>n</v>
      </c>
      <c r="AF136" s="195" t="str">
        <f>IF(AND(AF$3&gt;=$D136,AF$3&lt;=$E136),IF((AF$3-$D136+1)*VLOOKUP($A136,presupuesto!$B:$Q,16,FALSE)&gt;=VLOOKUP($A136,informe!$A:$J,9,FALSE),"cg","c"),"n")</f>
        <v>n</v>
      </c>
      <c r="AG136" s="195" t="str">
        <f>IF(AND(AG$3&gt;=$D136,AG$3&lt;=$E136),IF((AG$3-$D136+1)*VLOOKUP($A136,presupuesto!$B:$Q,16,FALSE)&gt;=VLOOKUP($A136,informe!$A:$J,9,FALSE),"cg","c"),"n")</f>
        <v>n</v>
      </c>
      <c r="AH136" s="195" t="str">
        <f>IF(AND(AH$3&gt;=$D136,AH$3&lt;=$E136),IF((AH$3-$D136+1)*VLOOKUP($A136,presupuesto!$B:$Q,16,FALSE)&gt;=VLOOKUP($A136,informe!$A:$J,9,FALSE),"cg","c"),"n")</f>
        <v>n</v>
      </c>
      <c r="AI136" s="195" t="str">
        <f>IF(AND(AI$3&gt;=$D136,AI$3&lt;=$E136),IF((AI$3-$D136+1)*VLOOKUP($A136,presupuesto!$B:$Q,16,FALSE)&gt;=VLOOKUP($A136,informe!$A:$J,9,FALSE),"cg","c"),"n")</f>
        <v>n</v>
      </c>
      <c r="AJ136" s="195" t="str">
        <f>IF(AND(AJ$3&gt;=$D136,AJ$3&lt;=$E136),IF((AJ$3-$D136+1)*VLOOKUP($A136,presupuesto!$B:$Q,16,FALSE)&gt;=VLOOKUP($A136,informe!$A:$J,9,FALSE),"cg","c"),"n")</f>
        <v>n</v>
      </c>
      <c r="AK136" s="196" t="str">
        <f>IF(AND(AK$3&gt;=$D136,AK$3&lt;=$E136),IF((AK$3-$D136+1)*VLOOKUP($A136,presupuesto!$B:$Q,16,FALSE)&gt;=VLOOKUP($A136,informe!$A:$J,9,FALSE),"cg","c"),"n")</f>
        <v>n</v>
      </c>
    </row>
    <row r="137" spans="1:37" ht="13" x14ac:dyDescent="0.3">
      <c r="A137" s="197" t="str">
        <f>presupuesto!B136</f>
        <v>C.-</v>
      </c>
      <c r="B137" s="181" t="str">
        <f>presupuesto!C136</f>
        <v xml:space="preserve">      ARRANQUES DOMICILIARIOS</v>
      </c>
      <c r="C137" s="174" t="str">
        <f>presupuesto!G136</f>
        <v>275 días</v>
      </c>
      <c r="D137" s="177">
        <f>presupuesto!N136</f>
        <v>45630</v>
      </c>
      <c r="E137" s="177">
        <f>presupuesto!O136</f>
        <v>45905</v>
      </c>
      <c r="F137" s="194" t="str">
        <f>IF(AK137="n",CONCATENATE(" - "),IF(AK137="cg",CONCATENATE(" - "),CONCATENATE(ROUND(IFERROR(VLOOKUP(A137,informe!A:J,9,FALSE)/VLOOKUP(A137,informe!A:J,5,FALSE),0)*100,2),"% ")))</f>
        <v xml:space="preserve"> - </v>
      </c>
      <c r="G137" s="195" t="str">
        <f>IF(AND(G$3&gt;=$D137,G$3&lt;=$E137),IF((G$3-$D137+1)*VLOOKUP($A137,presupuesto!$B:$Q,16,FALSE)&gt;=VLOOKUP($A137,informe!$A:$J,9,FALSE),"cg","c"),"n")</f>
        <v>n</v>
      </c>
      <c r="H137" s="195" t="str">
        <f>IF(AND(H$3&gt;=$D137,H$3&lt;=$E137),IF((H$3-$D137+1)*VLOOKUP($A137,presupuesto!$B:$Q,16,FALSE)&gt;=VLOOKUP($A137,informe!$A:$J,9,FALSE),"cg","c"),"n")</f>
        <v>n</v>
      </c>
      <c r="I137" s="195" t="str">
        <f>IF(AND(I$3&gt;=$D137,I$3&lt;=$E137),IF((I$3-$D137+1)*VLOOKUP($A137,presupuesto!$B:$Q,16,FALSE)&gt;=VLOOKUP($A137,informe!$A:$J,9,FALSE),"cg","c"),"n")</f>
        <v>n</v>
      </c>
      <c r="J137" s="195" t="str">
        <f>IF(AND(J$3&gt;=$D137,J$3&lt;=$E137),IF((J$3-$D137+1)*VLOOKUP($A137,presupuesto!$B:$Q,16,FALSE)&gt;=VLOOKUP($A137,informe!$A:$J,9,FALSE),"cg","c"),"n")</f>
        <v>cg</v>
      </c>
      <c r="K137" s="195" t="str">
        <f>IF(AND(K$3&gt;=$D137,K$3&lt;=$E137),IF((K$3-$D137+1)*VLOOKUP($A137,presupuesto!$B:$Q,16,FALSE)&gt;=VLOOKUP($A137,informe!$A:$J,9,FALSE),"cg","c"),"n")</f>
        <v>cg</v>
      </c>
      <c r="L137" s="195" t="str">
        <f>IF(AND(L$3&gt;=$D137,L$3&lt;=$E137),IF((L$3-$D137+1)*VLOOKUP($A137,presupuesto!$B:$Q,16,FALSE)&gt;=VLOOKUP($A137,informe!$A:$J,9,FALSE),"cg","c"),"n")</f>
        <v>cg</v>
      </c>
      <c r="M137" s="195" t="str">
        <f>IF(AND(M$3&gt;=$D137,M$3&lt;=$E137),IF((M$3-$D137+1)*VLOOKUP($A137,presupuesto!$B:$Q,16,FALSE)&gt;=VLOOKUP($A137,informe!$A:$J,9,FALSE),"cg","c"),"n")</f>
        <v>cg</v>
      </c>
      <c r="N137" s="195" t="str">
        <f>IF(AND(N$3&gt;=$D137,N$3&lt;=$E137),IF((N$3-$D137+1)*VLOOKUP($A137,presupuesto!$B:$Q,16,FALSE)&gt;=VLOOKUP($A137,informe!$A:$J,9,FALSE),"cg","c"),"n")</f>
        <v>cg</v>
      </c>
      <c r="O137" s="195" t="str">
        <f>IF(AND(O$3&gt;=$D137,O$3&lt;=$E137),IF((O$3-$D137+1)*VLOOKUP($A137,presupuesto!$B:$Q,16,FALSE)&gt;=VLOOKUP($A137,informe!$A:$J,9,FALSE),"cg","c"),"n")</f>
        <v>cg</v>
      </c>
      <c r="P137" s="195" t="str">
        <f>IF(AND(P$3&gt;=$D137,P$3&lt;=$E137),IF((P$3-$D137+1)*VLOOKUP($A137,presupuesto!$B:$Q,16,FALSE)&gt;=VLOOKUP($A137,informe!$A:$J,9,FALSE),"cg","c"),"n")</f>
        <v>cg</v>
      </c>
      <c r="Q137" s="195" t="str">
        <f>IF(AND(Q$3&gt;=$D137,Q$3&lt;=$E137),IF((Q$3-$D137+1)*VLOOKUP($A137,presupuesto!$B:$Q,16,FALSE)&gt;=VLOOKUP($A137,informe!$A:$J,9,FALSE),"cg","c"),"n")</f>
        <v>cg</v>
      </c>
      <c r="R137" s="195" t="str">
        <f>IF(AND(R$3&gt;=$D137,R$3&lt;=$E137),IF((R$3-$D137+1)*VLOOKUP($A137,presupuesto!$B:$Q,16,FALSE)&gt;=VLOOKUP($A137,informe!$A:$J,9,FALSE),"cg","c"),"n")</f>
        <v>cg</v>
      </c>
      <c r="S137" s="195" t="str">
        <f>IF(AND(S$3&gt;=$D137,S$3&lt;=$E137),IF((S$3-$D137+1)*VLOOKUP($A137,presupuesto!$B:$Q,16,FALSE)&gt;=VLOOKUP($A137,informe!$A:$J,9,FALSE),"cg","c"),"n")</f>
        <v>cg</v>
      </c>
      <c r="T137" s="195" t="str">
        <f>IF(AND(T$3&gt;=$D137,T$3&lt;=$E137),IF((T$3-$D137+1)*VLOOKUP($A137,presupuesto!$B:$Q,16,FALSE)&gt;=VLOOKUP($A137,informe!$A:$J,9,FALSE),"cg","c"),"n")</f>
        <v>cg</v>
      </c>
      <c r="U137" s="195" t="str">
        <f>IF(AND(U$3&gt;=$D137,U$3&lt;=$E137),IF((U$3-$D137+1)*VLOOKUP($A137,presupuesto!$B:$Q,16,FALSE)&gt;=VLOOKUP($A137,informe!$A:$J,9,FALSE),"cg","c"),"n")</f>
        <v>cg</v>
      </c>
      <c r="V137" s="195" t="str">
        <f>IF(AND(V$3&gt;=$D137,V$3&lt;=$E137),IF((V$3-$D137+1)*VLOOKUP($A137,presupuesto!$B:$Q,16,FALSE)&gt;=VLOOKUP($A137,informe!$A:$J,9,FALSE),"cg","c"),"n")</f>
        <v>cg</v>
      </c>
      <c r="W137" s="195" t="str">
        <f>IF(AND(W$3&gt;=$D137,W$3&lt;=$E137),IF((W$3-$D137+1)*VLOOKUP($A137,presupuesto!$B:$Q,16,FALSE)&gt;=VLOOKUP($A137,informe!$A:$J,9,FALSE),"cg","c"),"n")</f>
        <v>cg</v>
      </c>
      <c r="X137" s="195" t="str">
        <f>IF(AND(X$3&gt;=$D137,X$3&lt;=$E137),IF((X$3-$D137+1)*VLOOKUP($A137,presupuesto!$B:$Q,16,FALSE)&gt;=VLOOKUP($A137,informe!$A:$J,9,FALSE),"cg","c"),"n")</f>
        <v>cg</v>
      </c>
      <c r="Y137" s="195" t="str">
        <f>IF(AND(Y$3&gt;=$D137,Y$3&lt;=$E137),IF((Y$3-$D137+1)*VLOOKUP($A137,presupuesto!$B:$Q,16,FALSE)&gt;=VLOOKUP($A137,informe!$A:$J,9,FALSE),"cg","c"),"n")</f>
        <v>cg</v>
      </c>
      <c r="Z137" s="195" t="str">
        <f>IF(AND(Z$3&gt;=$D137,Z$3&lt;=$E137),IF((Z$3-$D137+1)*VLOOKUP($A137,presupuesto!$B:$Q,16,FALSE)&gt;=VLOOKUP($A137,informe!$A:$J,9,FALSE),"cg","c"),"n")</f>
        <v>cg</v>
      </c>
      <c r="AA137" s="195" t="str">
        <f>IF(AND(AA$3&gt;=$D137,AA$3&lt;=$E137),IF((AA$3-$D137+1)*VLOOKUP($A137,presupuesto!$B:$Q,16,FALSE)&gt;=VLOOKUP($A137,informe!$A:$J,9,FALSE),"cg","c"),"n")</f>
        <v>cg</v>
      </c>
      <c r="AB137" s="195" t="str">
        <f>IF(AND(AB$3&gt;=$D137,AB$3&lt;=$E137),IF((AB$3-$D137+1)*VLOOKUP($A137,presupuesto!$B:$Q,16,FALSE)&gt;=VLOOKUP($A137,informe!$A:$J,9,FALSE),"cg","c"),"n")</f>
        <v>cg</v>
      </c>
      <c r="AC137" s="195" t="str">
        <f>IF(AND(AC$3&gt;=$D137,AC$3&lt;=$E137),IF((AC$3-$D137+1)*VLOOKUP($A137,presupuesto!$B:$Q,16,FALSE)&gt;=VLOOKUP($A137,informe!$A:$J,9,FALSE),"cg","c"),"n")</f>
        <v>cg</v>
      </c>
      <c r="AD137" s="195" t="str">
        <f>IF(AND(AD$3&gt;=$D137,AD$3&lt;=$E137),IF((AD$3-$D137+1)*VLOOKUP($A137,presupuesto!$B:$Q,16,FALSE)&gt;=VLOOKUP($A137,informe!$A:$J,9,FALSE),"cg","c"),"n")</f>
        <v>cg</v>
      </c>
      <c r="AE137" s="195" t="str">
        <f>IF(AND(AE$3&gt;=$D137,AE$3&lt;=$E137),IF((AE$3-$D137+1)*VLOOKUP($A137,presupuesto!$B:$Q,16,FALSE)&gt;=VLOOKUP($A137,informe!$A:$J,9,FALSE),"cg","c"),"n")</f>
        <v>cg</v>
      </c>
      <c r="AF137" s="195" t="str">
        <f>IF(AND(AF$3&gt;=$D137,AF$3&lt;=$E137),IF((AF$3-$D137+1)*VLOOKUP($A137,presupuesto!$B:$Q,16,FALSE)&gt;=VLOOKUP($A137,informe!$A:$J,9,FALSE),"cg","c"),"n")</f>
        <v>cg</v>
      </c>
      <c r="AG137" s="195" t="str">
        <f>IF(AND(AG$3&gt;=$D137,AG$3&lt;=$E137),IF((AG$3-$D137+1)*VLOOKUP($A137,presupuesto!$B:$Q,16,FALSE)&gt;=VLOOKUP($A137,informe!$A:$J,9,FALSE),"cg","c"),"n")</f>
        <v>cg</v>
      </c>
      <c r="AH137" s="195" t="str">
        <f>IF(AND(AH$3&gt;=$D137,AH$3&lt;=$E137),IF((AH$3-$D137+1)*VLOOKUP($A137,presupuesto!$B:$Q,16,FALSE)&gt;=VLOOKUP($A137,informe!$A:$J,9,FALSE),"cg","c"),"n")</f>
        <v>cg</v>
      </c>
      <c r="AI137" s="195" t="str">
        <f>IF(AND(AI$3&gt;=$D137,AI$3&lt;=$E137),IF((AI$3-$D137+1)*VLOOKUP($A137,presupuesto!$B:$Q,16,FALSE)&gt;=VLOOKUP($A137,informe!$A:$J,9,FALSE),"cg","c"),"n")</f>
        <v>cg</v>
      </c>
      <c r="AJ137" s="195" t="str">
        <f>IF(AND(AJ$3&gt;=$D137,AJ$3&lt;=$E137),IF((AJ$3-$D137+1)*VLOOKUP($A137,presupuesto!$B:$Q,16,FALSE)&gt;=VLOOKUP($A137,informe!$A:$J,9,FALSE),"cg","c"),"n")</f>
        <v>cg</v>
      </c>
      <c r="AK137" s="196" t="str">
        <f>IF(AND(AK$3&gt;=$D137,AK$3&lt;=$E137),IF((AK$3-$D137+1)*VLOOKUP($A137,presupuesto!$B:$Q,16,FALSE)&gt;=VLOOKUP($A137,informe!$A:$J,9,FALSE),"cg","c"),"n")</f>
        <v>cg</v>
      </c>
    </row>
    <row r="138" spans="1:37" ht="13" x14ac:dyDescent="0.25">
      <c r="A138" s="193">
        <f>presupuesto!B137</f>
        <v>90</v>
      </c>
      <c r="B138" s="182" t="str">
        <f>presupuesto!C137</f>
        <v xml:space="preserve">         Arranque domiciliario 0-20 m ½” C/ medidor</v>
      </c>
      <c r="C138" s="173" t="str">
        <f>presupuesto!G137</f>
        <v>230 días</v>
      </c>
      <c r="D138" s="176">
        <f>presupuesto!N137</f>
        <v>45630</v>
      </c>
      <c r="E138" s="176">
        <f>presupuesto!O137</f>
        <v>45859</v>
      </c>
      <c r="F138" s="194" t="str">
        <f>IF(AK138="n",CONCATENATE(" - "),IF(AK138="cg",CONCATENATE(" - "),CONCATENATE(ROUND(IFERROR(VLOOKUP(A138,informe!A:J,9,FALSE)/VLOOKUP(A138,informe!A:J,5,FALSE),0)*100,2),"% ")))</f>
        <v xml:space="preserve"> - </v>
      </c>
      <c r="G138" s="195" t="str">
        <f>IF(AND(G$3&gt;=$D138,G$3&lt;=$E138),IF((G$3-$D138+1)*VLOOKUP($A138,presupuesto!$B:$Q,16,FALSE)&gt;=VLOOKUP($A138,informe!$A:$J,9,FALSE),"cg","c"),"n")</f>
        <v>n</v>
      </c>
      <c r="H138" s="195" t="str">
        <f>IF(AND(H$3&gt;=$D138,H$3&lt;=$E138),IF((H$3-$D138+1)*VLOOKUP($A138,presupuesto!$B:$Q,16,FALSE)&gt;=VLOOKUP($A138,informe!$A:$J,9,FALSE),"cg","c"),"n")</f>
        <v>n</v>
      </c>
      <c r="I138" s="195" t="str">
        <f>IF(AND(I$3&gt;=$D138,I$3&lt;=$E138),IF((I$3-$D138+1)*VLOOKUP($A138,presupuesto!$B:$Q,16,FALSE)&gt;=VLOOKUP($A138,informe!$A:$J,9,FALSE),"cg","c"),"n")</f>
        <v>n</v>
      </c>
      <c r="J138" s="195" t="str">
        <f>IF(AND(J$3&gt;=$D138,J$3&lt;=$E138),IF((J$3-$D138+1)*VLOOKUP($A138,presupuesto!$B:$Q,16,FALSE)&gt;=VLOOKUP($A138,informe!$A:$J,9,FALSE),"cg","c"),"n")</f>
        <v>cg</v>
      </c>
      <c r="K138" s="195" t="str">
        <f>IF(AND(K$3&gt;=$D138,K$3&lt;=$E138),IF((K$3-$D138+1)*VLOOKUP($A138,presupuesto!$B:$Q,16,FALSE)&gt;=VLOOKUP($A138,informe!$A:$J,9,FALSE),"cg","c"),"n")</f>
        <v>cg</v>
      </c>
      <c r="L138" s="195" t="str">
        <f>IF(AND(L$3&gt;=$D138,L$3&lt;=$E138),IF((L$3-$D138+1)*VLOOKUP($A138,presupuesto!$B:$Q,16,FALSE)&gt;=VLOOKUP($A138,informe!$A:$J,9,FALSE),"cg","c"),"n")</f>
        <v>cg</v>
      </c>
      <c r="M138" s="195" t="str">
        <f>IF(AND(M$3&gt;=$D138,M$3&lt;=$E138),IF((M$3-$D138+1)*VLOOKUP($A138,presupuesto!$B:$Q,16,FALSE)&gt;=VLOOKUP($A138,informe!$A:$J,9,FALSE),"cg","c"),"n")</f>
        <v>cg</v>
      </c>
      <c r="N138" s="195" t="str">
        <f>IF(AND(N$3&gt;=$D138,N$3&lt;=$E138),IF((N$3-$D138+1)*VLOOKUP($A138,presupuesto!$B:$Q,16,FALSE)&gt;=VLOOKUP($A138,informe!$A:$J,9,FALSE),"cg","c"),"n")</f>
        <v>cg</v>
      </c>
      <c r="O138" s="195" t="str">
        <f>IF(AND(O$3&gt;=$D138,O$3&lt;=$E138),IF((O$3-$D138+1)*VLOOKUP($A138,presupuesto!$B:$Q,16,FALSE)&gt;=VLOOKUP($A138,informe!$A:$J,9,FALSE),"cg","c"),"n")</f>
        <v>cg</v>
      </c>
      <c r="P138" s="195" t="str">
        <f>IF(AND(P$3&gt;=$D138,P$3&lt;=$E138),IF((P$3-$D138+1)*VLOOKUP($A138,presupuesto!$B:$Q,16,FALSE)&gt;=VLOOKUP($A138,informe!$A:$J,9,FALSE),"cg","c"),"n")</f>
        <v>cg</v>
      </c>
      <c r="Q138" s="195" t="str">
        <f>IF(AND(Q$3&gt;=$D138,Q$3&lt;=$E138),IF((Q$3-$D138+1)*VLOOKUP($A138,presupuesto!$B:$Q,16,FALSE)&gt;=VLOOKUP($A138,informe!$A:$J,9,FALSE),"cg","c"),"n")</f>
        <v>cg</v>
      </c>
      <c r="R138" s="195" t="str">
        <f>IF(AND(R$3&gt;=$D138,R$3&lt;=$E138),IF((R$3-$D138+1)*VLOOKUP($A138,presupuesto!$B:$Q,16,FALSE)&gt;=VLOOKUP($A138,informe!$A:$J,9,FALSE),"cg","c"),"n")</f>
        <v>cg</v>
      </c>
      <c r="S138" s="195" t="str">
        <f>IF(AND(S$3&gt;=$D138,S$3&lt;=$E138),IF((S$3-$D138+1)*VLOOKUP($A138,presupuesto!$B:$Q,16,FALSE)&gt;=VLOOKUP($A138,informe!$A:$J,9,FALSE),"cg","c"),"n")</f>
        <v>cg</v>
      </c>
      <c r="T138" s="195" t="str">
        <f>IF(AND(T$3&gt;=$D138,T$3&lt;=$E138),IF((T$3-$D138+1)*VLOOKUP($A138,presupuesto!$B:$Q,16,FALSE)&gt;=VLOOKUP($A138,informe!$A:$J,9,FALSE),"cg","c"),"n")</f>
        <v>cg</v>
      </c>
      <c r="U138" s="195" t="str">
        <f>IF(AND(U$3&gt;=$D138,U$3&lt;=$E138),IF((U$3-$D138+1)*VLOOKUP($A138,presupuesto!$B:$Q,16,FALSE)&gt;=VLOOKUP($A138,informe!$A:$J,9,FALSE),"cg","c"),"n")</f>
        <v>cg</v>
      </c>
      <c r="V138" s="195" t="str">
        <f>IF(AND(V$3&gt;=$D138,V$3&lt;=$E138),IF((V$3-$D138+1)*VLOOKUP($A138,presupuesto!$B:$Q,16,FALSE)&gt;=VLOOKUP($A138,informe!$A:$J,9,FALSE),"cg","c"),"n")</f>
        <v>cg</v>
      </c>
      <c r="W138" s="195" t="str">
        <f>IF(AND(W$3&gt;=$D138,W$3&lt;=$E138),IF((W$3-$D138+1)*VLOOKUP($A138,presupuesto!$B:$Q,16,FALSE)&gt;=VLOOKUP($A138,informe!$A:$J,9,FALSE),"cg","c"),"n")</f>
        <v>cg</v>
      </c>
      <c r="X138" s="195" t="str">
        <f>IF(AND(X$3&gt;=$D138,X$3&lt;=$E138),IF((X$3-$D138+1)*VLOOKUP($A138,presupuesto!$B:$Q,16,FALSE)&gt;=VLOOKUP($A138,informe!$A:$J,9,FALSE),"cg","c"),"n")</f>
        <v>cg</v>
      </c>
      <c r="Y138" s="195" t="str">
        <f>IF(AND(Y$3&gt;=$D138,Y$3&lt;=$E138),IF((Y$3-$D138+1)*VLOOKUP($A138,presupuesto!$B:$Q,16,FALSE)&gt;=VLOOKUP($A138,informe!$A:$J,9,FALSE),"cg","c"),"n")</f>
        <v>cg</v>
      </c>
      <c r="Z138" s="195" t="str">
        <f>IF(AND(Z$3&gt;=$D138,Z$3&lt;=$E138),IF((Z$3-$D138+1)*VLOOKUP($A138,presupuesto!$B:$Q,16,FALSE)&gt;=VLOOKUP($A138,informe!$A:$J,9,FALSE),"cg","c"),"n")</f>
        <v>cg</v>
      </c>
      <c r="AA138" s="195" t="str">
        <f>IF(AND(AA$3&gt;=$D138,AA$3&lt;=$E138),IF((AA$3-$D138+1)*VLOOKUP($A138,presupuesto!$B:$Q,16,FALSE)&gt;=VLOOKUP($A138,informe!$A:$J,9,FALSE),"cg","c"),"n")</f>
        <v>cg</v>
      </c>
      <c r="AB138" s="195" t="str">
        <f>IF(AND(AB$3&gt;=$D138,AB$3&lt;=$E138),IF((AB$3-$D138+1)*VLOOKUP($A138,presupuesto!$B:$Q,16,FALSE)&gt;=VLOOKUP($A138,informe!$A:$J,9,FALSE),"cg","c"),"n")</f>
        <v>cg</v>
      </c>
      <c r="AC138" s="195" t="str">
        <f>IF(AND(AC$3&gt;=$D138,AC$3&lt;=$E138),IF((AC$3-$D138+1)*VLOOKUP($A138,presupuesto!$B:$Q,16,FALSE)&gt;=VLOOKUP($A138,informe!$A:$J,9,FALSE),"cg","c"),"n")</f>
        <v>cg</v>
      </c>
      <c r="AD138" s="195" t="str">
        <f>IF(AND(AD$3&gt;=$D138,AD$3&lt;=$E138),IF((AD$3-$D138+1)*VLOOKUP($A138,presupuesto!$B:$Q,16,FALSE)&gt;=VLOOKUP($A138,informe!$A:$J,9,FALSE),"cg","c"),"n")</f>
        <v>cg</v>
      </c>
      <c r="AE138" s="195" t="str">
        <f>IF(AND(AE$3&gt;=$D138,AE$3&lt;=$E138),IF((AE$3-$D138+1)*VLOOKUP($A138,presupuesto!$B:$Q,16,FALSE)&gt;=VLOOKUP($A138,informe!$A:$J,9,FALSE),"cg","c"),"n")</f>
        <v>cg</v>
      </c>
      <c r="AF138" s="195" t="str">
        <f>IF(AND(AF$3&gt;=$D138,AF$3&lt;=$E138),IF((AF$3-$D138+1)*VLOOKUP($A138,presupuesto!$B:$Q,16,FALSE)&gt;=VLOOKUP($A138,informe!$A:$J,9,FALSE),"cg","c"),"n")</f>
        <v>cg</v>
      </c>
      <c r="AG138" s="195" t="str">
        <f>IF(AND(AG$3&gt;=$D138,AG$3&lt;=$E138),IF((AG$3-$D138+1)*VLOOKUP($A138,presupuesto!$B:$Q,16,FALSE)&gt;=VLOOKUP($A138,informe!$A:$J,9,FALSE),"cg","c"),"n")</f>
        <v>cg</v>
      </c>
      <c r="AH138" s="195" t="str">
        <f>IF(AND(AH$3&gt;=$D138,AH$3&lt;=$E138),IF((AH$3-$D138+1)*VLOOKUP($A138,presupuesto!$B:$Q,16,FALSE)&gt;=VLOOKUP($A138,informe!$A:$J,9,FALSE),"cg","c"),"n")</f>
        <v>cg</v>
      </c>
      <c r="AI138" s="195" t="str">
        <f>IF(AND(AI$3&gt;=$D138,AI$3&lt;=$E138),IF((AI$3-$D138+1)*VLOOKUP($A138,presupuesto!$B:$Q,16,FALSE)&gt;=VLOOKUP($A138,informe!$A:$J,9,FALSE),"cg","c"),"n")</f>
        <v>cg</v>
      </c>
      <c r="AJ138" s="195" t="str">
        <f>IF(AND(AJ$3&gt;=$D138,AJ$3&lt;=$E138),IF((AJ$3-$D138+1)*VLOOKUP($A138,presupuesto!$B:$Q,16,FALSE)&gt;=VLOOKUP($A138,informe!$A:$J,9,FALSE),"cg","c"),"n")</f>
        <v>cg</v>
      </c>
      <c r="AK138" s="196" t="str">
        <f>IF(AND(AK$3&gt;=$D138,AK$3&lt;=$E138),IF((AK$3-$D138+1)*VLOOKUP($A138,presupuesto!$B:$Q,16,FALSE)&gt;=VLOOKUP($A138,informe!$A:$J,9,FALSE),"cg","c"),"n")</f>
        <v>cg</v>
      </c>
    </row>
    <row r="139" spans="1:37" x14ac:dyDescent="0.25">
      <c r="A139" s="197">
        <f>presupuesto!B138</f>
        <v>91</v>
      </c>
      <c r="B139" s="182" t="str">
        <f>presupuesto!C138</f>
        <v xml:space="preserve">         Arranque domiciliario con atravieso encamisado 0-20 m ½” C/ medidor</v>
      </c>
      <c r="C139" s="174" t="str">
        <f>presupuesto!G138</f>
        <v>30 días</v>
      </c>
      <c r="D139" s="177">
        <f>presupuesto!N138</f>
        <v>45860</v>
      </c>
      <c r="E139" s="177">
        <f>presupuesto!O138</f>
        <v>45889</v>
      </c>
      <c r="F139" s="194" t="str">
        <f>IF(AK139="n",CONCATENATE(" - "),IF(AK139="cg",CONCATENATE(" - "),CONCATENATE(ROUND(IFERROR(VLOOKUP(A139,informe!A:J,9,FALSE)/VLOOKUP(A139,informe!A:J,5,FALSE),0)*100,2),"% ")))</f>
        <v xml:space="preserve"> - </v>
      </c>
      <c r="G139" s="195" t="str">
        <f>IF(AND(G$3&gt;=$D139,G$3&lt;=$E139),IF((G$3-$D139+1)*VLOOKUP($A139,presupuesto!$B:$Q,16,FALSE)&gt;=VLOOKUP($A139,informe!$A:$J,9,FALSE),"cg","c"),"n")</f>
        <v>n</v>
      </c>
      <c r="H139" s="195" t="str">
        <f>IF(AND(H$3&gt;=$D139,H$3&lt;=$E139),IF((H$3-$D139+1)*VLOOKUP($A139,presupuesto!$B:$Q,16,FALSE)&gt;=VLOOKUP($A139,informe!$A:$J,9,FALSE),"cg","c"),"n")</f>
        <v>n</v>
      </c>
      <c r="I139" s="195" t="str">
        <f>IF(AND(I$3&gt;=$D139,I$3&lt;=$E139),IF((I$3-$D139+1)*VLOOKUP($A139,presupuesto!$B:$Q,16,FALSE)&gt;=VLOOKUP($A139,informe!$A:$J,9,FALSE),"cg","c"),"n")</f>
        <v>n</v>
      </c>
      <c r="J139" s="195" t="str">
        <f>IF(AND(J$3&gt;=$D139,J$3&lt;=$E139),IF((J$3-$D139+1)*VLOOKUP($A139,presupuesto!$B:$Q,16,FALSE)&gt;=VLOOKUP($A139,informe!$A:$J,9,FALSE),"cg","c"),"n")</f>
        <v>n</v>
      </c>
      <c r="K139" s="195" t="str">
        <f>IF(AND(K$3&gt;=$D139,K$3&lt;=$E139),IF((K$3-$D139+1)*VLOOKUP($A139,presupuesto!$B:$Q,16,FALSE)&gt;=VLOOKUP($A139,informe!$A:$J,9,FALSE),"cg","c"),"n")</f>
        <v>n</v>
      </c>
      <c r="L139" s="195" t="str">
        <f>IF(AND(L$3&gt;=$D139,L$3&lt;=$E139),IF((L$3-$D139+1)*VLOOKUP($A139,presupuesto!$B:$Q,16,FALSE)&gt;=VLOOKUP($A139,informe!$A:$J,9,FALSE),"cg","c"),"n")</f>
        <v>n</v>
      </c>
      <c r="M139" s="195" t="str">
        <f>IF(AND(M$3&gt;=$D139,M$3&lt;=$E139),IF((M$3-$D139+1)*VLOOKUP($A139,presupuesto!$B:$Q,16,FALSE)&gt;=VLOOKUP($A139,informe!$A:$J,9,FALSE),"cg","c"),"n")</f>
        <v>n</v>
      </c>
      <c r="N139" s="195" t="str">
        <f>IF(AND(N$3&gt;=$D139,N$3&lt;=$E139),IF((N$3-$D139+1)*VLOOKUP($A139,presupuesto!$B:$Q,16,FALSE)&gt;=VLOOKUP($A139,informe!$A:$J,9,FALSE),"cg","c"),"n")</f>
        <v>n</v>
      </c>
      <c r="O139" s="195" t="str">
        <f>IF(AND(O$3&gt;=$D139,O$3&lt;=$E139),IF((O$3-$D139+1)*VLOOKUP($A139,presupuesto!$B:$Q,16,FALSE)&gt;=VLOOKUP($A139,informe!$A:$J,9,FALSE),"cg","c"),"n")</f>
        <v>n</v>
      </c>
      <c r="P139" s="195" t="str">
        <f>IF(AND(P$3&gt;=$D139,P$3&lt;=$E139),IF((P$3-$D139+1)*VLOOKUP($A139,presupuesto!$B:$Q,16,FALSE)&gt;=VLOOKUP($A139,informe!$A:$J,9,FALSE),"cg","c"),"n")</f>
        <v>n</v>
      </c>
      <c r="Q139" s="195" t="str">
        <f>IF(AND(Q$3&gt;=$D139,Q$3&lt;=$E139),IF((Q$3-$D139+1)*VLOOKUP($A139,presupuesto!$B:$Q,16,FALSE)&gt;=VLOOKUP($A139,informe!$A:$J,9,FALSE),"cg","c"),"n")</f>
        <v>n</v>
      </c>
      <c r="R139" s="195" t="str">
        <f>IF(AND(R$3&gt;=$D139,R$3&lt;=$E139),IF((R$3-$D139+1)*VLOOKUP($A139,presupuesto!$B:$Q,16,FALSE)&gt;=VLOOKUP($A139,informe!$A:$J,9,FALSE),"cg","c"),"n")</f>
        <v>n</v>
      </c>
      <c r="S139" s="195" t="str">
        <f>IF(AND(S$3&gt;=$D139,S$3&lt;=$E139),IF((S$3-$D139+1)*VLOOKUP($A139,presupuesto!$B:$Q,16,FALSE)&gt;=VLOOKUP($A139,informe!$A:$J,9,FALSE),"cg","c"),"n")</f>
        <v>n</v>
      </c>
      <c r="T139" s="195" t="str">
        <f>IF(AND(T$3&gt;=$D139,T$3&lt;=$E139),IF((T$3-$D139+1)*VLOOKUP($A139,presupuesto!$B:$Q,16,FALSE)&gt;=VLOOKUP($A139,informe!$A:$J,9,FALSE),"cg","c"),"n")</f>
        <v>n</v>
      </c>
      <c r="U139" s="195" t="str">
        <f>IF(AND(U$3&gt;=$D139,U$3&lt;=$E139),IF((U$3-$D139+1)*VLOOKUP($A139,presupuesto!$B:$Q,16,FALSE)&gt;=VLOOKUP($A139,informe!$A:$J,9,FALSE),"cg","c"),"n")</f>
        <v>n</v>
      </c>
      <c r="V139" s="195" t="str">
        <f>IF(AND(V$3&gt;=$D139,V$3&lt;=$E139),IF((V$3-$D139+1)*VLOOKUP($A139,presupuesto!$B:$Q,16,FALSE)&gt;=VLOOKUP($A139,informe!$A:$J,9,FALSE),"cg","c"),"n")</f>
        <v>n</v>
      </c>
      <c r="W139" s="195" t="str">
        <f>IF(AND(W$3&gt;=$D139,W$3&lt;=$E139),IF((W$3-$D139+1)*VLOOKUP($A139,presupuesto!$B:$Q,16,FALSE)&gt;=VLOOKUP($A139,informe!$A:$J,9,FALSE),"cg","c"),"n")</f>
        <v>n</v>
      </c>
      <c r="X139" s="195" t="str">
        <f>IF(AND(X$3&gt;=$D139,X$3&lt;=$E139),IF((X$3-$D139+1)*VLOOKUP($A139,presupuesto!$B:$Q,16,FALSE)&gt;=VLOOKUP($A139,informe!$A:$J,9,FALSE),"cg","c"),"n")</f>
        <v>n</v>
      </c>
      <c r="Y139" s="195" t="str">
        <f>IF(AND(Y$3&gt;=$D139,Y$3&lt;=$E139),IF((Y$3-$D139+1)*VLOOKUP($A139,presupuesto!$B:$Q,16,FALSE)&gt;=VLOOKUP($A139,informe!$A:$J,9,FALSE),"cg","c"),"n")</f>
        <v>n</v>
      </c>
      <c r="Z139" s="195" t="str">
        <f>IF(AND(Z$3&gt;=$D139,Z$3&lt;=$E139),IF((Z$3-$D139+1)*VLOOKUP($A139,presupuesto!$B:$Q,16,FALSE)&gt;=VLOOKUP($A139,informe!$A:$J,9,FALSE),"cg","c"),"n")</f>
        <v>n</v>
      </c>
      <c r="AA139" s="195" t="str">
        <f>IF(AND(AA$3&gt;=$D139,AA$3&lt;=$E139),IF((AA$3-$D139+1)*VLOOKUP($A139,presupuesto!$B:$Q,16,FALSE)&gt;=VLOOKUP($A139,informe!$A:$J,9,FALSE),"cg","c"),"n")</f>
        <v>n</v>
      </c>
      <c r="AB139" s="195" t="str">
        <f>IF(AND(AB$3&gt;=$D139,AB$3&lt;=$E139),IF((AB$3-$D139+1)*VLOOKUP($A139,presupuesto!$B:$Q,16,FALSE)&gt;=VLOOKUP($A139,informe!$A:$J,9,FALSE),"cg","c"),"n")</f>
        <v>n</v>
      </c>
      <c r="AC139" s="195" t="str">
        <f>IF(AND(AC$3&gt;=$D139,AC$3&lt;=$E139),IF((AC$3-$D139+1)*VLOOKUP($A139,presupuesto!$B:$Q,16,FALSE)&gt;=VLOOKUP($A139,informe!$A:$J,9,FALSE),"cg","c"),"n")</f>
        <v>n</v>
      </c>
      <c r="AD139" s="195" t="str">
        <f>IF(AND(AD$3&gt;=$D139,AD$3&lt;=$E139),IF((AD$3-$D139+1)*VLOOKUP($A139,presupuesto!$B:$Q,16,FALSE)&gt;=VLOOKUP($A139,informe!$A:$J,9,FALSE),"cg","c"),"n")</f>
        <v>n</v>
      </c>
      <c r="AE139" s="195" t="str">
        <f>IF(AND(AE$3&gt;=$D139,AE$3&lt;=$E139),IF((AE$3-$D139+1)*VLOOKUP($A139,presupuesto!$B:$Q,16,FALSE)&gt;=VLOOKUP($A139,informe!$A:$J,9,FALSE),"cg","c"),"n")</f>
        <v>n</v>
      </c>
      <c r="AF139" s="195" t="str">
        <f>IF(AND(AF$3&gt;=$D139,AF$3&lt;=$E139),IF((AF$3-$D139+1)*VLOOKUP($A139,presupuesto!$B:$Q,16,FALSE)&gt;=VLOOKUP($A139,informe!$A:$J,9,FALSE),"cg","c"),"n")</f>
        <v>n</v>
      </c>
      <c r="AG139" s="195" t="str">
        <f>IF(AND(AG$3&gt;=$D139,AG$3&lt;=$E139),IF((AG$3-$D139+1)*VLOOKUP($A139,presupuesto!$B:$Q,16,FALSE)&gt;=VLOOKUP($A139,informe!$A:$J,9,FALSE),"cg","c"),"n")</f>
        <v>n</v>
      </c>
      <c r="AH139" s="195" t="str">
        <f>IF(AND(AH$3&gt;=$D139,AH$3&lt;=$E139),IF((AH$3-$D139+1)*VLOOKUP($A139,presupuesto!$B:$Q,16,FALSE)&gt;=VLOOKUP($A139,informe!$A:$J,9,FALSE),"cg","c"),"n")</f>
        <v>n</v>
      </c>
      <c r="AI139" s="195" t="str">
        <f>IF(AND(AI$3&gt;=$D139,AI$3&lt;=$E139),IF((AI$3-$D139+1)*VLOOKUP($A139,presupuesto!$B:$Q,16,FALSE)&gt;=VLOOKUP($A139,informe!$A:$J,9,FALSE),"cg","c"),"n")</f>
        <v>n</v>
      </c>
      <c r="AJ139" s="195" t="str">
        <f>IF(AND(AJ$3&gt;=$D139,AJ$3&lt;=$E139),IF((AJ$3-$D139+1)*VLOOKUP($A139,presupuesto!$B:$Q,16,FALSE)&gt;=VLOOKUP($A139,informe!$A:$J,9,FALSE),"cg","c"),"n")</f>
        <v>n</v>
      </c>
      <c r="AK139" s="196" t="str">
        <f>IF(AND(AK$3&gt;=$D139,AK$3&lt;=$E139),IF((AK$3-$D139+1)*VLOOKUP($A139,presupuesto!$B:$Q,16,FALSE)&gt;=VLOOKUP($A139,informe!$A:$J,9,FALSE),"cg","c"),"n")</f>
        <v>n</v>
      </c>
    </row>
    <row r="140" spans="1:37" ht="13" x14ac:dyDescent="0.25">
      <c r="A140" s="193">
        <f>presupuesto!B139</f>
        <v>92</v>
      </c>
      <c r="B140" s="182" t="str">
        <f>presupuesto!C139</f>
        <v xml:space="preserve">         Reconexión de Arranque domiciliario por reemplazo de red</v>
      </c>
      <c r="C140" s="173" t="str">
        <f>presupuesto!G139</f>
        <v>5 días</v>
      </c>
      <c r="D140" s="176">
        <f>presupuesto!N139</f>
        <v>45900</v>
      </c>
      <c r="E140" s="176">
        <f>presupuesto!O139</f>
        <v>45905</v>
      </c>
      <c r="F140" s="194" t="str">
        <f>IF(AK140="n",CONCATENATE(" - "),IF(AK140="cg",CONCATENATE(" - "),CONCATENATE(ROUND(IFERROR(VLOOKUP(A140,informe!A:J,9,FALSE)/VLOOKUP(A140,informe!A:J,5,FALSE),0)*100,2),"% ")))</f>
        <v xml:space="preserve"> - </v>
      </c>
      <c r="G140" s="195" t="str">
        <f>IF(AND(G$3&gt;=$D140,G$3&lt;=$E140),IF((G$3-$D140+1)*VLOOKUP($A140,presupuesto!$B:$Q,16,FALSE)&gt;=VLOOKUP($A140,informe!$A:$J,9,FALSE),"cg","c"),"n")</f>
        <v>n</v>
      </c>
      <c r="H140" s="195" t="str">
        <f>IF(AND(H$3&gt;=$D140,H$3&lt;=$E140),IF((H$3-$D140+1)*VLOOKUP($A140,presupuesto!$B:$Q,16,FALSE)&gt;=VLOOKUP($A140,informe!$A:$J,9,FALSE),"cg","c"),"n")</f>
        <v>n</v>
      </c>
      <c r="I140" s="195" t="str">
        <f>IF(AND(I$3&gt;=$D140,I$3&lt;=$E140),IF((I$3-$D140+1)*VLOOKUP($A140,presupuesto!$B:$Q,16,FALSE)&gt;=VLOOKUP($A140,informe!$A:$J,9,FALSE),"cg","c"),"n")</f>
        <v>n</v>
      </c>
      <c r="J140" s="195" t="str">
        <f>IF(AND(J$3&gt;=$D140,J$3&lt;=$E140),IF((J$3-$D140+1)*VLOOKUP($A140,presupuesto!$B:$Q,16,FALSE)&gt;=VLOOKUP($A140,informe!$A:$J,9,FALSE),"cg","c"),"n")</f>
        <v>n</v>
      </c>
      <c r="K140" s="195" t="str">
        <f>IF(AND(K$3&gt;=$D140,K$3&lt;=$E140),IF((K$3-$D140+1)*VLOOKUP($A140,presupuesto!$B:$Q,16,FALSE)&gt;=VLOOKUP($A140,informe!$A:$J,9,FALSE),"cg","c"),"n")</f>
        <v>n</v>
      </c>
      <c r="L140" s="195" t="str">
        <f>IF(AND(L$3&gt;=$D140,L$3&lt;=$E140),IF((L$3-$D140+1)*VLOOKUP($A140,presupuesto!$B:$Q,16,FALSE)&gt;=VLOOKUP($A140,informe!$A:$J,9,FALSE),"cg","c"),"n")</f>
        <v>n</v>
      </c>
      <c r="M140" s="195" t="str">
        <f>IF(AND(M$3&gt;=$D140,M$3&lt;=$E140),IF((M$3-$D140+1)*VLOOKUP($A140,presupuesto!$B:$Q,16,FALSE)&gt;=VLOOKUP($A140,informe!$A:$J,9,FALSE),"cg","c"),"n")</f>
        <v>n</v>
      </c>
      <c r="N140" s="195" t="str">
        <f>IF(AND(N$3&gt;=$D140,N$3&lt;=$E140),IF((N$3-$D140+1)*VLOOKUP($A140,presupuesto!$B:$Q,16,FALSE)&gt;=VLOOKUP($A140,informe!$A:$J,9,FALSE),"cg","c"),"n")</f>
        <v>n</v>
      </c>
      <c r="O140" s="195" t="str">
        <f>IF(AND(O$3&gt;=$D140,O$3&lt;=$E140),IF((O$3-$D140+1)*VLOOKUP($A140,presupuesto!$B:$Q,16,FALSE)&gt;=VLOOKUP($A140,informe!$A:$J,9,FALSE),"cg","c"),"n")</f>
        <v>n</v>
      </c>
      <c r="P140" s="195" t="str">
        <f>IF(AND(P$3&gt;=$D140,P$3&lt;=$E140),IF((P$3-$D140+1)*VLOOKUP($A140,presupuesto!$B:$Q,16,FALSE)&gt;=VLOOKUP($A140,informe!$A:$J,9,FALSE),"cg","c"),"n")</f>
        <v>n</v>
      </c>
      <c r="Q140" s="195" t="str">
        <f>IF(AND(Q$3&gt;=$D140,Q$3&lt;=$E140),IF((Q$3-$D140+1)*VLOOKUP($A140,presupuesto!$B:$Q,16,FALSE)&gt;=VLOOKUP($A140,informe!$A:$J,9,FALSE),"cg","c"),"n")</f>
        <v>n</v>
      </c>
      <c r="R140" s="195" t="str">
        <f>IF(AND(R$3&gt;=$D140,R$3&lt;=$E140),IF((R$3-$D140+1)*VLOOKUP($A140,presupuesto!$B:$Q,16,FALSE)&gt;=VLOOKUP($A140,informe!$A:$J,9,FALSE),"cg","c"),"n")</f>
        <v>n</v>
      </c>
      <c r="S140" s="195" t="str">
        <f>IF(AND(S$3&gt;=$D140,S$3&lt;=$E140),IF((S$3-$D140+1)*VLOOKUP($A140,presupuesto!$B:$Q,16,FALSE)&gt;=VLOOKUP($A140,informe!$A:$J,9,FALSE),"cg","c"),"n")</f>
        <v>n</v>
      </c>
      <c r="T140" s="195" t="str">
        <f>IF(AND(T$3&gt;=$D140,T$3&lt;=$E140),IF((T$3-$D140+1)*VLOOKUP($A140,presupuesto!$B:$Q,16,FALSE)&gt;=VLOOKUP($A140,informe!$A:$J,9,FALSE),"cg","c"),"n")</f>
        <v>n</v>
      </c>
      <c r="U140" s="195" t="str">
        <f>IF(AND(U$3&gt;=$D140,U$3&lt;=$E140),IF((U$3-$D140+1)*VLOOKUP($A140,presupuesto!$B:$Q,16,FALSE)&gt;=VLOOKUP($A140,informe!$A:$J,9,FALSE),"cg","c"),"n")</f>
        <v>n</v>
      </c>
      <c r="V140" s="195" t="str">
        <f>IF(AND(V$3&gt;=$D140,V$3&lt;=$E140),IF((V$3-$D140+1)*VLOOKUP($A140,presupuesto!$B:$Q,16,FALSE)&gt;=VLOOKUP($A140,informe!$A:$J,9,FALSE),"cg","c"),"n")</f>
        <v>n</v>
      </c>
      <c r="W140" s="195" t="str">
        <f>IF(AND(W$3&gt;=$D140,W$3&lt;=$E140),IF((W$3-$D140+1)*VLOOKUP($A140,presupuesto!$B:$Q,16,FALSE)&gt;=VLOOKUP($A140,informe!$A:$J,9,FALSE),"cg","c"),"n")</f>
        <v>n</v>
      </c>
      <c r="X140" s="195" t="str">
        <f>IF(AND(X$3&gt;=$D140,X$3&lt;=$E140),IF((X$3-$D140+1)*VLOOKUP($A140,presupuesto!$B:$Q,16,FALSE)&gt;=VLOOKUP($A140,informe!$A:$J,9,FALSE),"cg","c"),"n")</f>
        <v>n</v>
      </c>
      <c r="Y140" s="195" t="str">
        <f>IF(AND(Y$3&gt;=$D140,Y$3&lt;=$E140),IF((Y$3-$D140+1)*VLOOKUP($A140,presupuesto!$B:$Q,16,FALSE)&gt;=VLOOKUP($A140,informe!$A:$J,9,FALSE),"cg","c"),"n")</f>
        <v>n</v>
      </c>
      <c r="Z140" s="195" t="str">
        <f>IF(AND(Z$3&gt;=$D140,Z$3&lt;=$E140),IF((Z$3-$D140+1)*VLOOKUP($A140,presupuesto!$B:$Q,16,FALSE)&gt;=VLOOKUP($A140,informe!$A:$J,9,FALSE),"cg","c"),"n")</f>
        <v>n</v>
      </c>
      <c r="AA140" s="195" t="str">
        <f>IF(AND(AA$3&gt;=$D140,AA$3&lt;=$E140),IF((AA$3-$D140+1)*VLOOKUP($A140,presupuesto!$B:$Q,16,FALSE)&gt;=VLOOKUP($A140,informe!$A:$J,9,FALSE),"cg","c"),"n")</f>
        <v>n</v>
      </c>
      <c r="AB140" s="195" t="str">
        <f>IF(AND(AB$3&gt;=$D140,AB$3&lt;=$E140),IF((AB$3-$D140+1)*VLOOKUP($A140,presupuesto!$B:$Q,16,FALSE)&gt;=VLOOKUP($A140,informe!$A:$J,9,FALSE),"cg","c"),"n")</f>
        <v>n</v>
      </c>
      <c r="AC140" s="195" t="str">
        <f>IF(AND(AC$3&gt;=$D140,AC$3&lt;=$E140),IF((AC$3-$D140+1)*VLOOKUP($A140,presupuesto!$B:$Q,16,FALSE)&gt;=VLOOKUP($A140,informe!$A:$J,9,FALSE),"cg","c"),"n")</f>
        <v>n</v>
      </c>
      <c r="AD140" s="195" t="str">
        <f>IF(AND(AD$3&gt;=$D140,AD$3&lt;=$E140),IF((AD$3-$D140+1)*VLOOKUP($A140,presupuesto!$B:$Q,16,FALSE)&gt;=VLOOKUP($A140,informe!$A:$J,9,FALSE),"cg","c"),"n")</f>
        <v>n</v>
      </c>
      <c r="AE140" s="195" t="str">
        <f>IF(AND(AE$3&gt;=$D140,AE$3&lt;=$E140),IF((AE$3-$D140+1)*VLOOKUP($A140,presupuesto!$B:$Q,16,FALSE)&gt;=VLOOKUP($A140,informe!$A:$J,9,FALSE),"cg","c"),"n")</f>
        <v>n</v>
      </c>
      <c r="AF140" s="195" t="str">
        <f>IF(AND(AF$3&gt;=$D140,AF$3&lt;=$E140),IF((AF$3-$D140+1)*VLOOKUP($A140,presupuesto!$B:$Q,16,FALSE)&gt;=VLOOKUP($A140,informe!$A:$J,9,FALSE),"cg","c"),"n")</f>
        <v>n</v>
      </c>
      <c r="AG140" s="195" t="str">
        <f>IF(AND(AG$3&gt;=$D140,AG$3&lt;=$E140),IF((AG$3-$D140+1)*VLOOKUP($A140,presupuesto!$B:$Q,16,FALSE)&gt;=VLOOKUP($A140,informe!$A:$J,9,FALSE),"cg","c"),"n")</f>
        <v>n</v>
      </c>
      <c r="AH140" s="195" t="str">
        <f>IF(AND(AH$3&gt;=$D140,AH$3&lt;=$E140),IF((AH$3-$D140+1)*VLOOKUP($A140,presupuesto!$B:$Q,16,FALSE)&gt;=VLOOKUP($A140,informe!$A:$J,9,FALSE),"cg","c"),"n")</f>
        <v>n</v>
      </c>
      <c r="AI140" s="195" t="str">
        <f>IF(AND(AI$3&gt;=$D140,AI$3&lt;=$E140),IF((AI$3-$D140+1)*VLOOKUP($A140,presupuesto!$B:$Q,16,FALSE)&gt;=VLOOKUP($A140,informe!$A:$J,9,FALSE),"cg","c"),"n")</f>
        <v>n</v>
      </c>
      <c r="AJ140" s="195" t="str">
        <f>IF(AND(AJ$3&gt;=$D140,AJ$3&lt;=$E140),IF((AJ$3-$D140+1)*VLOOKUP($A140,presupuesto!$B:$Q,16,FALSE)&gt;=VLOOKUP($A140,informe!$A:$J,9,FALSE),"cg","c"),"n")</f>
        <v>n</v>
      </c>
      <c r="AK140" s="196" t="str">
        <f>IF(AND(AK$3&gt;=$D140,AK$3&lt;=$E140),IF((AK$3-$D140+1)*VLOOKUP($A140,presupuesto!$B:$Q,16,FALSE)&gt;=VLOOKUP($A140,informe!$A:$J,9,FALSE),"cg","c"),"n")</f>
        <v>n</v>
      </c>
    </row>
    <row r="141" spans="1:37" ht="13" x14ac:dyDescent="0.3">
      <c r="A141" s="197" t="str">
        <f>presupuesto!B140</f>
        <v>D.-</v>
      </c>
      <c r="B141" s="181" t="str">
        <f>presupuesto!C140</f>
        <v xml:space="preserve">      OBRAS VARIAS</v>
      </c>
      <c r="C141" s="174" t="str">
        <f>presupuesto!G140</f>
        <v>185 días</v>
      </c>
      <c r="D141" s="177">
        <f>presupuesto!N140</f>
        <v>45720</v>
      </c>
      <c r="E141" s="177">
        <f>presupuesto!O140</f>
        <v>45904</v>
      </c>
      <c r="F141" s="194" t="str">
        <f>IF(AK141="n",CONCATENATE(" - "),IF(AK141="cg",CONCATENATE(" - "),CONCATENATE(ROUND(IFERROR(VLOOKUP(A141,informe!A:J,9,FALSE)/VLOOKUP(A141,informe!A:J,5,FALSE),0)*100,2),"% ")))</f>
        <v xml:space="preserve"> - </v>
      </c>
      <c r="G141" s="195" t="str">
        <f>IF(AND(G$3&gt;=$D141,G$3&lt;=$E141),IF((G$3-$D141+1)*VLOOKUP($A141,presupuesto!$B:$Q,16,FALSE)&gt;=VLOOKUP($A141,informe!$A:$J,9,FALSE),"cg","c"),"n")</f>
        <v>n</v>
      </c>
      <c r="H141" s="195" t="str">
        <f>IF(AND(H$3&gt;=$D141,H$3&lt;=$E141),IF((H$3-$D141+1)*VLOOKUP($A141,presupuesto!$B:$Q,16,FALSE)&gt;=VLOOKUP($A141,informe!$A:$J,9,FALSE),"cg","c"),"n")</f>
        <v>n</v>
      </c>
      <c r="I141" s="195" t="str">
        <f>IF(AND(I$3&gt;=$D141,I$3&lt;=$E141),IF((I$3-$D141+1)*VLOOKUP($A141,presupuesto!$B:$Q,16,FALSE)&gt;=VLOOKUP($A141,informe!$A:$J,9,FALSE),"cg","c"),"n")</f>
        <v>n</v>
      </c>
      <c r="J141" s="195" t="str">
        <f>IF(AND(J$3&gt;=$D141,J$3&lt;=$E141),IF((J$3-$D141+1)*VLOOKUP($A141,presupuesto!$B:$Q,16,FALSE)&gt;=VLOOKUP($A141,informe!$A:$J,9,FALSE),"cg","c"),"n")</f>
        <v>n</v>
      </c>
      <c r="K141" s="195" t="str">
        <f>IF(AND(K$3&gt;=$D141,K$3&lt;=$E141),IF((K$3-$D141+1)*VLOOKUP($A141,presupuesto!$B:$Q,16,FALSE)&gt;=VLOOKUP($A141,informe!$A:$J,9,FALSE),"cg","c"),"n")</f>
        <v>n</v>
      </c>
      <c r="L141" s="195" t="str">
        <f>IF(AND(L$3&gt;=$D141,L$3&lt;=$E141),IF((L$3-$D141+1)*VLOOKUP($A141,presupuesto!$B:$Q,16,FALSE)&gt;=VLOOKUP($A141,informe!$A:$J,9,FALSE),"cg","c"),"n")</f>
        <v>n</v>
      </c>
      <c r="M141" s="195" t="str">
        <f>IF(AND(M$3&gt;=$D141,M$3&lt;=$E141),IF((M$3-$D141+1)*VLOOKUP($A141,presupuesto!$B:$Q,16,FALSE)&gt;=VLOOKUP($A141,informe!$A:$J,9,FALSE),"cg","c"),"n")</f>
        <v>n</v>
      </c>
      <c r="N141" s="195" t="str">
        <f>IF(AND(N$3&gt;=$D141,N$3&lt;=$E141),IF((N$3-$D141+1)*VLOOKUP($A141,presupuesto!$B:$Q,16,FALSE)&gt;=VLOOKUP($A141,informe!$A:$J,9,FALSE),"cg","c"),"n")</f>
        <v>n</v>
      </c>
      <c r="O141" s="195" t="str">
        <f>IF(AND(O$3&gt;=$D141,O$3&lt;=$E141),IF((O$3-$D141+1)*VLOOKUP($A141,presupuesto!$B:$Q,16,FALSE)&gt;=VLOOKUP($A141,informe!$A:$J,9,FALSE),"cg","c"),"n")</f>
        <v>n</v>
      </c>
      <c r="P141" s="195" t="str">
        <f>IF(AND(P$3&gt;=$D141,P$3&lt;=$E141),IF((P$3-$D141+1)*VLOOKUP($A141,presupuesto!$B:$Q,16,FALSE)&gt;=VLOOKUP($A141,informe!$A:$J,9,FALSE),"cg","c"),"n")</f>
        <v>n</v>
      </c>
      <c r="Q141" s="195" t="str">
        <f>IF(AND(Q$3&gt;=$D141,Q$3&lt;=$E141),IF((Q$3-$D141+1)*VLOOKUP($A141,presupuesto!$B:$Q,16,FALSE)&gt;=VLOOKUP($A141,informe!$A:$J,9,FALSE),"cg","c"),"n")</f>
        <v>n</v>
      </c>
      <c r="R141" s="195" t="str">
        <f>IF(AND(R$3&gt;=$D141,R$3&lt;=$E141),IF((R$3-$D141+1)*VLOOKUP($A141,presupuesto!$B:$Q,16,FALSE)&gt;=VLOOKUP($A141,informe!$A:$J,9,FALSE),"cg","c"),"n")</f>
        <v>n</v>
      </c>
      <c r="S141" s="195" t="str">
        <f>IF(AND(S$3&gt;=$D141,S$3&lt;=$E141),IF((S$3-$D141+1)*VLOOKUP($A141,presupuesto!$B:$Q,16,FALSE)&gt;=VLOOKUP($A141,informe!$A:$J,9,FALSE),"cg","c"),"n")</f>
        <v>n</v>
      </c>
      <c r="T141" s="195" t="str">
        <f>IF(AND(T$3&gt;=$D141,T$3&lt;=$E141),IF((T$3-$D141+1)*VLOOKUP($A141,presupuesto!$B:$Q,16,FALSE)&gt;=VLOOKUP($A141,informe!$A:$J,9,FALSE),"cg","c"),"n")</f>
        <v>n</v>
      </c>
      <c r="U141" s="195" t="str">
        <f>IF(AND(U$3&gt;=$D141,U$3&lt;=$E141),IF((U$3-$D141+1)*VLOOKUP($A141,presupuesto!$B:$Q,16,FALSE)&gt;=VLOOKUP($A141,informe!$A:$J,9,FALSE),"cg","c"),"n")</f>
        <v>n</v>
      </c>
      <c r="V141" s="195" t="str">
        <f>IF(AND(V$3&gt;=$D141,V$3&lt;=$E141),IF((V$3-$D141+1)*VLOOKUP($A141,presupuesto!$B:$Q,16,FALSE)&gt;=VLOOKUP($A141,informe!$A:$J,9,FALSE),"cg","c"),"n")</f>
        <v>n</v>
      </c>
      <c r="W141" s="195" t="str">
        <f>IF(AND(W$3&gt;=$D141,W$3&lt;=$E141),IF((W$3-$D141+1)*VLOOKUP($A141,presupuesto!$B:$Q,16,FALSE)&gt;=VLOOKUP($A141,informe!$A:$J,9,FALSE),"cg","c"),"n")</f>
        <v>n</v>
      </c>
      <c r="X141" s="195" t="str">
        <f>IF(AND(X$3&gt;=$D141,X$3&lt;=$E141),IF((X$3-$D141+1)*VLOOKUP($A141,presupuesto!$B:$Q,16,FALSE)&gt;=VLOOKUP($A141,informe!$A:$J,9,FALSE),"cg","c"),"n")</f>
        <v>n</v>
      </c>
      <c r="Y141" s="195" t="str">
        <f>IF(AND(Y$3&gt;=$D141,Y$3&lt;=$E141),IF((Y$3-$D141+1)*VLOOKUP($A141,presupuesto!$B:$Q,16,FALSE)&gt;=VLOOKUP($A141,informe!$A:$J,9,FALSE),"cg","c"),"n")</f>
        <v>n</v>
      </c>
      <c r="Z141" s="195" t="str">
        <f>IF(AND(Z$3&gt;=$D141,Z$3&lt;=$E141),IF((Z$3-$D141+1)*VLOOKUP($A141,presupuesto!$B:$Q,16,FALSE)&gt;=VLOOKUP($A141,informe!$A:$J,9,FALSE),"cg","c"),"n")</f>
        <v>n</v>
      </c>
      <c r="AA141" s="195" t="str">
        <f>IF(AND(AA$3&gt;=$D141,AA$3&lt;=$E141),IF((AA$3-$D141+1)*VLOOKUP($A141,presupuesto!$B:$Q,16,FALSE)&gt;=VLOOKUP($A141,informe!$A:$J,9,FALSE),"cg","c"),"n")</f>
        <v>n</v>
      </c>
      <c r="AB141" s="195" t="str">
        <f>IF(AND(AB$3&gt;=$D141,AB$3&lt;=$E141),IF((AB$3-$D141+1)*VLOOKUP($A141,presupuesto!$B:$Q,16,FALSE)&gt;=VLOOKUP($A141,informe!$A:$J,9,FALSE),"cg","c"),"n")</f>
        <v>n</v>
      </c>
      <c r="AC141" s="195" t="str">
        <f>IF(AND(AC$3&gt;=$D141,AC$3&lt;=$E141),IF((AC$3-$D141+1)*VLOOKUP($A141,presupuesto!$B:$Q,16,FALSE)&gt;=VLOOKUP($A141,informe!$A:$J,9,FALSE),"cg","c"),"n")</f>
        <v>n</v>
      </c>
      <c r="AD141" s="195" t="str">
        <f>IF(AND(AD$3&gt;=$D141,AD$3&lt;=$E141),IF((AD$3-$D141+1)*VLOOKUP($A141,presupuesto!$B:$Q,16,FALSE)&gt;=VLOOKUP($A141,informe!$A:$J,9,FALSE),"cg","c"),"n")</f>
        <v>n</v>
      </c>
      <c r="AE141" s="195" t="str">
        <f>IF(AND(AE$3&gt;=$D141,AE$3&lt;=$E141),IF((AE$3-$D141+1)*VLOOKUP($A141,presupuesto!$B:$Q,16,FALSE)&gt;=VLOOKUP($A141,informe!$A:$J,9,FALSE),"cg","c"),"n")</f>
        <v>n</v>
      </c>
      <c r="AF141" s="195" t="str">
        <f>IF(AND(AF$3&gt;=$D141,AF$3&lt;=$E141),IF((AF$3-$D141+1)*VLOOKUP($A141,presupuesto!$B:$Q,16,FALSE)&gt;=VLOOKUP($A141,informe!$A:$J,9,FALSE),"cg","c"),"n")</f>
        <v>n</v>
      </c>
      <c r="AG141" s="195" t="str">
        <f>IF(AND(AG$3&gt;=$D141,AG$3&lt;=$E141),IF((AG$3-$D141+1)*VLOOKUP($A141,presupuesto!$B:$Q,16,FALSE)&gt;=VLOOKUP($A141,informe!$A:$J,9,FALSE),"cg","c"),"n")</f>
        <v>n</v>
      </c>
      <c r="AH141" s="195" t="str">
        <f>IF(AND(AH$3&gt;=$D141,AH$3&lt;=$E141),IF((AH$3-$D141+1)*VLOOKUP($A141,presupuesto!$B:$Q,16,FALSE)&gt;=VLOOKUP($A141,informe!$A:$J,9,FALSE),"cg","c"),"n")</f>
        <v>n</v>
      </c>
      <c r="AI141" s="195" t="str">
        <f>IF(AND(AI$3&gt;=$D141,AI$3&lt;=$E141),IF((AI$3-$D141+1)*VLOOKUP($A141,presupuesto!$B:$Q,16,FALSE)&gt;=VLOOKUP($A141,informe!$A:$J,9,FALSE),"cg","c"),"n")</f>
        <v>n</v>
      </c>
      <c r="AJ141" s="195" t="str">
        <f>IF(AND(AJ$3&gt;=$D141,AJ$3&lt;=$E141),IF((AJ$3-$D141+1)*VLOOKUP($A141,presupuesto!$B:$Q,16,FALSE)&gt;=VLOOKUP($A141,informe!$A:$J,9,FALSE),"cg","c"),"n")</f>
        <v>n</v>
      </c>
      <c r="AK141" s="196" t="str">
        <f>IF(AND(AK$3&gt;=$D141,AK$3&lt;=$E141),IF((AK$3-$D141+1)*VLOOKUP($A141,presupuesto!$B:$Q,16,FALSE)&gt;=VLOOKUP($A141,informe!$A:$J,9,FALSE),"cg","c"),"n")</f>
        <v>n</v>
      </c>
    </row>
    <row r="142" spans="1:37" x14ac:dyDescent="0.25">
      <c r="A142" s="197">
        <f>presupuesto!B141</f>
        <v>93</v>
      </c>
      <c r="B142" s="182" t="str">
        <f>presupuesto!C141</f>
        <v xml:space="preserve">         Machones de Apoyo y Anclaje</v>
      </c>
      <c r="C142" s="174" t="str">
        <f>presupuesto!G141</f>
        <v>120 días</v>
      </c>
      <c r="D142" s="177">
        <f>presupuesto!N141</f>
        <v>45785</v>
      </c>
      <c r="E142" s="177">
        <f>presupuesto!O141</f>
        <v>45904</v>
      </c>
      <c r="F142" s="194" t="str">
        <f>IF(AK142="n",CONCATENATE(" - "),IF(AK142="cg",CONCATENATE(" - "),CONCATENATE(ROUND(IFERROR(VLOOKUP(A142,informe!A:J,9,FALSE)/VLOOKUP(A142,informe!A:J,5,FALSE),0)*100,2),"% ")))</f>
        <v xml:space="preserve"> - </v>
      </c>
      <c r="G142" s="195" t="str">
        <f>IF(AND(G$3&gt;=$D142,G$3&lt;=$E142),IF((G$3-$D142+1)*VLOOKUP($A142,presupuesto!$B:$Q,16,FALSE)&gt;=VLOOKUP($A142,informe!$A:$J,9,FALSE),"cg","c"),"n")</f>
        <v>n</v>
      </c>
      <c r="H142" s="195" t="str">
        <f>IF(AND(H$3&gt;=$D142,H$3&lt;=$E142),IF((H$3-$D142+1)*VLOOKUP($A142,presupuesto!$B:$Q,16,FALSE)&gt;=VLOOKUP($A142,informe!$A:$J,9,FALSE),"cg","c"),"n")</f>
        <v>n</v>
      </c>
      <c r="I142" s="195" t="str">
        <f>IF(AND(I$3&gt;=$D142,I$3&lt;=$E142),IF((I$3-$D142+1)*VLOOKUP($A142,presupuesto!$B:$Q,16,FALSE)&gt;=VLOOKUP($A142,informe!$A:$J,9,FALSE),"cg","c"),"n")</f>
        <v>n</v>
      </c>
      <c r="J142" s="195" t="str">
        <f>IF(AND(J$3&gt;=$D142,J$3&lt;=$E142),IF((J$3-$D142+1)*VLOOKUP($A142,presupuesto!$B:$Q,16,FALSE)&gt;=VLOOKUP($A142,informe!$A:$J,9,FALSE),"cg","c"),"n")</f>
        <v>n</v>
      </c>
      <c r="K142" s="195" t="str">
        <f>IF(AND(K$3&gt;=$D142,K$3&lt;=$E142),IF((K$3-$D142+1)*VLOOKUP($A142,presupuesto!$B:$Q,16,FALSE)&gt;=VLOOKUP($A142,informe!$A:$J,9,FALSE),"cg","c"),"n")</f>
        <v>n</v>
      </c>
      <c r="L142" s="195" t="str">
        <f>IF(AND(L$3&gt;=$D142,L$3&lt;=$E142),IF((L$3-$D142+1)*VLOOKUP($A142,presupuesto!$B:$Q,16,FALSE)&gt;=VLOOKUP($A142,informe!$A:$J,9,FALSE),"cg","c"),"n")</f>
        <v>n</v>
      </c>
      <c r="M142" s="195" t="str">
        <f>IF(AND(M$3&gt;=$D142,M$3&lt;=$E142),IF((M$3-$D142+1)*VLOOKUP($A142,presupuesto!$B:$Q,16,FALSE)&gt;=VLOOKUP($A142,informe!$A:$J,9,FALSE),"cg","c"),"n")</f>
        <v>n</v>
      </c>
      <c r="N142" s="195" t="str">
        <f>IF(AND(N$3&gt;=$D142,N$3&lt;=$E142),IF((N$3-$D142+1)*VLOOKUP($A142,presupuesto!$B:$Q,16,FALSE)&gt;=VLOOKUP($A142,informe!$A:$J,9,FALSE),"cg","c"),"n")</f>
        <v>n</v>
      </c>
      <c r="O142" s="195" t="str">
        <f>IF(AND(O$3&gt;=$D142,O$3&lt;=$E142),IF((O$3-$D142+1)*VLOOKUP($A142,presupuesto!$B:$Q,16,FALSE)&gt;=VLOOKUP($A142,informe!$A:$J,9,FALSE),"cg","c"),"n")</f>
        <v>n</v>
      </c>
      <c r="P142" s="195" t="str">
        <f>IF(AND(P$3&gt;=$D142,P$3&lt;=$E142),IF((P$3-$D142+1)*VLOOKUP($A142,presupuesto!$B:$Q,16,FALSE)&gt;=VLOOKUP($A142,informe!$A:$J,9,FALSE),"cg","c"),"n")</f>
        <v>n</v>
      </c>
      <c r="Q142" s="195" t="str">
        <f>IF(AND(Q$3&gt;=$D142,Q$3&lt;=$E142),IF((Q$3-$D142+1)*VLOOKUP($A142,presupuesto!$B:$Q,16,FALSE)&gt;=VLOOKUP($A142,informe!$A:$J,9,FALSE),"cg","c"),"n")</f>
        <v>n</v>
      </c>
      <c r="R142" s="195" t="str">
        <f>IF(AND(R$3&gt;=$D142,R$3&lt;=$E142),IF((R$3-$D142+1)*VLOOKUP($A142,presupuesto!$B:$Q,16,FALSE)&gt;=VLOOKUP($A142,informe!$A:$J,9,FALSE),"cg","c"),"n")</f>
        <v>n</v>
      </c>
      <c r="S142" s="195" t="str">
        <f>IF(AND(S$3&gt;=$D142,S$3&lt;=$E142),IF((S$3-$D142+1)*VLOOKUP($A142,presupuesto!$B:$Q,16,FALSE)&gt;=VLOOKUP($A142,informe!$A:$J,9,FALSE),"cg","c"),"n")</f>
        <v>n</v>
      </c>
      <c r="T142" s="195" t="str">
        <f>IF(AND(T$3&gt;=$D142,T$3&lt;=$E142),IF((T$3-$D142+1)*VLOOKUP($A142,presupuesto!$B:$Q,16,FALSE)&gt;=VLOOKUP($A142,informe!$A:$J,9,FALSE),"cg","c"),"n")</f>
        <v>n</v>
      </c>
      <c r="U142" s="195" t="str">
        <f>IF(AND(U$3&gt;=$D142,U$3&lt;=$E142),IF((U$3-$D142+1)*VLOOKUP($A142,presupuesto!$B:$Q,16,FALSE)&gt;=VLOOKUP($A142,informe!$A:$J,9,FALSE),"cg","c"),"n")</f>
        <v>n</v>
      </c>
      <c r="V142" s="195" t="str">
        <f>IF(AND(V$3&gt;=$D142,V$3&lt;=$E142),IF((V$3-$D142+1)*VLOOKUP($A142,presupuesto!$B:$Q,16,FALSE)&gt;=VLOOKUP($A142,informe!$A:$J,9,FALSE),"cg","c"),"n")</f>
        <v>n</v>
      </c>
      <c r="W142" s="195" t="str">
        <f>IF(AND(W$3&gt;=$D142,W$3&lt;=$E142),IF((W$3-$D142+1)*VLOOKUP($A142,presupuesto!$B:$Q,16,FALSE)&gt;=VLOOKUP($A142,informe!$A:$J,9,FALSE),"cg","c"),"n")</f>
        <v>n</v>
      </c>
      <c r="X142" s="195" t="str">
        <f>IF(AND(X$3&gt;=$D142,X$3&lt;=$E142),IF((X$3-$D142+1)*VLOOKUP($A142,presupuesto!$B:$Q,16,FALSE)&gt;=VLOOKUP($A142,informe!$A:$J,9,FALSE),"cg","c"),"n")</f>
        <v>n</v>
      </c>
      <c r="Y142" s="195" t="str">
        <f>IF(AND(Y$3&gt;=$D142,Y$3&lt;=$E142),IF((Y$3-$D142+1)*VLOOKUP($A142,presupuesto!$B:$Q,16,FALSE)&gt;=VLOOKUP($A142,informe!$A:$J,9,FALSE),"cg","c"),"n")</f>
        <v>n</v>
      </c>
      <c r="Z142" s="195" t="str">
        <f>IF(AND(Z$3&gt;=$D142,Z$3&lt;=$E142),IF((Z$3-$D142+1)*VLOOKUP($A142,presupuesto!$B:$Q,16,FALSE)&gt;=VLOOKUP($A142,informe!$A:$J,9,FALSE),"cg","c"),"n")</f>
        <v>n</v>
      </c>
      <c r="AA142" s="195" t="str">
        <f>IF(AND(AA$3&gt;=$D142,AA$3&lt;=$E142),IF((AA$3-$D142+1)*VLOOKUP($A142,presupuesto!$B:$Q,16,FALSE)&gt;=VLOOKUP($A142,informe!$A:$J,9,FALSE),"cg","c"),"n")</f>
        <v>n</v>
      </c>
      <c r="AB142" s="195" t="str">
        <f>IF(AND(AB$3&gt;=$D142,AB$3&lt;=$E142),IF((AB$3-$D142+1)*VLOOKUP($A142,presupuesto!$B:$Q,16,FALSE)&gt;=VLOOKUP($A142,informe!$A:$J,9,FALSE),"cg","c"),"n")</f>
        <v>n</v>
      </c>
      <c r="AC142" s="195" t="str">
        <f>IF(AND(AC$3&gt;=$D142,AC$3&lt;=$E142),IF((AC$3-$D142+1)*VLOOKUP($A142,presupuesto!$B:$Q,16,FALSE)&gt;=VLOOKUP($A142,informe!$A:$J,9,FALSE),"cg","c"),"n")</f>
        <v>n</v>
      </c>
      <c r="AD142" s="195" t="str">
        <f>IF(AND(AD$3&gt;=$D142,AD$3&lt;=$E142),IF((AD$3-$D142+1)*VLOOKUP($A142,presupuesto!$B:$Q,16,FALSE)&gt;=VLOOKUP($A142,informe!$A:$J,9,FALSE),"cg","c"),"n")</f>
        <v>n</v>
      </c>
      <c r="AE142" s="195" t="str">
        <f>IF(AND(AE$3&gt;=$D142,AE$3&lt;=$E142),IF((AE$3-$D142+1)*VLOOKUP($A142,presupuesto!$B:$Q,16,FALSE)&gt;=VLOOKUP($A142,informe!$A:$J,9,FALSE),"cg","c"),"n")</f>
        <v>n</v>
      </c>
      <c r="AF142" s="195" t="str">
        <f>IF(AND(AF$3&gt;=$D142,AF$3&lt;=$E142),IF((AF$3-$D142+1)*VLOOKUP($A142,presupuesto!$B:$Q,16,FALSE)&gt;=VLOOKUP($A142,informe!$A:$J,9,FALSE),"cg","c"),"n")</f>
        <v>n</v>
      </c>
      <c r="AG142" s="195" t="str">
        <f>IF(AND(AG$3&gt;=$D142,AG$3&lt;=$E142),IF((AG$3-$D142+1)*VLOOKUP($A142,presupuesto!$B:$Q,16,FALSE)&gt;=VLOOKUP($A142,informe!$A:$J,9,FALSE),"cg","c"),"n")</f>
        <v>n</v>
      </c>
      <c r="AH142" s="195" t="str">
        <f>IF(AND(AH$3&gt;=$D142,AH$3&lt;=$E142),IF((AH$3-$D142+1)*VLOOKUP($A142,presupuesto!$B:$Q,16,FALSE)&gt;=VLOOKUP($A142,informe!$A:$J,9,FALSE),"cg","c"),"n")</f>
        <v>n</v>
      </c>
      <c r="AI142" s="195" t="str">
        <f>IF(AND(AI$3&gt;=$D142,AI$3&lt;=$E142),IF((AI$3-$D142+1)*VLOOKUP($A142,presupuesto!$B:$Q,16,FALSE)&gt;=VLOOKUP($A142,informe!$A:$J,9,FALSE),"cg","c"),"n")</f>
        <v>n</v>
      </c>
      <c r="AJ142" s="195" t="str">
        <f>IF(AND(AJ$3&gt;=$D142,AJ$3&lt;=$E142),IF((AJ$3-$D142+1)*VLOOKUP($A142,presupuesto!$B:$Q,16,FALSE)&gt;=VLOOKUP($A142,informe!$A:$J,9,FALSE),"cg","c"),"n")</f>
        <v>n</v>
      </c>
      <c r="AK142" s="196" t="str">
        <f>IF(AND(AK$3&gt;=$D142,AK$3&lt;=$E142),IF((AK$3-$D142+1)*VLOOKUP($A142,presupuesto!$B:$Q,16,FALSE)&gt;=VLOOKUP($A142,informe!$A:$J,9,FALSE),"cg","c"),"n")</f>
        <v>n</v>
      </c>
    </row>
    <row r="143" spans="1:37" x14ac:dyDescent="0.25">
      <c r="A143" s="197">
        <f>presupuesto!B142</f>
        <v>94</v>
      </c>
      <c r="B143" s="182" t="str">
        <f>presupuesto!C142</f>
        <v xml:space="preserve">         Cámara de válvula corte</v>
      </c>
      <c r="C143" s="174" t="str">
        <f>presupuesto!G142</f>
        <v>70 días</v>
      </c>
      <c r="D143" s="177">
        <f>presupuesto!N142</f>
        <v>45720</v>
      </c>
      <c r="E143" s="177">
        <f>presupuesto!O142</f>
        <v>45789</v>
      </c>
      <c r="F143" s="194" t="str">
        <f>IF(AK143="n",CONCATENATE(" - "),IF(AK143="cg",CONCATENATE(" - "),CONCATENATE(ROUND(IFERROR(VLOOKUP(A143,informe!A:J,9,FALSE)/VLOOKUP(A143,informe!A:J,5,FALSE),0)*100,2),"% ")))</f>
        <v xml:space="preserve"> - </v>
      </c>
      <c r="G143" s="195" t="str">
        <f>IF(AND(G$3&gt;=$D143,G$3&lt;=$E143),IF((G$3-$D143+1)*VLOOKUP($A143,presupuesto!$B:$Q,16,FALSE)&gt;=VLOOKUP($A143,informe!$A:$J,9,FALSE),"cg","c"),"n")</f>
        <v>n</v>
      </c>
      <c r="H143" s="195" t="str">
        <f>IF(AND(H$3&gt;=$D143,H$3&lt;=$E143),IF((H$3-$D143+1)*VLOOKUP($A143,presupuesto!$B:$Q,16,FALSE)&gt;=VLOOKUP($A143,informe!$A:$J,9,FALSE),"cg","c"),"n")</f>
        <v>n</v>
      </c>
      <c r="I143" s="195" t="str">
        <f>IF(AND(I$3&gt;=$D143,I$3&lt;=$E143),IF((I$3-$D143+1)*VLOOKUP($A143,presupuesto!$B:$Q,16,FALSE)&gt;=VLOOKUP($A143,informe!$A:$J,9,FALSE),"cg","c"),"n")</f>
        <v>n</v>
      </c>
      <c r="J143" s="195" t="str">
        <f>IF(AND(J$3&gt;=$D143,J$3&lt;=$E143),IF((J$3-$D143+1)*VLOOKUP($A143,presupuesto!$B:$Q,16,FALSE)&gt;=VLOOKUP($A143,informe!$A:$J,9,FALSE),"cg","c"),"n")</f>
        <v>n</v>
      </c>
      <c r="K143" s="195" t="str">
        <f>IF(AND(K$3&gt;=$D143,K$3&lt;=$E143),IF((K$3-$D143+1)*VLOOKUP($A143,presupuesto!$B:$Q,16,FALSE)&gt;=VLOOKUP($A143,informe!$A:$J,9,FALSE),"cg","c"),"n")</f>
        <v>n</v>
      </c>
      <c r="L143" s="195" t="str">
        <f>IF(AND(L$3&gt;=$D143,L$3&lt;=$E143),IF((L$3-$D143+1)*VLOOKUP($A143,presupuesto!$B:$Q,16,FALSE)&gt;=VLOOKUP($A143,informe!$A:$J,9,FALSE),"cg","c"),"n")</f>
        <v>n</v>
      </c>
      <c r="M143" s="195" t="str">
        <f>IF(AND(M$3&gt;=$D143,M$3&lt;=$E143),IF((M$3-$D143+1)*VLOOKUP($A143,presupuesto!$B:$Q,16,FALSE)&gt;=VLOOKUP($A143,informe!$A:$J,9,FALSE),"cg","c"),"n")</f>
        <v>n</v>
      </c>
      <c r="N143" s="195" t="str">
        <f>IF(AND(N$3&gt;=$D143,N$3&lt;=$E143),IF((N$3-$D143+1)*VLOOKUP($A143,presupuesto!$B:$Q,16,FALSE)&gt;=VLOOKUP($A143,informe!$A:$J,9,FALSE),"cg","c"),"n")</f>
        <v>n</v>
      </c>
      <c r="O143" s="195" t="str">
        <f>IF(AND(O$3&gt;=$D143,O$3&lt;=$E143),IF((O$3-$D143+1)*VLOOKUP($A143,presupuesto!$B:$Q,16,FALSE)&gt;=VLOOKUP($A143,informe!$A:$J,9,FALSE),"cg","c"),"n")</f>
        <v>n</v>
      </c>
      <c r="P143" s="195" t="str">
        <f>IF(AND(P$3&gt;=$D143,P$3&lt;=$E143),IF((P$3-$D143+1)*VLOOKUP($A143,presupuesto!$B:$Q,16,FALSE)&gt;=VLOOKUP($A143,informe!$A:$J,9,FALSE),"cg","c"),"n")</f>
        <v>n</v>
      </c>
      <c r="Q143" s="195" t="str">
        <f>IF(AND(Q$3&gt;=$D143,Q$3&lt;=$E143),IF((Q$3-$D143+1)*VLOOKUP($A143,presupuesto!$B:$Q,16,FALSE)&gt;=VLOOKUP($A143,informe!$A:$J,9,FALSE),"cg","c"),"n")</f>
        <v>n</v>
      </c>
      <c r="R143" s="195" t="str">
        <f>IF(AND(R$3&gt;=$D143,R$3&lt;=$E143),IF((R$3-$D143+1)*VLOOKUP($A143,presupuesto!$B:$Q,16,FALSE)&gt;=VLOOKUP($A143,informe!$A:$J,9,FALSE),"cg","c"),"n")</f>
        <v>n</v>
      </c>
      <c r="S143" s="195" t="str">
        <f>IF(AND(S$3&gt;=$D143,S$3&lt;=$E143),IF((S$3-$D143+1)*VLOOKUP($A143,presupuesto!$B:$Q,16,FALSE)&gt;=VLOOKUP($A143,informe!$A:$J,9,FALSE),"cg","c"),"n")</f>
        <v>n</v>
      </c>
      <c r="T143" s="195" t="str">
        <f>IF(AND(T$3&gt;=$D143,T$3&lt;=$E143),IF((T$3-$D143+1)*VLOOKUP($A143,presupuesto!$B:$Q,16,FALSE)&gt;=VLOOKUP($A143,informe!$A:$J,9,FALSE),"cg","c"),"n")</f>
        <v>n</v>
      </c>
      <c r="U143" s="195" t="str">
        <f>IF(AND(U$3&gt;=$D143,U$3&lt;=$E143),IF((U$3-$D143+1)*VLOOKUP($A143,presupuesto!$B:$Q,16,FALSE)&gt;=VLOOKUP($A143,informe!$A:$J,9,FALSE),"cg","c"),"n")</f>
        <v>n</v>
      </c>
      <c r="V143" s="195" t="str">
        <f>IF(AND(V$3&gt;=$D143,V$3&lt;=$E143),IF((V$3-$D143+1)*VLOOKUP($A143,presupuesto!$B:$Q,16,FALSE)&gt;=VLOOKUP($A143,informe!$A:$J,9,FALSE),"cg","c"),"n")</f>
        <v>n</v>
      </c>
      <c r="W143" s="195" t="str">
        <f>IF(AND(W$3&gt;=$D143,W$3&lt;=$E143),IF((W$3-$D143+1)*VLOOKUP($A143,presupuesto!$B:$Q,16,FALSE)&gt;=VLOOKUP($A143,informe!$A:$J,9,FALSE),"cg","c"),"n")</f>
        <v>n</v>
      </c>
      <c r="X143" s="195" t="str">
        <f>IF(AND(X$3&gt;=$D143,X$3&lt;=$E143),IF((X$3-$D143+1)*VLOOKUP($A143,presupuesto!$B:$Q,16,FALSE)&gt;=VLOOKUP($A143,informe!$A:$J,9,FALSE),"cg","c"),"n")</f>
        <v>n</v>
      </c>
      <c r="Y143" s="195" t="str">
        <f>IF(AND(Y$3&gt;=$D143,Y$3&lt;=$E143),IF((Y$3-$D143+1)*VLOOKUP($A143,presupuesto!$B:$Q,16,FALSE)&gt;=VLOOKUP($A143,informe!$A:$J,9,FALSE),"cg","c"),"n")</f>
        <v>n</v>
      </c>
      <c r="Z143" s="195" t="str">
        <f>IF(AND(Z$3&gt;=$D143,Z$3&lt;=$E143),IF((Z$3-$D143+1)*VLOOKUP($A143,presupuesto!$B:$Q,16,FALSE)&gt;=VLOOKUP($A143,informe!$A:$J,9,FALSE),"cg","c"),"n")</f>
        <v>n</v>
      </c>
      <c r="AA143" s="195" t="str">
        <f>IF(AND(AA$3&gt;=$D143,AA$3&lt;=$E143),IF((AA$3-$D143+1)*VLOOKUP($A143,presupuesto!$B:$Q,16,FALSE)&gt;=VLOOKUP($A143,informe!$A:$J,9,FALSE),"cg","c"),"n")</f>
        <v>n</v>
      </c>
      <c r="AB143" s="195" t="str">
        <f>IF(AND(AB$3&gt;=$D143,AB$3&lt;=$E143),IF((AB$3-$D143+1)*VLOOKUP($A143,presupuesto!$B:$Q,16,FALSE)&gt;=VLOOKUP($A143,informe!$A:$J,9,FALSE),"cg","c"),"n")</f>
        <v>n</v>
      </c>
      <c r="AC143" s="195" t="str">
        <f>IF(AND(AC$3&gt;=$D143,AC$3&lt;=$E143),IF((AC$3-$D143+1)*VLOOKUP($A143,presupuesto!$B:$Q,16,FALSE)&gt;=VLOOKUP($A143,informe!$A:$J,9,FALSE),"cg","c"),"n")</f>
        <v>n</v>
      </c>
      <c r="AD143" s="195" t="str">
        <f>IF(AND(AD$3&gt;=$D143,AD$3&lt;=$E143),IF((AD$3-$D143+1)*VLOOKUP($A143,presupuesto!$B:$Q,16,FALSE)&gt;=VLOOKUP($A143,informe!$A:$J,9,FALSE),"cg","c"),"n")</f>
        <v>n</v>
      </c>
      <c r="AE143" s="195" t="str">
        <f>IF(AND(AE$3&gt;=$D143,AE$3&lt;=$E143),IF((AE$3-$D143+1)*VLOOKUP($A143,presupuesto!$B:$Q,16,FALSE)&gt;=VLOOKUP($A143,informe!$A:$J,9,FALSE),"cg","c"),"n")</f>
        <v>n</v>
      </c>
      <c r="AF143" s="195" t="str">
        <f>IF(AND(AF$3&gt;=$D143,AF$3&lt;=$E143),IF((AF$3-$D143+1)*VLOOKUP($A143,presupuesto!$B:$Q,16,FALSE)&gt;=VLOOKUP($A143,informe!$A:$J,9,FALSE),"cg","c"),"n")</f>
        <v>n</v>
      </c>
      <c r="AG143" s="195" t="str">
        <f>IF(AND(AG$3&gt;=$D143,AG$3&lt;=$E143),IF((AG$3-$D143+1)*VLOOKUP($A143,presupuesto!$B:$Q,16,FALSE)&gt;=VLOOKUP($A143,informe!$A:$J,9,FALSE),"cg","c"),"n")</f>
        <v>n</v>
      </c>
      <c r="AH143" s="195" t="str">
        <f>IF(AND(AH$3&gt;=$D143,AH$3&lt;=$E143),IF((AH$3-$D143+1)*VLOOKUP($A143,presupuesto!$B:$Q,16,FALSE)&gt;=VLOOKUP($A143,informe!$A:$J,9,FALSE),"cg","c"),"n")</f>
        <v>n</v>
      </c>
      <c r="AI143" s="195" t="str">
        <f>IF(AND(AI$3&gt;=$D143,AI$3&lt;=$E143),IF((AI$3-$D143+1)*VLOOKUP($A143,presupuesto!$B:$Q,16,FALSE)&gt;=VLOOKUP($A143,informe!$A:$J,9,FALSE),"cg","c"),"n")</f>
        <v>n</v>
      </c>
      <c r="AJ143" s="195" t="str">
        <f>IF(AND(AJ$3&gt;=$D143,AJ$3&lt;=$E143),IF((AJ$3-$D143+1)*VLOOKUP($A143,presupuesto!$B:$Q,16,FALSE)&gt;=VLOOKUP($A143,informe!$A:$J,9,FALSE),"cg","c"),"n")</f>
        <v>n</v>
      </c>
      <c r="AK143" s="196" t="str">
        <f>IF(AND(AK$3&gt;=$D143,AK$3&lt;=$E143),IF((AK$3-$D143+1)*VLOOKUP($A143,presupuesto!$B:$Q,16,FALSE)&gt;=VLOOKUP($A143,informe!$A:$J,9,FALSE),"cg","c"),"n")</f>
        <v>n</v>
      </c>
    </row>
    <row r="144" spans="1:37" ht="13" x14ac:dyDescent="0.25">
      <c r="A144" s="193">
        <f>presupuesto!B143</f>
        <v>95</v>
      </c>
      <c r="B144" s="182" t="str">
        <f>presupuesto!C143</f>
        <v xml:space="preserve">         Cámara Ventosa Bifuncional</v>
      </c>
      <c r="C144" s="173" t="str">
        <f>presupuesto!G143</f>
        <v>95 días</v>
      </c>
      <c r="D144" s="176">
        <f>presupuesto!N143</f>
        <v>45790</v>
      </c>
      <c r="E144" s="176">
        <f>presupuesto!O143</f>
        <v>45884</v>
      </c>
      <c r="F144" s="194" t="str">
        <f>IF(AK144="n",CONCATENATE(" - "),IF(AK144="cg",CONCATENATE(" - "),CONCATENATE(ROUND(IFERROR(VLOOKUP(A144,informe!A:J,9,FALSE)/VLOOKUP(A144,informe!A:J,5,FALSE),0)*100,2),"% ")))</f>
        <v xml:space="preserve"> - </v>
      </c>
      <c r="G144" s="195" t="str">
        <f>IF(AND(G$3&gt;=$D144,G$3&lt;=$E144),IF((G$3-$D144+1)*VLOOKUP($A144,presupuesto!$B:$Q,16,FALSE)&gt;=VLOOKUP($A144,informe!$A:$J,9,FALSE),"cg","c"),"n")</f>
        <v>n</v>
      </c>
      <c r="H144" s="195" t="str">
        <f>IF(AND(H$3&gt;=$D144,H$3&lt;=$E144),IF((H$3-$D144+1)*VLOOKUP($A144,presupuesto!$B:$Q,16,FALSE)&gt;=VLOOKUP($A144,informe!$A:$J,9,FALSE),"cg","c"),"n")</f>
        <v>n</v>
      </c>
      <c r="I144" s="195" t="str">
        <f>IF(AND(I$3&gt;=$D144,I$3&lt;=$E144),IF((I$3-$D144+1)*VLOOKUP($A144,presupuesto!$B:$Q,16,FALSE)&gt;=VLOOKUP($A144,informe!$A:$J,9,FALSE),"cg","c"),"n")</f>
        <v>n</v>
      </c>
      <c r="J144" s="195" t="str">
        <f>IF(AND(J$3&gt;=$D144,J$3&lt;=$E144),IF((J$3-$D144+1)*VLOOKUP($A144,presupuesto!$B:$Q,16,FALSE)&gt;=VLOOKUP($A144,informe!$A:$J,9,FALSE),"cg","c"),"n")</f>
        <v>n</v>
      </c>
      <c r="K144" s="195" t="str">
        <f>IF(AND(K$3&gt;=$D144,K$3&lt;=$E144),IF((K$3-$D144+1)*VLOOKUP($A144,presupuesto!$B:$Q,16,FALSE)&gt;=VLOOKUP($A144,informe!$A:$J,9,FALSE),"cg","c"),"n")</f>
        <v>n</v>
      </c>
      <c r="L144" s="195" t="str">
        <f>IF(AND(L$3&gt;=$D144,L$3&lt;=$E144),IF((L$3-$D144+1)*VLOOKUP($A144,presupuesto!$B:$Q,16,FALSE)&gt;=VLOOKUP($A144,informe!$A:$J,9,FALSE),"cg","c"),"n")</f>
        <v>n</v>
      </c>
      <c r="M144" s="195" t="str">
        <f>IF(AND(M$3&gt;=$D144,M$3&lt;=$E144),IF((M$3-$D144+1)*VLOOKUP($A144,presupuesto!$B:$Q,16,FALSE)&gt;=VLOOKUP($A144,informe!$A:$J,9,FALSE),"cg","c"),"n")</f>
        <v>n</v>
      </c>
      <c r="N144" s="195" t="str">
        <f>IF(AND(N$3&gt;=$D144,N$3&lt;=$E144),IF((N$3-$D144+1)*VLOOKUP($A144,presupuesto!$B:$Q,16,FALSE)&gt;=VLOOKUP($A144,informe!$A:$J,9,FALSE),"cg","c"),"n")</f>
        <v>n</v>
      </c>
      <c r="O144" s="195" t="str">
        <f>IF(AND(O$3&gt;=$D144,O$3&lt;=$E144),IF((O$3-$D144+1)*VLOOKUP($A144,presupuesto!$B:$Q,16,FALSE)&gt;=VLOOKUP($A144,informe!$A:$J,9,FALSE),"cg","c"),"n")</f>
        <v>n</v>
      </c>
      <c r="P144" s="195" t="str">
        <f>IF(AND(P$3&gt;=$D144,P$3&lt;=$E144),IF((P$3-$D144+1)*VLOOKUP($A144,presupuesto!$B:$Q,16,FALSE)&gt;=VLOOKUP($A144,informe!$A:$J,9,FALSE),"cg","c"),"n")</f>
        <v>n</v>
      </c>
      <c r="Q144" s="195" t="str">
        <f>IF(AND(Q$3&gt;=$D144,Q$3&lt;=$E144),IF((Q$3-$D144+1)*VLOOKUP($A144,presupuesto!$B:$Q,16,FALSE)&gt;=VLOOKUP($A144,informe!$A:$J,9,FALSE),"cg","c"),"n")</f>
        <v>n</v>
      </c>
      <c r="R144" s="195" t="str">
        <f>IF(AND(R$3&gt;=$D144,R$3&lt;=$E144),IF((R$3-$D144+1)*VLOOKUP($A144,presupuesto!$B:$Q,16,FALSE)&gt;=VLOOKUP($A144,informe!$A:$J,9,FALSE),"cg","c"),"n")</f>
        <v>n</v>
      </c>
      <c r="S144" s="195" t="str">
        <f>IF(AND(S$3&gt;=$D144,S$3&lt;=$E144),IF((S$3-$D144+1)*VLOOKUP($A144,presupuesto!$B:$Q,16,FALSE)&gt;=VLOOKUP($A144,informe!$A:$J,9,FALSE),"cg","c"),"n")</f>
        <v>n</v>
      </c>
      <c r="T144" s="195" t="str">
        <f>IF(AND(T$3&gt;=$D144,T$3&lt;=$E144),IF((T$3-$D144+1)*VLOOKUP($A144,presupuesto!$B:$Q,16,FALSE)&gt;=VLOOKUP($A144,informe!$A:$J,9,FALSE),"cg","c"),"n")</f>
        <v>n</v>
      </c>
      <c r="U144" s="195" t="str">
        <f>IF(AND(U$3&gt;=$D144,U$3&lt;=$E144),IF((U$3-$D144+1)*VLOOKUP($A144,presupuesto!$B:$Q,16,FALSE)&gt;=VLOOKUP($A144,informe!$A:$J,9,FALSE),"cg","c"),"n")</f>
        <v>n</v>
      </c>
      <c r="V144" s="195" t="str">
        <f>IF(AND(V$3&gt;=$D144,V$3&lt;=$E144),IF((V$3-$D144+1)*VLOOKUP($A144,presupuesto!$B:$Q,16,FALSE)&gt;=VLOOKUP($A144,informe!$A:$J,9,FALSE),"cg","c"),"n")</f>
        <v>n</v>
      </c>
      <c r="W144" s="195" t="str">
        <f>IF(AND(W$3&gt;=$D144,W$3&lt;=$E144),IF((W$3-$D144+1)*VLOOKUP($A144,presupuesto!$B:$Q,16,FALSE)&gt;=VLOOKUP($A144,informe!$A:$J,9,FALSE),"cg","c"),"n")</f>
        <v>n</v>
      </c>
      <c r="X144" s="195" t="str">
        <f>IF(AND(X$3&gt;=$D144,X$3&lt;=$E144),IF((X$3-$D144+1)*VLOOKUP($A144,presupuesto!$B:$Q,16,FALSE)&gt;=VLOOKUP($A144,informe!$A:$J,9,FALSE),"cg","c"),"n")</f>
        <v>n</v>
      </c>
      <c r="Y144" s="195" t="str">
        <f>IF(AND(Y$3&gt;=$D144,Y$3&lt;=$E144),IF((Y$3-$D144+1)*VLOOKUP($A144,presupuesto!$B:$Q,16,FALSE)&gt;=VLOOKUP($A144,informe!$A:$J,9,FALSE),"cg","c"),"n")</f>
        <v>n</v>
      </c>
      <c r="Z144" s="195" t="str">
        <f>IF(AND(Z$3&gt;=$D144,Z$3&lt;=$E144),IF((Z$3-$D144+1)*VLOOKUP($A144,presupuesto!$B:$Q,16,FALSE)&gt;=VLOOKUP($A144,informe!$A:$J,9,FALSE),"cg","c"),"n")</f>
        <v>n</v>
      </c>
      <c r="AA144" s="195" t="str">
        <f>IF(AND(AA$3&gt;=$D144,AA$3&lt;=$E144),IF((AA$3-$D144+1)*VLOOKUP($A144,presupuesto!$B:$Q,16,FALSE)&gt;=VLOOKUP($A144,informe!$A:$J,9,FALSE),"cg","c"),"n")</f>
        <v>n</v>
      </c>
      <c r="AB144" s="195" t="str">
        <f>IF(AND(AB$3&gt;=$D144,AB$3&lt;=$E144),IF((AB$3-$D144+1)*VLOOKUP($A144,presupuesto!$B:$Q,16,FALSE)&gt;=VLOOKUP($A144,informe!$A:$J,9,FALSE),"cg","c"),"n")</f>
        <v>n</v>
      </c>
      <c r="AC144" s="195" t="str">
        <f>IF(AND(AC$3&gt;=$D144,AC$3&lt;=$E144),IF((AC$3-$D144+1)*VLOOKUP($A144,presupuesto!$B:$Q,16,FALSE)&gt;=VLOOKUP($A144,informe!$A:$J,9,FALSE),"cg","c"),"n")</f>
        <v>n</v>
      </c>
      <c r="AD144" s="195" t="str">
        <f>IF(AND(AD$3&gt;=$D144,AD$3&lt;=$E144),IF((AD$3-$D144+1)*VLOOKUP($A144,presupuesto!$B:$Q,16,FALSE)&gt;=VLOOKUP($A144,informe!$A:$J,9,FALSE),"cg","c"),"n")</f>
        <v>n</v>
      </c>
      <c r="AE144" s="195" t="str">
        <f>IF(AND(AE$3&gt;=$D144,AE$3&lt;=$E144),IF((AE$3-$D144+1)*VLOOKUP($A144,presupuesto!$B:$Q,16,FALSE)&gt;=VLOOKUP($A144,informe!$A:$J,9,FALSE),"cg","c"),"n")</f>
        <v>n</v>
      </c>
      <c r="AF144" s="195" t="str">
        <f>IF(AND(AF$3&gt;=$D144,AF$3&lt;=$E144),IF((AF$3-$D144+1)*VLOOKUP($A144,presupuesto!$B:$Q,16,FALSE)&gt;=VLOOKUP($A144,informe!$A:$J,9,FALSE),"cg","c"),"n")</f>
        <v>n</v>
      </c>
      <c r="AG144" s="195" t="str">
        <f>IF(AND(AG$3&gt;=$D144,AG$3&lt;=$E144),IF((AG$3-$D144+1)*VLOOKUP($A144,presupuesto!$B:$Q,16,FALSE)&gt;=VLOOKUP($A144,informe!$A:$J,9,FALSE),"cg","c"),"n")</f>
        <v>n</v>
      </c>
      <c r="AH144" s="195" t="str">
        <f>IF(AND(AH$3&gt;=$D144,AH$3&lt;=$E144),IF((AH$3-$D144+1)*VLOOKUP($A144,presupuesto!$B:$Q,16,FALSE)&gt;=VLOOKUP($A144,informe!$A:$J,9,FALSE),"cg","c"),"n")</f>
        <v>n</v>
      </c>
      <c r="AI144" s="195" t="str">
        <f>IF(AND(AI$3&gt;=$D144,AI$3&lt;=$E144),IF((AI$3-$D144+1)*VLOOKUP($A144,presupuesto!$B:$Q,16,FALSE)&gt;=VLOOKUP($A144,informe!$A:$J,9,FALSE),"cg","c"),"n")</f>
        <v>n</v>
      </c>
      <c r="AJ144" s="195" t="str">
        <f>IF(AND(AJ$3&gt;=$D144,AJ$3&lt;=$E144),IF((AJ$3-$D144+1)*VLOOKUP($A144,presupuesto!$B:$Q,16,FALSE)&gt;=VLOOKUP($A144,informe!$A:$J,9,FALSE),"cg","c"),"n")</f>
        <v>n</v>
      </c>
      <c r="AK144" s="196" t="str">
        <f>IF(AND(AK$3&gt;=$D144,AK$3&lt;=$E144),IF((AK$3-$D144+1)*VLOOKUP($A144,presupuesto!$B:$Q,16,FALSE)&gt;=VLOOKUP($A144,informe!$A:$J,9,FALSE),"cg","c"),"n")</f>
        <v>n</v>
      </c>
    </row>
    <row r="145" spans="1:37" ht="13" x14ac:dyDescent="0.25">
      <c r="A145" s="193">
        <f>presupuesto!B144</f>
        <v>96</v>
      </c>
      <c r="B145" s="182" t="str">
        <f>presupuesto!C144</f>
        <v xml:space="preserve">         Cámara reguladora de presión</v>
      </c>
      <c r="C145" s="173" t="str">
        <f>presupuesto!G144</f>
        <v>30 días</v>
      </c>
      <c r="D145" s="176">
        <f>presupuesto!N144</f>
        <v>45790</v>
      </c>
      <c r="E145" s="176">
        <f>presupuesto!O144</f>
        <v>45819</v>
      </c>
      <c r="F145" s="194" t="str">
        <f>IF(AK145="n",CONCATENATE(" - "),IF(AK145="cg",CONCATENATE(" - "),CONCATENATE(ROUND(IFERROR(VLOOKUP(A145,informe!A:J,9,FALSE)/VLOOKUP(A145,informe!A:J,5,FALSE),0)*100,2),"% ")))</f>
        <v xml:space="preserve"> - </v>
      </c>
      <c r="G145" s="195" t="str">
        <f>IF(AND(G$3&gt;=$D145,G$3&lt;=$E145),IF((G$3-$D145+1)*VLOOKUP($A145,presupuesto!$B:$Q,16,FALSE)&gt;=VLOOKUP($A145,informe!$A:$J,9,FALSE),"cg","c"),"n")</f>
        <v>n</v>
      </c>
      <c r="H145" s="195" t="str">
        <f>IF(AND(H$3&gt;=$D145,H$3&lt;=$E145),IF((H$3-$D145+1)*VLOOKUP($A145,presupuesto!$B:$Q,16,FALSE)&gt;=VLOOKUP($A145,informe!$A:$J,9,FALSE),"cg","c"),"n")</f>
        <v>n</v>
      </c>
      <c r="I145" s="195" t="str">
        <f>IF(AND(I$3&gt;=$D145,I$3&lt;=$E145),IF((I$3-$D145+1)*VLOOKUP($A145,presupuesto!$B:$Q,16,FALSE)&gt;=VLOOKUP($A145,informe!$A:$J,9,FALSE),"cg","c"),"n")</f>
        <v>n</v>
      </c>
      <c r="J145" s="195" t="str">
        <f>IF(AND(J$3&gt;=$D145,J$3&lt;=$E145),IF((J$3-$D145+1)*VLOOKUP($A145,presupuesto!$B:$Q,16,FALSE)&gt;=VLOOKUP($A145,informe!$A:$J,9,FALSE),"cg","c"),"n")</f>
        <v>n</v>
      </c>
      <c r="K145" s="195" t="str">
        <f>IF(AND(K$3&gt;=$D145,K$3&lt;=$E145),IF((K$3-$D145+1)*VLOOKUP($A145,presupuesto!$B:$Q,16,FALSE)&gt;=VLOOKUP($A145,informe!$A:$J,9,FALSE),"cg","c"),"n")</f>
        <v>n</v>
      </c>
      <c r="L145" s="195" t="str">
        <f>IF(AND(L$3&gt;=$D145,L$3&lt;=$E145),IF((L$3-$D145+1)*VLOOKUP($A145,presupuesto!$B:$Q,16,FALSE)&gt;=VLOOKUP($A145,informe!$A:$J,9,FALSE),"cg","c"),"n")</f>
        <v>n</v>
      </c>
      <c r="M145" s="195" t="str">
        <f>IF(AND(M$3&gt;=$D145,M$3&lt;=$E145),IF((M$3-$D145+1)*VLOOKUP($A145,presupuesto!$B:$Q,16,FALSE)&gt;=VLOOKUP($A145,informe!$A:$J,9,FALSE),"cg","c"),"n")</f>
        <v>n</v>
      </c>
      <c r="N145" s="195" t="str">
        <f>IF(AND(N$3&gt;=$D145,N$3&lt;=$E145),IF((N$3-$D145+1)*VLOOKUP($A145,presupuesto!$B:$Q,16,FALSE)&gt;=VLOOKUP($A145,informe!$A:$J,9,FALSE),"cg","c"),"n")</f>
        <v>n</v>
      </c>
      <c r="O145" s="195" t="str">
        <f>IF(AND(O$3&gt;=$D145,O$3&lt;=$E145),IF((O$3-$D145+1)*VLOOKUP($A145,presupuesto!$B:$Q,16,FALSE)&gt;=VLOOKUP($A145,informe!$A:$J,9,FALSE),"cg","c"),"n")</f>
        <v>n</v>
      </c>
      <c r="P145" s="195" t="str">
        <f>IF(AND(P$3&gt;=$D145,P$3&lt;=$E145),IF((P$3-$D145+1)*VLOOKUP($A145,presupuesto!$B:$Q,16,FALSE)&gt;=VLOOKUP($A145,informe!$A:$J,9,FALSE),"cg","c"),"n")</f>
        <v>n</v>
      </c>
      <c r="Q145" s="195" t="str">
        <f>IF(AND(Q$3&gt;=$D145,Q$3&lt;=$E145),IF((Q$3-$D145+1)*VLOOKUP($A145,presupuesto!$B:$Q,16,FALSE)&gt;=VLOOKUP($A145,informe!$A:$J,9,FALSE),"cg","c"),"n")</f>
        <v>n</v>
      </c>
      <c r="R145" s="195" t="str">
        <f>IF(AND(R$3&gt;=$D145,R$3&lt;=$E145),IF((R$3-$D145+1)*VLOOKUP($A145,presupuesto!$B:$Q,16,FALSE)&gt;=VLOOKUP($A145,informe!$A:$J,9,FALSE),"cg","c"),"n")</f>
        <v>n</v>
      </c>
      <c r="S145" s="195" t="str">
        <f>IF(AND(S$3&gt;=$D145,S$3&lt;=$E145),IF((S$3-$D145+1)*VLOOKUP($A145,presupuesto!$B:$Q,16,FALSE)&gt;=VLOOKUP($A145,informe!$A:$J,9,FALSE),"cg","c"),"n")</f>
        <v>n</v>
      </c>
      <c r="T145" s="195" t="str">
        <f>IF(AND(T$3&gt;=$D145,T$3&lt;=$E145),IF((T$3-$D145+1)*VLOOKUP($A145,presupuesto!$B:$Q,16,FALSE)&gt;=VLOOKUP($A145,informe!$A:$J,9,FALSE),"cg","c"),"n")</f>
        <v>n</v>
      </c>
      <c r="U145" s="195" t="str">
        <f>IF(AND(U$3&gt;=$D145,U$3&lt;=$E145),IF((U$3-$D145+1)*VLOOKUP($A145,presupuesto!$B:$Q,16,FALSE)&gt;=VLOOKUP($A145,informe!$A:$J,9,FALSE),"cg","c"),"n")</f>
        <v>n</v>
      </c>
      <c r="V145" s="195" t="str">
        <f>IF(AND(V$3&gt;=$D145,V$3&lt;=$E145),IF((V$3-$D145+1)*VLOOKUP($A145,presupuesto!$B:$Q,16,FALSE)&gt;=VLOOKUP($A145,informe!$A:$J,9,FALSE),"cg","c"),"n")</f>
        <v>n</v>
      </c>
      <c r="W145" s="195" t="str">
        <f>IF(AND(W$3&gt;=$D145,W$3&lt;=$E145),IF((W$3-$D145+1)*VLOOKUP($A145,presupuesto!$B:$Q,16,FALSE)&gt;=VLOOKUP($A145,informe!$A:$J,9,FALSE),"cg","c"),"n")</f>
        <v>n</v>
      </c>
      <c r="X145" s="195" t="str">
        <f>IF(AND(X$3&gt;=$D145,X$3&lt;=$E145),IF((X$3-$D145+1)*VLOOKUP($A145,presupuesto!$B:$Q,16,FALSE)&gt;=VLOOKUP($A145,informe!$A:$J,9,FALSE),"cg","c"),"n")</f>
        <v>n</v>
      </c>
      <c r="Y145" s="195" t="str">
        <f>IF(AND(Y$3&gt;=$D145,Y$3&lt;=$E145),IF((Y$3-$D145+1)*VLOOKUP($A145,presupuesto!$B:$Q,16,FALSE)&gt;=VLOOKUP($A145,informe!$A:$J,9,FALSE),"cg","c"),"n")</f>
        <v>n</v>
      </c>
      <c r="Z145" s="195" t="str">
        <f>IF(AND(Z$3&gt;=$D145,Z$3&lt;=$E145),IF((Z$3-$D145+1)*VLOOKUP($A145,presupuesto!$B:$Q,16,FALSE)&gt;=VLOOKUP($A145,informe!$A:$J,9,FALSE),"cg","c"),"n")</f>
        <v>n</v>
      </c>
      <c r="AA145" s="195" t="str">
        <f>IF(AND(AA$3&gt;=$D145,AA$3&lt;=$E145),IF((AA$3-$D145+1)*VLOOKUP($A145,presupuesto!$B:$Q,16,FALSE)&gt;=VLOOKUP($A145,informe!$A:$J,9,FALSE),"cg","c"),"n")</f>
        <v>n</v>
      </c>
      <c r="AB145" s="195" t="str">
        <f>IF(AND(AB$3&gt;=$D145,AB$3&lt;=$E145),IF((AB$3-$D145+1)*VLOOKUP($A145,presupuesto!$B:$Q,16,FALSE)&gt;=VLOOKUP($A145,informe!$A:$J,9,FALSE),"cg","c"),"n")</f>
        <v>n</v>
      </c>
      <c r="AC145" s="195" t="str">
        <f>IF(AND(AC$3&gt;=$D145,AC$3&lt;=$E145),IF((AC$3-$D145+1)*VLOOKUP($A145,presupuesto!$B:$Q,16,FALSE)&gt;=VLOOKUP($A145,informe!$A:$J,9,FALSE),"cg","c"),"n")</f>
        <v>n</v>
      </c>
      <c r="AD145" s="195" t="str">
        <f>IF(AND(AD$3&gt;=$D145,AD$3&lt;=$E145),IF((AD$3-$D145+1)*VLOOKUP($A145,presupuesto!$B:$Q,16,FALSE)&gt;=VLOOKUP($A145,informe!$A:$J,9,FALSE),"cg","c"),"n")</f>
        <v>n</v>
      </c>
      <c r="AE145" s="195" t="str">
        <f>IF(AND(AE$3&gt;=$D145,AE$3&lt;=$E145),IF((AE$3-$D145+1)*VLOOKUP($A145,presupuesto!$B:$Q,16,FALSE)&gt;=VLOOKUP($A145,informe!$A:$J,9,FALSE),"cg","c"),"n")</f>
        <v>n</v>
      </c>
      <c r="AF145" s="195" t="str">
        <f>IF(AND(AF$3&gt;=$D145,AF$3&lt;=$E145),IF((AF$3-$D145+1)*VLOOKUP($A145,presupuesto!$B:$Q,16,FALSE)&gt;=VLOOKUP($A145,informe!$A:$J,9,FALSE),"cg","c"),"n")</f>
        <v>n</v>
      </c>
      <c r="AG145" s="195" t="str">
        <f>IF(AND(AG$3&gt;=$D145,AG$3&lt;=$E145),IF((AG$3-$D145+1)*VLOOKUP($A145,presupuesto!$B:$Q,16,FALSE)&gt;=VLOOKUP($A145,informe!$A:$J,9,FALSE),"cg","c"),"n")</f>
        <v>n</v>
      </c>
      <c r="AH145" s="195" t="str">
        <f>IF(AND(AH$3&gt;=$D145,AH$3&lt;=$E145),IF((AH$3-$D145+1)*VLOOKUP($A145,presupuesto!$B:$Q,16,FALSE)&gt;=VLOOKUP($A145,informe!$A:$J,9,FALSE),"cg","c"),"n")</f>
        <v>n</v>
      </c>
      <c r="AI145" s="195" t="str">
        <f>IF(AND(AI$3&gt;=$D145,AI$3&lt;=$E145),IF((AI$3-$D145+1)*VLOOKUP($A145,presupuesto!$B:$Q,16,FALSE)&gt;=VLOOKUP($A145,informe!$A:$J,9,FALSE),"cg","c"),"n")</f>
        <v>n</v>
      </c>
      <c r="AJ145" s="195" t="str">
        <f>IF(AND(AJ$3&gt;=$D145,AJ$3&lt;=$E145),IF((AJ$3-$D145+1)*VLOOKUP($A145,presupuesto!$B:$Q,16,FALSE)&gt;=VLOOKUP($A145,informe!$A:$J,9,FALSE),"cg","c"),"n")</f>
        <v>n</v>
      </c>
      <c r="AK145" s="196" t="str">
        <f>IF(AND(AK$3&gt;=$D145,AK$3&lt;=$E145),IF((AK$3-$D145+1)*VLOOKUP($A145,presupuesto!$B:$Q,16,FALSE)&gt;=VLOOKUP($A145,informe!$A:$J,9,FALSE),"cg","c"),"n")</f>
        <v>n</v>
      </c>
    </row>
    <row r="146" spans="1:37" ht="13" x14ac:dyDescent="0.3">
      <c r="A146" s="193">
        <f>presupuesto!B145</f>
        <v>0</v>
      </c>
      <c r="B146" s="181" t="str">
        <f>presupuesto!C145</f>
        <v xml:space="preserve">   CAPÍTULO VI: OBRAS VIALES</v>
      </c>
      <c r="C146" s="173" t="str">
        <f>presupuesto!G145</f>
        <v>105 días</v>
      </c>
      <c r="D146" s="176">
        <f>presupuesto!N145</f>
        <v>45785</v>
      </c>
      <c r="E146" s="176">
        <f>presupuesto!O145</f>
        <v>45889</v>
      </c>
      <c r="F146" s="194" t="str">
        <f>IF(AK146="n",CONCATENATE(" - "),IF(AK146="cg",CONCATENATE(" - "),CONCATENATE(ROUND(IFERROR(VLOOKUP(A146,informe!A:J,9,FALSE)/VLOOKUP(A146,informe!A:J,5,FALSE),0)*100,2),"% ")))</f>
        <v xml:space="preserve"> - </v>
      </c>
      <c r="G146" s="195" t="str">
        <f>IF(AND(G$3&gt;=$D146,G$3&lt;=$E146),IF((G$3-$D146+1)*VLOOKUP($A146,presupuesto!$B:$Q,16,FALSE)&gt;=VLOOKUP($A146,informe!$A:$J,9,FALSE),"cg","c"),"n")</f>
        <v>n</v>
      </c>
      <c r="H146" s="195" t="str">
        <f>IF(AND(H$3&gt;=$D146,H$3&lt;=$E146),IF((H$3-$D146+1)*VLOOKUP($A146,presupuesto!$B:$Q,16,FALSE)&gt;=VLOOKUP($A146,informe!$A:$J,9,FALSE),"cg","c"),"n")</f>
        <v>n</v>
      </c>
      <c r="I146" s="195" t="str">
        <f>IF(AND(I$3&gt;=$D146,I$3&lt;=$E146),IF((I$3-$D146+1)*VLOOKUP($A146,presupuesto!$B:$Q,16,FALSE)&gt;=VLOOKUP($A146,informe!$A:$J,9,FALSE),"cg","c"),"n")</f>
        <v>n</v>
      </c>
      <c r="J146" s="195" t="str">
        <f>IF(AND(J$3&gt;=$D146,J$3&lt;=$E146),IF((J$3-$D146+1)*VLOOKUP($A146,presupuesto!$B:$Q,16,FALSE)&gt;=VLOOKUP($A146,informe!$A:$J,9,FALSE),"cg","c"),"n")</f>
        <v>n</v>
      </c>
      <c r="K146" s="195" t="str">
        <f>IF(AND(K$3&gt;=$D146,K$3&lt;=$E146),IF((K$3-$D146+1)*VLOOKUP($A146,presupuesto!$B:$Q,16,FALSE)&gt;=VLOOKUP($A146,informe!$A:$J,9,FALSE),"cg","c"),"n")</f>
        <v>n</v>
      </c>
      <c r="L146" s="195" t="str">
        <f>IF(AND(L$3&gt;=$D146,L$3&lt;=$E146),IF((L$3-$D146+1)*VLOOKUP($A146,presupuesto!$B:$Q,16,FALSE)&gt;=VLOOKUP($A146,informe!$A:$J,9,FALSE),"cg","c"),"n")</f>
        <v>n</v>
      </c>
      <c r="M146" s="195" t="str">
        <f>IF(AND(M$3&gt;=$D146,M$3&lt;=$E146),IF((M$3-$D146+1)*VLOOKUP($A146,presupuesto!$B:$Q,16,FALSE)&gt;=VLOOKUP($A146,informe!$A:$J,9,FALSE),"cg","c"),"n")</f>
        <v>n</v>
      </c>
      <c r="N146" s="195" t="str">
        <f>IF(AND(N$3&gt;=$D146,N$3&lt;=$E146),IF((N$3-$D146+1)*VLOOKUP($A146,presupuesto!$B:$Q,16,FALSE)&gt;=VLOOKUP($A146,informe!$A:$J,9,FALSE),"cg","c"),"n")</f>
        <v>n</v>
      </c>
      <c r="O146" s="195" t="str">
        <f>IF(AND(O$3&gt;=$D146,O$3&lt;=$E146),IF((O$3-$D146+1)*VLOOKUP($A146,presupuesto!$B:$Q,16,FALSE)&gt;=VLOOKUP($A146,informe!$A:$J,9,FALSE),"cg","c"),"n")</f>
        <v>n</v>
      </c>
      <c r="P146" s="195" t="str">
        <f>IF(AND(P$3&gt;=$D146,P$3&lt;=$E146),IF((P$3-$D146+1)*VLOOKUP($A146,presupuesto!$B:$Q,16,FALSE)&gt;=VLOOKUP($A146,informe!$A:$J,9,FALSE),"cg","c"),"n")</f>
        <v>n</v>
      </c>
      <c r="Q146" s="195" t="str">
        <f>IF(AND(Q$3&gt;=$D146,Q$3&lt;=$E146),IF((Q$3-$D146+1)*VLOOKUP($A146,presupuesto!$B:$Q,16,FALSE)&gt;=VLOOKUP($A146,informe!$A:$J,9,FALSE),"cg","c"),"n")</f>
        <v>n</v>
      </c>
      <c r="R146" s="195" t="str">
        <f>IF(AND(R$3&gt;=$D146,R$3&lt;=$E146),IF((R$3-$D146+1)*VLOOKUP($A146,presupuesto!$B:$Q,16,FALSE)&gt;=VLOOKUP($A146,informe!$A:$J,9,FALSE),"cg","c"),"n")</f>
        <v>n</v>
      </c>
      <c r="S146" s="195" t="str">
        <f>IF(AND(S$3&gt;=$D146,S$3&lt;=$E146),IF((S$3-$D146+1)*VLOOKUP($A146,presupuesto!$B:$Q,16,FALSE)&gt;=VLOOKUP($A146,informe!$A:$J,9,FALSE),"cg","c"),"n")</f>
        <v>n</v>
      </c>
      <c r="T146" s="195" t="str">
        <f>IF(AND(T$3&gt;=$D146,T$3&lt;=$E146),IF((T$3-$D146+1)*VLOOKUP($A146,presupuesto!$B:$Q,16,FALSE)&gt;=VLOOKUP($A146,informe!$A:$J,9,FALSE),"cg","c"),"n")</f>
        <v>n</v>
      </c>
      <c r="U146" s="195" t="str">
        <f>IF(AND(U$3&gt;=$D146,U$3&lt;=$E146),IF((U$3-$D146+1)*VLOOKUP($A146,presupuesto!$B:$Q,16,FALSE)&gt;=VLOOKUP($A146,informe!$A:$J,9,FALSE),"cg","c"),"n")</f>
        <v>n</v>
      </c>
      <c r="V146" s="195" t="str">
        <f>IF(AND(V$3&gt;=$D146,V$3&lt;=$E146),IF((V$3-$D146+1)*VLOOKUP($A146,presupuesto!$B:$Q,16,FALSE)&gt;=VLOOKUP($A146,informe!$A:$J,9,FALSE),"cg","c"),"n")</f>
        <v>n</v>
      </c>
      <c r="W146" s="195" t="str">
        <f>IF(AND(W$3&gt;=$D146,W$3&lt;=$E146),IF((W$3-$D146+1)*VLOOKUP($A146,presupuesto!$B:$Q,16,FALSE)&gt;=VLOOKUP($A146,informe!$A:$J,9,FALSE),"cg","c"),"n")</f>
        <v>n</v>
      </c>
      <c r="X146" s="195" t="str">
        <f>IF(AND(X$3&gt;=$D146,X$3&lt;=$E146),IF((X$3-$D146+1)*VLOOKUP($A146,presupuesto!$B:$Q,16,FALSE)&gt;=VLOOKUP($A146,informe!$A:$J,9,FALSE),"cg","c"),"n")</f>
        <v>n</v>
      </c>
      <c r="Y146" s="195" t="str">
        <f>IF(AND(Y$3&gt;=$D146,Y$3&lt;=$E146),IF((Y$3-$D146+1)*VLOOKUP($A146,presupuesto!$B:$Q,16,FALSE)&gt;=VLOOKUP($A146,informe!$A:$J,9,FALSE),"cg","c"),"n")</f>
        <v>n</v>
      </c>
      <c r="Z146" s="195" t="str">
        <f>IF(AND(Z$3&gt;=$D146,Z$3&lt;=$E146),IF((Z$3-$D146+1)*VLOOKUP($A146,presupuesto!$B:$Q,16,FALSE)&gt;=VLOOKUP($A146,informe!$A:$J,9,FALSE),"cg","c"),"n")</f>
        <v>n</v>
      </c>
      <c r="AA146" s="195" t="str">
        <f>IF(AND(AA$3&gt;=$D146,AA$3&lt;=$E146),IF((AA$3-$D146+1)*VLOOKUP($A146,presupuesto!$B:$Q,16,FALSE)&gt;=VLOOKUP($A146,informe!$A:$J,9,FALSE),"cg","c"),"n")</f>
        <v>n</v>
      </c>
      <c r="AB146" s="195" t="str">
        <f>IF(AND(AB$3&gt;=$D146,AB$3&lt;=$E146),IF((AB$3-$D146+1)*VLOOKUP($A146,presupuesto!$B:$Q,16,FALSE)&gt;=VLOOKUP($A146,informe!$A:$J,9,FALSE),"cg","c"),"n")</f>
        <v>n</v>
      </c>
      <c r="AC146" s="195" t="str">
        <f>IF(AND(AC$3&gt;=$D146,AC$3&lt;=$E146),IF((AC$3-$D146+1)*VLOOKUP($A146,presupuesto!$B:$Q,16,FALSE)&gt;=VLOOKUP($A146,informe!$A:$J,9,FALSE),"cg","c"),"n")</f>
        <v>n</v>
      </c>
      <c r="AD146" s="195" t="str">
        <f>IF(AND(AD$3&gt;=$D146,AD$3&lt;=$E146),IF((AD$3-$D146+1)*VLOOKUP($A146,presupuesto!$B:$Q,16,FALSE)&gt;=VLOOKUP($A146,informe!$A:$J,9,FALSE),"cg","c"),"n")</f>
        <v>n</v>
      </c>
      <c r="AE146" s="195" t="str">
        <f>IF(AND(AE$3&gt;=$D146,AE$3&lt;=$E146),IF((AE$3-$D146+1)*VLOOKUP($A146,presupuesto!$B:$Q,16,FALSE)&gt;=VLOOKUP($A146,informe!$A:$J,9,FALSE),"cg","c"),"n")</f>
        <v>n</v>
      </c>
      <c r="AF146" s="195" t="str">
        <f>IF(AND(AF$3&gt;=$D146,AF$3&lt;=$E146),IF((AF$3-$D146+1)*VLOOKUP($A146,presupuesto!$B:$Q,16,FALSE)&gt;=VLOOKUP($A146,informe!$A:$J,9,FALSE),"cg","c"),"n")</f>
        <v>n</v>
      </c>
      <c r="AG146" s="195" t="str">
        <f>IF(AND(AG$3&gt;=$D146,AG$3&lt;=$E146),IF((AG$3-$D146+1)*VLOOKUP($A146,presupuesto!$B:$Q,16,FALSE)&gt;=VLOOKUP($A146,informe!$A:$J,9,FALSE),"cg","c"),"n")</f>
        <v>n</v>
      </c>
      <c r="AH146" s="195" t="str">
        <f>IF(AND(AH$3&gt;=$D146,AH$3&lt;=$E146),IF((AH$3-$D146+1)*VLOOKUP($A146,presupuesto!$B:$Q,16,FALSE)&gt;=VLOOKUP($A146,informe!$A:$J,9,FALSE),"cg","c"),"n")</f>
        <v>n</v>
      </c>
      <c r="AI146" s="195" t="str">
        <f>IF(AND(AI$3&gt;=$D146,AI$3&lt;=$E146),IF((AI$3-$D146+1)*VLOOKUP($A146,presupuesto!$B:$Q,16,FALSE)&gt;=VLOOKUP($A146,informe!$A:$J,9,FALSE),"cg","c"),"n")</f>
        <v>n</v>
      </c>
      <c r="AJ146" s="195" t="str">
        <f>IF(AND(AJ$3&gt;=$D146,AJ$3&lt;=$E146),IF((AJ$3-$D146+1)*VLOOKUP($A146,presupuesto!$B:$Q,16,FALSE)&gt;=VLOOKUP($A146,informe!$A:$J,9,FALSE),"cg","c"),"n")</f>
        <v>n</v>
      </c>
      <c r="AK146" s="196" t="str">
        <f>IF(AND(AK$3&gt;=$D146,AK$3&lt;=$E146),IF((AK$3-$D146+1)*VLOOKUP($A146,presupuesto!$B:$Q,16,FALSE)&gt;=VLOOKUP($A146,informe!$A:$J,9,FALSE),"cg","c"),"n")</f>
        <v>n</v>
      </c>
    </row>
    <row r="147" spans="1:37" ht="13" x14ac:dyDescent="0.25">
      <c r="A147" s="193">
        <f>presupuesto!B146</f>
        <v>97</v>
      </c>
      <c r="B147" s="182" t="str">
        <f>presupuesto!C146</f>
        <v xml:space="preserve">      Atravieso red agua potable en zanja</v>
      </c>
      <c r="C147" s="173" t="str">
        <f>presupuesto!G146</f>
        <v>5 días</v>
      </c>
      <c r="D147" s="176">
        <f>presupuesto!N146</f>
        <v>45785</v>
      </c>
      <c r="E147" s="176">
        <f>presupuesto!O146</f>
        <v>45789</v>
      </c>
      <c r="F147" s="194" t="str">
        <f>IF(AK147="n",CONCATENATE(" - "),IF(AK147="cg",CONCATENATE(" - "),CONCATENATE(ROUND(IFERROR(VLOOKUP(A147,informe!A:J,9,FALSE)/VLOOKUP(A147,informe!A:J,5,FALSE),0)*100,2),"% ")))</f>
        <v xml:space="preserve"> - </v>
      </c>
      <c r="G147" s="195" t="str">
        <f>IF(AND(G$3&gt;=$D147,G$3&lt;=$E147),IF((G$3-$D147+1)*VLOOKUP($A147,presupuesto!$B:$Q,16,FALSE)&gt;=VLOOKUP($A147,informe!$A:$J,9,FALSE),"cg","c"),"n")</f>
        <v>n</v>
      </c>
      <c r="H147" s="195" t="str">
        <f>IF(AND(H$3&gt;=$D147,H$3&lt;=$E147),IF((H$3-$D147+1)*VLOOKUP($A147,presupuesto!$B:$Q,16,FALSE)&gt;=VLOOKUP($A147,informe!$A:$J,9,FALSE),"cg","c"),"n")</f>
        <v>n</v>
      </c>
      <c r="I147" s="195" t="str">
        <f>IF(AND(I$3&gt;=$D147,I$3&lt;=$E147),IF((I$3-$D147+1)*VLOOKUP($A147,presupuesto!$B:$Q,16,FALSE)&gt;=VLOOKUP($A147,informe!$A:$J,9,FALSE),"cg","c"),"n")</f>
        <v>n</v>
      </c>
      <c r="J147" s="195" t="str">
        <f>IF(AND(J$3&gt;=$D147,J$3&lt;=$E147),IF((J$3-$D147+1)*VLOOKUP($A147,presupuesto!$B:$Q,16,FALSE)&gt;=VLOOKUP($A147,informe!$A:$J,9,FALSE),"cg","c"),"n")</f>
        <v>n</v>
      </c>
      <c r="K147" s="195" t="str">
        <f>IF(AND(K$3&gt;=$D147,K$3&lt;=$E147),IF((K$3-$D147+1)*VLOOKUP($A147,presupuesto!$B:$Q,16,FALSE)&gt;=VLOOKUP($A147,informe!$A:$J,9,FALSE),"cg","c"),"n")</f>
        <v>n</v>
      </c>
      <c r="L147" s="195" t="str">
        <f>IF(AND(L$3&gt;=$D147,L$3&lt;=$E147),IF((L$3-$D147+1)*VLOOKUP($A147,presupuesto!$B:$Q,16,FALSE)&gt;=VLOOKUP($A147,informe!$A:$J,9,FALSE),"cg","c"),"n")</f>
        <v>n</v>
      </c>
      <c r="M147" s="195" t="str">
        <f>IF(AND(M$3&gt;=$D147,M$3&lt;=$E147),IF((M$3-$D147+1)*VLOOKUP($A147,presupuesto!$B:$Q,16,FALSE)&gt;=VLOOKUP($A147,informe!$A:$J,9,FALSE),"cg","c"),"n")</f>
        <v>n</v>
      </c>
      <c r="N147" s="195" t="str">
        <f>IF(AND(N$3&gt;=$D147,N$3&lt;=$E147),IF((N$3-$D147+1)*VLOOKUP($A147,presupuesto!$B:$Q,16,FALSE)&gt;=VLOOKUP($A147,informe!$A:$J,9,FALSE),"cg","c"),"n")</f>
        <v>n</v>
      </c>
      <c r="O147" s="195" t="str">
        <f>IF(AND(O$3&gt;=$D147,O$3&lt;=$E147),IF((O$3-$D147+1)*VLOOKUP($A147,presupuesto!$B:$Q,16,FALSE)&gt;=VLOOKUP($A147,informe!$A:$J,9,FALSE),"cg","c"),"n")</f>
        <v>n</v>
      </c>
      <c r="P147" s="195" t="str">
        <f>IF(AND(P$3&gt;=$D147,P$3&lt;=$E147),IF((P$3-$D147+1)*VLOOKUP($A147,presupuesto!$B:$Q,16,FALSE)&gt;=VLOOKUP($A147,informe!$A:$J,9,FALSE),"cg","c"),"n")</f>
        <v>n</v>
      </c>
      <c r="Q147" s="195" t="str">
        <f>IF(AND(Q$3&gt;=$D147,Q$3&lt;=$E147),IF((Q$3-$D147+1)*VLOOKUP($A147,presupuesto!$B:$Q,16,FALSE)&gt;=VLOOKUP($A147,informe!$A:$J,9,FALSE),"cg","c"),"n")</f>
        <v>n</v>
      </c>
      <c r="R147" s="195" t="str">
        <f>IF(AND(R$3&gt;=$D147,R$3&lt;=$E147),IF((R$3-$D147+1)*VLOOKUP($A147,presupuesto!$B:$Q,16,FALSE)&gt;=VLOOKUP($A147,informe!$A:$J,9,FALSE),"cg","c"),"n")</f>
        <v>n</v>
      </c>
      <c r="S147" s="195" t="str">
        <f>IF(AND(S$3&gt;=$D147,S$3&lt;=$E147),IF((S$3-$D147+1)*VLOOKUP($A147,presupuesto!$B:$Q,16,FALSE)&gt;=VLOOKUP($A147,informe!$A:$J,9,FALSE),"cg","c"),"n")</f>
        <v>n</v>
      </c>
      <c r="T147" s="195" t="str">
        <f>IF(AND(T$3&gt;=$D147,T$3&lt;=$E147),IF((T$3-$D147+1)*VLOOKUP($A147,presupuesto!$B:$Q,16,FALSE)&gt;=VLOOKUP($A147,informe!$A:$J,9,FALSE),"cg","c"),"n")</f>
        <v>n</v>
      </c>
      <c r="U147" s="195" t="str">
        <f>IF(AND(U$3&gt;=$D147,U$3&lt;=$E147),IF((U$3-$D147+1)*VLOOKUP($A147,presupuesto!$B:$Q,16,FALSE)&gt;=VLOOKUP($A147,informe!$A:$J,9,FALSE),"cg","c"),"n")</f>
        <v>n</v>
      </c>
      <c r="V147" s="195" t="str">
        <f>IF(AND(V$3&gt;=$D147,V$3&lt;=$E147),IF((V$3-$D147+1)*VLOOKUP($A147,presupuesto!$B:$Q,16,FALSE)&gt;=VLOOKUP($A147,informe!$A:$J,9,FALSE),"cg","c"),"n")</f>
        <v>n</v>
      </c>
      <c r="W147" s="195" t="str">
        <f>IF(AND(W$3&gt;=$D147,W$3&lt;=$E147),IF((W$3-$D147+1)*VLOOKUP($A147,presupuesto!$B:$Q,16,FALSE)&gt;=VLOOKUP($A147,informe!$A:$J,9,FALSE),"cg","c"),"n")</f>
        <v>n</v>
      </c>
      <c r="X147" s="195" t="str">
        <f>IF(AND(X$3&gt;=$D147,X$3&lt;=$E147),IF((X$3-$D147+1)*VLOOKUP($A147,presupuesto!$B:$Q,16,FALSE)&gt;=VLOOKUP($A147,informe!$A:$J,9,FALSE),"cg","c"),"n")</f>
        <v>n</v>
      </c>
      <c r="Y147" s="195" t="str">
        <f>IF(AND(Y$3&gt;=$D147,Y$3&lt;=$E147),IF((Y$3-$D147+1)*VLOOKUP($A147,presupuesto!$B:$Q,16,FALSE)&gt;=VLOOKUP($A147,informe!$A:$J,9,FALSE),"cg","c"),"n")</f>
        <v>n</v>
      </c>
      <c r="Z147" s="195" t="str">
        <f>IF(AND(Z$3&gt;=$D147,Z$3&lt;=$E147),IF((Z$3-$D147+1)*VLOOKUP($A147,presupuesto!$B:$Q,16,FALSE)&gt;=VLOOKUP($A147,informe!$A:$J,9,FALSE),"cg","c"),"n")</f>
        <v>n</v>
      </c>
      <c r="AA147" s="195" t="str">
        <f>IF(AND(AA$3&gt;=$D147,AA$3&lt;=$E147),IF((AA$3-$D147+1)*VLOOKUP($A147,presupuesto!$B:$Q,16,FALSE)&gt;=VLOOKUP($A147,informe!$A:$J,9,FALSE),"cg","c"),"n")</f>
        <v>n</v>
      </c>
      <c r="AB147" s="195" t="str">
        <f>IF(AND(AB$3&gt;=$D147,AB$3&lt;=$E147),IF((AB$3-$D147+1)*VLOOKUP($A147,presupuesto!$B:$Q,16,FALSE)&gt;=VLOOKUP($A147,informe!$A:$J,9,FALSE),"cg","c"),"n")</f>
        <v>n</v>
      </c>
      <c r="AC147" s="195" t="str">
        <f>IF(AND(AC$3&gt;=$D147,AC$3&lt;=$E147),IF((AC$3-$D147+1)*VLOOKUP($A147,presupuesto!$B:$Q,16,FALSE)&gt;=VLOOKUP($A147,informe!$A:$J,9,FALSE),"cg","c"),"n")</f>
        <v>n</v>
      </c>
      <c r="AD147" s="195" t="str">
        <f>IF(AND(AD$3&gt;=$D147,AD$3&lt;=$E147),IF((AD$3-$D147+1)*VLOOKUP($A147,presupuesto!$B:$Q,16,FALSE)&gt;=VLOOKUP($A147,informe!$A:$J,9,FALSE),"cg","c"),"n")</f>
        <v>n</v>
      </c>
      <c r="AE147" s="195" t="str">
        <f>IF(AND(AE$3&gt;=$D147,AE$3&lt;=$E147),IF((AE$3-$D147+1)*VLOOKUP($A147,presupuesto!$B:$Q,16,FALSE)&gt;=VLOOKUP($A147,informe!$A:$J,9,FALSE),"cg","c"),"n")</f>
        <v>n</v>
      </c>
      <c r="AF147" s="195" t="str">
        <f>IF(AND(AF$3&gt;=$D147,AF$3&lt;=$E147),IF((AF$3-$D147+1)*VLOOKUP($A147,presupuesto!$B:$Q,16,FALSE)&gt;=VLOOKUP($A147,informe!$A:$J,9,FALSE),"cg","c"),"n")</f>
        <v>n</v>
      </c>
      <c r="AG147" s="195" t="str">
        <f>IF(AND(AG$3&gt;=$D147,AG$3&lt;=$E147),IF((AG$3-$D147+1)*VLOOKUP($A147,presupuesto!$B:$Q,16,FALSE)&gt;=VLOOKUP($A147,informe!$A:$J,9,FALSE),"cg","c"),"n")</f>
        <v>n</v>
      </c>
      <c r="AH147" s="195" t="str">
        <f>IF(AND(AH$3&gt;=$D147,AH$3&lt;=$E147),IF((AH$3-$D147+1)*VLOOKUP($A147,presupuesto!$B:$Q,16,FALSE)&gt;=VLOOKUP($A147,informe!$A:$J,9,FALSE),"cg","c"),"n")</f>
        <v>n</v>
      </c>
      <c r="AI147" s="195" t="str">
        <f>IF(AND(AI$3&gt;=$D147,AI$3&lt;=$E147),IF((AI$3-$D147+1)*VLOOKUP($A147,presupuesto!$B:$Q,16,FALSE)&gt;=VLOOKUP($A147,informe!$A:$J,9,FALSE),"cg","c"),"n")</f>
        <v>n</v>
      </c>
      <c r="AJ147" s="195" t="str">
        <f>IF(AND(AJ$3&gt;=$D147,AJ$3&lt;=$E147),IF((AJ$3-$D147+1)*VLOOKUP($A147,presupuesto!$B:$Q,16,FALSE)&gt;=VLOOKUP($A147,informe!$A:$J,9,FALSE),"cg","c"),"n")</f>
        <v>n</v>
      </c>
      <c r="AK147" s="196" t="str">
        <f>IF(AND(AK$3&gt;=$D147,AK$3&lt;=$E147),IF((AK$3-$D147+1)*VLOOKUP($A147,presupuesto!$B:$Q,16,FALSE)&gt;=VLOOKUP($A147,informe!$A:$J,9,FALSE),"cg","c"),"n")</f>
        <v>n</v>
      </c>
    </row>
    <row r="148" spans="1:37" x14ac:dyDescent="0.25">
      <c r="A148" s="197">
        <f>presupuesto!B147</f>
        <v>98</v>
      </c>
      <c r="B148" s="182" t="str">
        <f>presupuesto!C147</f>
        <v xml:space="preserve">      Atravieso red con tunelera</v>
      </c>
      <c r="C148" s="174" t="str">
        <f>presupuesto!G147</f>
        <v>60 días</v>
      </c>
      <c r="D148" s="177">
        <f>presupuesto!N147</f>
        <v>45815</v>
      </c>
      <c r="E148" s="177">
        <f>presupuesto!O147</f>
        <v>45874</v>
      </c>
      <c r="F148" s="194" t="str">
        <f>IF(AK148="n",CONCATENATE(" - "),IF(AK148="cg",CONCATENATE(" - "),CONCATENATE(ROUND(IFERROR(VLOOKUP(A148,informe!A:J,9,FALSE)/VLOOKUP(A148,informe!A:J,5,FALSE),0)*100,2),"% ")))</f>
        <v xml:space="preserve"> - </v>
      </c>
      <c r="G148" s="195" t="str">
        <f>IF(AND(G$3&gt;=$D148,G$3&lt;=$E148),IF((G$3-$D148+1)*VLOOKUP($A148,presupuesto!$B:$Q,16,FALSE)&gt;=VLOOKUP($A148,informe!$A:$J,9,FALSE),"cg","c"),"n")</f>
        <v>n</v>
      </c>
      <c r="H148" s="195" t="str">
        <f>IF(AND(H$3&gt;=$D148,H$3&lt;=$E148),IF((H$3-$D148+1)*VLOOKUP($A148,presupuesto!$B:$Q,16,FALSE)&gt;=VLOOKUP($A148,informe!$A:$J,9,FALSE),"cg","c"),"n")</f>
        <v>n</v>
      </c>
      <c r="I148" s="195" t="str">
        <f>IF(AND(I$3&gt;=$D148,I$3&lt;=$E148),IF((I$3-$D148+1)*VLOOKUP($A148,presupuesto!$B:$Q,16,FALSE)&gt;=VLOOKUP($A148,informe!$A:$J,9,FALSE),"cg","c"),"n")</f>
        <v>n</v>
      </c>
      <c r="J148" s="195" t="str">
        <f>IF(AND(J$3&gt;=$D148,J$3&lt;=$E148),IF((J$3-$D148+1)*VLOOKUP($A148,presupuesto!$B:$Q,16,FALSE)&gt;=VLOOKUP($A148,informe!$A:$J,9,FALSE),"cg","c"),"n")</f>
        <v>n</v>
      </c>
      <c r="K148" s="195" t="str">
        <f>IF(AND(K$3&gt;=$D148,K$3&lt;=$E148),IF((K$3-$D148+1)*VLOOKUP($A148,presupuesto!$B:$Q,16,FALSE)&gt;=VLOOKUP($A148,informe!$A:$J,9,FALSE),"cg","c"),"n")</f>
        <v>n</v>
      </c>
      <c r="L148" s="195" t="str">
        <f>IF(AND(L$3&gt;=$D148,L$3&lt;=$E148),IF((L$3-$D148+1)*VLOOKUP($A148,presupuesto!$B:$Q,16,FALSE)&gt;=VLOOKUP($A148,informe!$A:$J,9,FALSE),"cg","c"),"n")</f>
        <v>n</v>
      </c>
      <c r="M148" s="195" t="str">
        <f>IF(AND(M$3&gt;=$D148,M$3&lt;=$E148),IF((M$3-$D148+1)*VLOOKUP($A148,presupuesto!$B:$Q,16,FALSE)&gt;=VLOOKUP($A148,informe!$A:$J,9,FALSE),"cg","c"),"n")</f>
        <v>n</v>
      </c>
      <c r="N148" s="195" t="str">
        <f>IF(AND(N$3&gt;=$D148,N$3&lt;=$E148),IF((N$3-$D148+1)*VLOOKUP($A148,presupuesto!$B:$Q,16,FALSE)&gt;=VLOOKUP($A148,informe!$A:$J,9,FALSE),"cg","c"),"n")</f>
        <v>n</v>
      </c>
      <c r="O148" s="195" t="str">
        <f>IF(AND(O$3&gt;=$D148,O$3&lt;=$E148),IF((O$3-$D148+1)*VLOOKUP($A148,presupuesto!$B:$Q,16,FALSE)&gt;=VLOOKUP($A148,informe!$A:$J,9,FALSE),"cg","c"),"n")</f>
        <v>n</v>
      </c>
      <c r="P148" s="195" t="str">
        <f>IF(AND(P$3&gt;=$D148,P$3&lt;=$E148),IF((P$3-$D148+1)*VLOOKUP($A148,presupuesto!$B:$Q,16,FALSE)&gt;=VLOOKUP($A148,informe!$A:$J,9,FALSE),"cg","c"),"n")</f>
        <v>n</v>
      </c>
      <c r="Q148" s="195" t="str">
        <f>IF(AND(Q$3&gt;=$D148,Q$3&lt;=$E148),IF((Q$3-$D148+1)*VLOOKUP($A148,presupuesto!$B:$Q,16,FALSE)&gt;=VLOOKUP($A148,informe!$A:$J,9,FALSE),"cg","c"),"n")</f>
        <v>n</v>
      </c>
      <c r="R148" s="195" t="str">
        <f>IF(AND(R$3&gt;=$D148,R$3&lt;=$E148),IF((R$3-$D148+1)*VLOOKUP($A148,presupuesto!$B:$Q,16,FALSE)&gt;=VLOOKUP($A148,informe!$A:$J,9,FALSE),"cg","c"),"n")</f>
        <v>n</v>
      </c>
      <c r="S148" s="195" t="str">
        <f>IF(AND(S$3&gt;=$D148,S$3&lt;=$E148),IF((S$3-$D148+1)*VLOOKUP($A148,presupuesto!$B:$Q,16,FALSE)&gt;=VLOOKUP($A148,informe!$A:$J,9,FALSE),"cg","c"),"n")</f>
        <v>n</v>
      </c>
      <c r="T148" s="195" t="str">
        <f>IF(AND(T$3&gt;=$D148,T$3&lt;=$E148),IF((T$3-$D148+1)*VLOOKUP($A148,presupuesto!$B:$Q,16,FALSE)&gt;=VLOOKUP($A148,informe!$A:$J,9,FALSE),"cg","c"),"n")</f>
        <v>n</v>
      </c>
      <c r="U148" s="195" t="str">
        <f>IF(AND(U$3&gt;=$D148,U$3&lt;=$E148),IF((U$3-$D148+1)*VLOOKUP($A148,presupuesto!$B:$Q,16,FALSE)&gt;=VLOOKUP($A148,informe!$A:$J,9,FALSE),"cg","c"),"n")</f>
        <v>n</v>
      </c>
      <c r="V148" s="195" t="str">
        <f>IF(AND(V$3&gt;=$D148,V$3&lt;=$E148),IF((V$3-$D148+1)*VLOOKUP($A148,presupuesto!$B:$Q,16,FALSE)&gt;=VLOOKUP($A148,informe!$A:$J,9,FALSE),"cg","c"),"n")</f>
        <v>n</v>
      </c>
      <c r="W148" s="195" t="str">
        <f>IF(AND(W$3&gt;=$D148,W$3&lt;=$E148),IF((W$3-$D148+1)*VLOOKUP($A148,presupuesto!$B:$Q,16,FALSE)&gt;=VLOOKUP($A148,informe!$A:$J,9,FALSE),"cg","c"),"n")</f>
        <v>n</v>
      </c>
      <c r="X148" s="195" t="str">
        <f>IF(AND(X$3&gt;=$D148,X$3&lt;=$E148),IF((X$3-$D148+1)*VLOOKUP($A148,presupuesto!$B:$Q,16,FALSE)&gt;=VLOOKUP($A148,informe!$A:$J,9,FALSE),"cg","c"),"n")</f>
        <v>n</v>
      </c>
      <c r="Y148" s="195" t="str">
        <f>IF(AND(Y$3&gt;=$D148,Y$3&lt;=$E148),IF((Y$3-$D148+1)*VLOOKUP($A148,presupuesto!$B:$Q,16,FALSE)&gt;=VLOOKUP($A148,informe!$A:$J,9,FALSE),"cg","c"),"n")</f>
        <v>n</v>
      </c>
      <c r="Z148" s="195" t="str">
        <f>IF(AND(Z$3&gt;=$D148,Z$3&lt;=$E148),IF((Z$3-$D148+1)*VLOOKUP($A148,presupuesto!$B:$Q,16,FALSE)&gt;=VLOOKUP($A148,informe!$A:$J,9,FALSE),"cg","c"),"n")</f>
        <v>n</v>
      </c>
      <c r="AA148" s="195" t="str">
        <f>IF(AND(AA$3&gt;=$D148,AA$3&lt;=$E148),IF((AA$3-$D148+1)*VLOOKUP($A148,presupuesto!$B:$Q,16,FALSE)&gt;=VLOOKUP($A148,informe!$A:$J,9,FALSE),"cg","c"),"n")</f>
        <v>n</v>
      </c>
      <c r="AB148" s="195" t="str">
        <f>IF(AND(AB$3&gt;=$D148,AB$3&lt;=$E148),IF((AB$3-$D148+1)*VLOOKUP($A148,presupuesto!$B:$Q,16,FALSE)&gt;=VLOOKUP($A148,informe!$A:$J,9,FALSE),"cg","c"),"n")</f>
        <v>n</v>
      </c>
      <c r="AC148" s="195" t="str">
        <f>IF(AND(AC$3&gt;=$D148,AC$3&lt;=$E148),IF((AC$3-$D148+1)*VLOOKUP($A148,presupuesto!$B:$Q,16,FALSE)&gt;=VLOOKUP($A148,informe!$A:$J,9,FALSE),"cg","c"),"n")</f>
        <v>n</v>
      </c>
      <c r="AD148" s="195" t="str">
        <f>IF(AND(AD$3&gt;=$D148,AD$3&lt;=$E148),IF((AD$3-$D148+1)*VLOOKUP($A148,presupuesto!$B:$Q,16,FALSE)&gt;=VLOOKUP($A148,informe!$A:$J,9,FALSE),"cg","c"),"n")</f>
        <v>n</v>
      </c>
      <c r="AE148" s="195" t="str">
        <f>IF(AND(AE$3&gt;=$D148,AE$3&lt;=$E148),IF((AE$3-$D148+1)*VLOOKUP($A148,presupuesto!$B:$Q,16,FALSE)&gt;=VLOOKUP($A148,informe!$A:$J,9,FALSE),"cg","c"),"n")</f>
        <v>n</v>
      </c>
      <c r="AF148" s="195" t="str">
        <f>IF(AND(AF$3&gt;=$D148,AF$3&lt;=$E148),IF((AF$3-$D148+1)*VLOOKUP($A148,presupuesto!$B:$Q,16,FALSE)&gt;=VLOOKUP($A148,informe!$A:$J,9,FALSE),"cg","c"),"n")</f>
        <v>n</v>
      </c>
      <c r="AG148" s="195" t="str">
        <f>IF(AND(AG$3&gt;=$D148,AG$3&lt;=$E148),IF((AG$3-$D148+1)*VLOOKUP($A148,presupuesto!$B:$Q,16,FALSE)&gt;=VLOOKUP($A148,informe!$A:$J,9,FALSE),"cg","c"),"n")</f>
        <v>n</v>
      </c>
      <c r="AH148" s="195" t="str">
        <f>IF(AND(AH$3&gt;=$D148,AH$3&lt;=$E148),IF((AH$3-$D148+1)*VLOOKUP($A148,presupuesto!$B:$Q,16,FALSE)&gt;=VLOOKUP($A148,informe!$A:$J,9,FALSE),"cg","c"),"n")</f>
        <v>n</v>
      </c>
      <c r="AI148" s="195" t="str">
        <f>IF(AND(AI$3&gt;=$D148,AI$3&lt;=$E148),IF((AI$3-$D148+1)*VLOOKUP($A148,presupuesto!$B:$Q,16,FALSE)&gt;=VLOOKUP($A148,informe!$A:$J,9,FALSE),"cg","c"),"n")</f>
        <v>n</v>
      </c>
      <c r="AJ148" s="195" t="str">
        <f>IF(AND(AJ$3&gt;=$D148,AJ$3&lt;=$E148),IF((AJ$3-$D148+1)*VLOOKUP($A148,presupuesto!$B:$Q,16,FALSE)&gt;=VLOOKUP($A148,informe!$A:$J,9,FALSE),"cg","c"),"n")</f>
        <v>n</v>
      </c>
      <c r="AK148" s="196" t="str">
        <f>IF(AND(AK$3&gt;=$D148,AK$3&lt;=$E148),IF((AK$3-$D148+1)*VLOOKUP($A148,presupuesto!$B:$Q,16,FALSE)&gt;=VLOOKUP($A148,informe!$A:$J,9,FALSE),"cg","c"),"n")</f>
        <v>n</v>
      </c>
    </row>
    <row r="149" spans="1:37" ht="12.75" customHeight="1" x14ac:dyDescent="0.25">
      <c r="A149" s="193">
        <f>presupuesto!B148</f>
        <v>99</v>
      </c>
      <c r="B149" s="182" t="str">
        <f>presupuesto!C148</f>
        <v xml:space="preserve">      Atravieso arranque domiciliario</v>
      </c>
      <c r="C149" s="173" t="str">
        <f>presupuesto!G148</f>
        <v>30 días</v>
      </c>
      <c r="D149" s="176">
        <f>presupuesto!N148</f>
        <v>45860</v>
      </c>
      <c r="E149" s="176">
        <f>presupuesto!O148</f>
        <v>45889</v>
      </c>
      <c r="F149" s="194" t="str">
        <f>IF(AK149="n",CONCATENATE(" - "),IF(AK149="cg",CONCATENATE(" - "),CONCATENATE(ROUND(IFERROR(VLOOKUP(A149,informe!A:J,9,FALSE)/VLOOKUP(A149,informe!A:J,5,FALSE),0)*100,2),"% ")))</f>
        <v xml:space="preserve"> - </v>
      </c>
      <c r="G149" s="195" t="str">
        <f>IF(AND(G$3&gt;=$D149,G$3&lt;=$E149),IF((G$3-$D149+1)*VLOOKUP($A149,presupuesto!$B:$Q,16,FALSE)&gt;=VLOOKUP($A149,informe!$A:$J,9,FALSE),"cg","c"),"n")</f>
        <v>n</v>
      </c>
      <c r="H149" s="195" t="str">
        <f>IF(AND(H$3&gt;=$D149,H$3&lt;=$E149),IF((H$3-$D149+1)*VLOOKUP($A149,presupuesto!$B:$Q,16,FALSE)&gt;=VLOOKUP($A149,informe!$A:$J,9,FALSE),"cg","c"),"n")</f>
        <v>n</v>
      </c>
      <c r="I149" s="195" t="str">
        <f>IF(AND(I$3&gt;=$D149,I$3&lt;=$E149),IF((I$3-$D149+1)*VLOOKUP($A149,presupuesto!$B:$Q,16,FALSE)&gt;=VLOOKUP($A149,informe!$A:$J,9,FALSE),"cg","c"),"n")</f>
        <v>n</v>
      </c>
      <c r="J149" s="195" t="str">
        <f>IF(AND(J$3&gt;=$D149,J$3&lt;=$E149),IF((J$3-$D149+1)*VLOOKUP($A149,presupuesto!$B:$Q,16,FALSE)&gt;=VLOOKUP($A149,informe!$A:$J,9,FALSE),"cg","c"),"n")</f>
        <v>n</v>
      </c>
      <c r="K149" s="195" t="str">
        <f>IF(AND(K$3&gt;=$D149,K$3&lt;=$E149),IF((K$3-$D149+1)*VLOOKUP($A149,presupuesto!$B:$Q,16,FALSE)&gt;=VLOOKUP($A149,informe!$A:$J,9,FALSE),"cg","c"),"n")</f>
        <v>n</v>
      </c>
      <c r="L149" s="195" t="str">
        <f>IF(AND(L$3&gt;=$D149,L$3&lt;=$E149),IF((L$3-$D149+1)*VLOOKUP($A149,presupuesto!$B:$Q,16,FALSE)&gt;=VLOOKUP($A149,informe!$A:$J,9,FALSE),"cg","c"),"n")</f>
        <v>n</v>
      </c>
      <c r="M149" s="195" t="str">
        <f>IF(AND(M$3&gt;=$D149,M$3&lt;=$E149),IF((M$3-$D149+1)*VLOOKUP($A149,presupuesto!$B:$Q,16,FALSE)&gt;=VLOOKUP($A149,informe!$A:$J,9,FALSE),"cg","c"),"n")</f>
        <v>n</v>
      </c>
      <c r="N149" s="195" t="str">
        <f>IF(AND(N$3&gt;=$D149,N$3&lt;=$E149),IF((N$3-$D149+1)*VLOOKUP($A149,presupuesto!$B:$Q,16,FALSE)&gt;=VLOOKUP($A149,informe!$A:$J,9,FALSE),"cg","c"),"n")</f>
        <v>n</v>
      </c>
      <c r="O149" s="195" t="str">
        <f>IF(AND(O$3&gt;=$D149,O$3&lt;=$E149),IF((O$3-$D149+1)*VLOOKUP($A149,presupuesto!$B:$Q,16,FALSE)&gt;=VLOOKUP($A149,informe!$A:$J,9,FALSE),"cg","c"),"n")</f>
        <v>n</v>
      </c>
      <c r="P149" s="195" t="str">
        <f>IF(AND(P$3&gt;=$D149,P$3&lt;=$E149),IF((P$3-$D149+1)*VLOOKUP($A149,presupuesto!$B:$Q,16,FALSE)&gt;=VLOOKUP($A149,informe!$A:$J,9,FALSE),"cg","c"),"n")</f>
        <v>n</v>
      </c>
      <c r="Q149" s="195" t="str">
        <f>IF(AND(Q$3&gt;=$D149,Q$3&lt;=$E149),IF((Q$3-$D149+1)*VLOOKUP($A149,presupuesto!$B:$Q,16,FALSE)&gt;=VLOOKUP($A149,informe!$A:$J,9,FALSE),"cg","c"),"n")</f>
        <v>n</v>
      </c>
      <c r="R149" s="195" t="str">
        <f>IF(AND(R$3&gt;=$D149,R$3&lt;=$E149),IF((R$3-$D149+1)*VLOOKUP($A149,presupuesto!$B:$Q,16,FALSE)&gt;=VLOOKUP($A149,informe!$A:$J,9,FALSE),"cg","c"),"n")</f>
        <v>n</v>
      </c>
      <c r="S149" s="195" t="str">
        <f>IF(AND(S$3&gt;=$D149,S$3&lt;=$E149),IF((S$3-$D149+1)*VLOOKUP($A149,presupuesto!$B:$Q,16,FALSE)&gt;=VLOOKUP($A149,informe!$A:$J,9,FALSE),"cg","c"),"n")</f>
        <v>n</v>
      </c>
      <c r="T149" s="195" t="str">
        <f>IF(AND(T$3&gt;=$D149,T$3&lt;=$E149),IF((T$3-$D149+1)*VLOOKUP($A149,presupuesto!$B:$Q,16,FALSE)&gt;=VLOOKUP($A149,informe!$A:$J,9,FALSE),"cg","c"),"n")</f>
        <v>n</v>
      </c>
      <c r="U149" s="195" t="str">
        <f>IF(AND(U$3&gt;=$D149,U$3&lt;=$E149),IF((U$3-$D149+1)*VLOOKUP($A149,presupuesto!$B:$Q,16,FALSE)&gt;=VLOOKUP($A149,informe!$A:$J,9,FALSE),"cg","c"),"n")</f>
        <v>n</v>
      </c>
      <c r="V149" s="195" t="str">
        <f>IF(AND(V$3&gt;=$D149,V$3&lt;=$E149),IF((V$3-$D149+1)*VLOOKUP($A149,presupuesto!$B:$Q,16,FALSE)&gt;=VLOOKUP($A149,informe!$A:$J,9,FALSE),"cg","c"),"n")</f>
        <v>n</v>
      </c>
      <c r="W149" s="195" t="str">
        <f>IF(AND(W$3&gt;=$D149,W$3&lt;=$E149),IF((W$3-$D149+1)*VLOOKUP($A149,presupuesto!$B:$Q,16,FALSE)&gt;=VLOOKUP($A149,informe!$A:$J,9,FALSE),"cg","c"),"n")</f>
        <v>n</v>
      </c>
      <c r="X149" s="195" t="str">
        <f>IF(AND(X$3&gt;=$D149,X$3&lt;=$E149),IF((X$3-$D149+1)*VLOOKUP($A149,presupuesto!$B:$Q,16,FALSE)&gt;=VLOOKUP($A149,informe!$A:$J,9,FALSE),"cg","c"),"n")</f>
        <v>n</v>
      </c>
      <c r="Y149" s="195" t="str">
        <f>IF(AND(Y$3&gt;=$D149,Y$3&lt;=$E149),IF((Y$3-$D149+1)*VLOOKUP($A149,presupuesto!$B:$Q,16,FALSE)&gt;=VLOOKUP($A149,informe!$A:$J,9,FALSE),"cg","c"),"n")</f>
        <v>n</v>
      </c>
      <c r="Z149" s="195" t="str">
        <f>IF(AND(Z$3&gt;=$D149,Z$3&lt;=$E149),IF((Z$3-$D149+1)*VLOOKUP($A149,presupuesto!$B:$Q,16,FALSE)&gt;=VLOOKUP($A149,informe!$A:$J,9,FALSE),"cg","c"),"n")</f>
        <v>n</v>
      </c>
      <c r="AA149" s="195" t="str">
        <f>IF(AND(AA$3&gt;=$D149,AA$3&lt;=$E149),IF((AA$3-$D149+1)*VLOOKUP($A149,presupuesto!$B:$Q,16,FALSE)&gt;=VLOOKUP($A149,informe!$A:$J,9,FALSE),"cg","c"),"n")</f>
        <v>n</v>
      </c>
      <c r="AB149" s="195" t="str">
        <f>IF(AND(AB$3&gt;=$D149,AB$3&lt;=$E149),IF((AB$3-$D149+1)*VLOOKUP($A149,presupuesto!$B:$Q,16,FALSE)&gt;=VLOOKUP($A149,informe!$A:$J,9,FALSE),"cg","c"),"n")</f>
        <v>n</v>
      </c>
      <c r="AC149" s="195" t="str">
        <f>IF(AND(AC$3&gt;=$D149,AC$3&lt;=$E149),IF((AC$3-$D149+1)*VLOOKUP($A149,presupuesto!$B:$Q,16,FALSE)&gt;=VLOOKUP($A149,informe!$A:$J,9,FALSE),"cg","c"),"n")</f>
        <v>n</v>
      </c>
      <c r="AD149" s="195" t="str">
        <f>IF(AND(AD$3&gt;=$D149,AD$3&lt;=$E149),IF((AD$3-$D149+1)*VLOOKUP($A149,presupuesto!$B:$Q,16,FALSE)&gt;=VLOOKUP($A149,informe!$A:$J,9,FALSE),"cg","c"),"n")</f>
        <v>n</v>
      </c>
      <c r="AE149" s="195" t="str">
        <f>IF(AND(AE$3&gt;=$D149,AE$3&lt;=$E149),IF((AE$3-$D149+1)*VLOOKUP($A149,presupuesto!$B:$Q,16,FALSE)&gt;=VLOOKUP($A149,informe!$A:$J,9,FALSE),"cg","c"),"n")</f>
        <v>n</v>
      </c>
      <c r="AF149" s="195" t="str">
        <f>IF(AND(AF$3&gt;=$D149,AF$3&lt;=$E149),IF((AF$3-$D149+1)*VLOOKUP($A149,presupuesto!$B:$Q,16,FALSE)&gt;=VLOOKUP($A149,informe!$A:$J,9,FALSE),"cg","c"),"n")</f>
        <v>n</v>
      </c>
      <c r="AG149" s="195" t="str">
        <f>IF(AND(AG$3&gt;=$D149,AG$3&lt;=$E149),IF((AG$3-$D149+1)*VLOOKUP($A149,presupuesto!$B:$Q,16,FALSE)&gt;=VLOOKUP($A149,informe!$A:$J,9,FALSE),"cg","c"),"n")</f>
        <v>n</v>
      </c>
      <c r="AH149" s="195" t="str">
        <f>IF(AND(AH$3&gt;=$D149,AH$3&lt;=$E149),IF((AH$3-$D149+1)*VLOOKUP($A149,presupuesto!$B:$Q,16,FALSE)&gt;=VLOOKUP($A149,informe!$A:$J,9,FALSE),"cg","c"),"n")</f>
        <v>n</v>
      </c>
      <c r="AI149" s="195" t="str">
        <f>IF(AND(AI$3&gt;=$D149,AI$3&lt;=$E149),IF((AI$3-$D149+1)*VLOOKUP($A149,presupuesto!$B:$Q,16,FALSE)&gt;=VLOOKUP($A149,informe!$A:$J,9,FALSE),"cg","c"),"n")</f>
        <v>n</v>
      </c>
      <c r="AJ149" s="195" t="str">
        <f>IF(AND(AJ$3&gt;=$D149,AJ$3&lt;=$E149),IF((AJ$3-$D149+1)*VLOOKUP($A149,presupuesto!$B:$Q,16,FALSE)&gt;=VLOOKUP($A149,informe!$A:$J,9,FALSE),"cg","c"),"n")</f>
        <v>n</v>
      </c>
      <c r="AK149" s="196" t="str">
        <f>IF(AND(AK$3&gt;=$D149,AK$3&lt;=$E149),IF((AK$3-$D149+1)*VLOOKUP($A149,presupuesto!$B:$Q,16,FALSE)&gt;=VLOOKUP($A149,informe!$A:$J,9,FALSE),"cg","c"),"n")</f>
        <v>n</v>
      </c>
    </row>
    <row r="150" spans="1:37" ht="12.75" customHeight="1" x14ac:dyDescent="0.3">
      <c r="A150" s="197">
        <f>presupuesto!B149</f>
        <v>0</v>
      </c>
      <c r="B150" s="181" t="str">
        <f>presupuesto!C149</f>
        <v xml:space="preserve">   CAPÍTULO VII: OBRAS ESPECIALES</v>
      </c>
      <c r="C150" s="174" t="str">
        <f>presupuesto!G149</f>
        <v>30 días</v>
      </c>
      <c r="D150" s="177">
        <f>presupuesto!N149</f>
        <v>45905</v>
      </c>
      <c r="E150" s="177">
        <f>presupuesto!O149</f>
        <v>45934</v>
      </c>
      <c r="F150" s="194" t="str">
        <f>IF(AK150="n",CONCATENATE(" - "),IF(AK150="cg",CONCATENATE(" - "),CONCATENATE(ROUND(IFERROR(VLOOKUP(A150,informe!A:J,9,FALSE)/VLOOKUP(A150,informe!A:J,5,FALSE),0)*100,2),"% ")))</f>
        <v xml:space="preserve"> - </v>
      </c>
      <c r="G150" s="195" t="str">
        <f>IF(AND(G$3&gt;=$D150,G$3&lt;=$E150),IF((G$3-$D150+1)*VLOOKUP($A150,presupuesto!$B:$Q,16,FALSE)&gt;=VLOOKUP($A150,informe!$A:$J,9,FALSE),"cg","c"),"n")</f>
        <v>n</v>
      </c>
      <c r="H150" s="195" t="str">
        <f>IF(AND(H$3&gt;=$D150,H$3&lt;=$E150),IF((H$3-$D150+1)*VLOOKUP($A150,presupuesto!$B:$Q,16,FALSE)&gt;=VLOOKUP($A150,informe!$A:$J,9,FALSE),"cg","c"),"n")</f>
        <v>n</v>
      </c>
      <c r="I150" s="195" t="str">
        <f>IF(AND(I$3&gt;=$D150,I$3&lt;=$E150),IF((I$3-$D150+1)*VLOOKUP($A150,presupuesto!$B:$Q,16,FALSE)&gt;=VLOOKUP($A150,informe!$A:$J,9,FALSE),"cg","c"),"n")</f>
        <v>n</v>
      </c>
      <c r="J150" s="195" t="str">
        <f>IF(AND(J$3&gt;=$D150,J$3&lt;=$E150),IF((J$3-$D150+1)*VLOOKUP($A150,presupuesto!$B:$Q,16,FALSE)&gt;=VLOOKUP($A150,informe!$A:$J,9,FALSE),"cg","c"),"n")</f>
        <v>n</v>
      </c>
      <c r="K150" s="195" t="str">
        <f>IF(AND(K$3&gt;=$D150,K$3&lt;=$E150),IF((K$3-$D150+1)*VLOOKUP($A150,presupuesto!$B:$Q,16,FALSE)&gt;=VLOOKUP($A150,informe!$A:$J,9,FALSE),"cg","c"),"n")</f>
        <v>n</v>
      </c>
      <c r="L150" s="195" t="str">
        <f>IF(AND(L$3&gt;=$D150,L$3&lt;=$E150),IF((L$3-$D150+1)*VLOOKUP($A150,presupuesto!$B:$Q,16,FALSE)&gt;=VLOOKUP($A150,informe!$A:$J,9,FALSE),"cg","c"),"n")</f>
        <v>n</v>
      </c>
      <c r="M150" s="195" t="str">
        <f>IF(AND(M$3&gt;=$D150,M$3&lt;=$E150),IF((M$3-$D150+1)*VLOOKUP($A150,presupuesto!$B:$Q,16,FALSE)&gt;=VLOOKUP($A150,informe!$A:$J,9,FALSE),"cg","c"),"n")</f>
        <v>n</v>
      </c>
      <c r="N150" s="195" t="str">
        <f>IF(AND(N$3&gt;=$D150,N$3&lt;=$E150),IF((N$3-$D150+1)*VLOOKUP($A150,presupuesto!$B:$Q,16,FALSE)&gt;=VLOOKUP($A150,informe!$A:$J,9,FALSE),"cg","c"),"n")</f>
        <v>n</v>
      </c>
      <c r="O150" s="195" t="str">
        <f>IF(AND(O$3&gt;=$D150,O$3&lt;=$E150),IF((O$3-$D150+1)*VLOOKUP($A150,presupuesto!$B:$Q,16,FALSE)&gt;=VLOOKUP($A150,informe!$A:$J,9,FALSE),"cg","c"),"n")</f>
        <v>n</v>
      </c>
      <c r="P150" s="195" t="str">
        <f>IF(AND(P$3&gt;=$D150,P$3&lt;=$E150),IF((P$3-$D150+1)*VLOOKUP($A150,presupuesto!$B:$Q,16,FALSE)&gt;=VLOOKUP($A150,informe!$A:$J,9,FALSE),"cg","c"),"n")</f>
        <v>n</v>
      </c>
      <c r="Q150" s="195" t="str">
        <f>IF(AND(Q$3&gt;=$D150,Q$3&lt;=$E150),IF((Q$3-$D150+1)*VLOOKUP($A150,presupuesto!$B:$Q,16,FALSE)&gt;=VLOOKUP($A150,informe!$A:$J,9,FALSE),"cg","c"),"n")</f>
        <v>n</v>
      </c>
      <c r="R150" s="195" t="str">
        <f>IF(AND(R$3&gt;=$D150,R$3&lt;=$E150),IF((R$3-$D150+1)*VLOOKUP($A150,presupuesto!$B:$Q,16,FALSE)&gt;=VLOOKUP($A150,informe!$A:$J,9,FALSE),"cg","c"),"n")</f>
        <v>n</v>
      </c>
      <c r="S150" s="195" t="str">
        <f>IF(AND(S$3&gt;=$D150,S$3&lt;=$E150),IF((S$3-$D150+1)*VLOOKUP($A150,presupuesto!$B:$Q,16,FALSE)&gt;=VLOOKUP($A150,informe!$A:$J,9,FALSE),"cg","c"),"n")</f>
        <v>n</v>
      </c>
      <c r="T150" s="195" t="str">
        <f>IF(AND(T$3&gt;=$D150,T$3&lt;=$E150),IF((T$3-$D150+1)*VLOOKUP($A150,presupuesto!$B:$Q,16,FALSE)&gt;=VLOOKUP($A150,informe!$A:$J,9,FALSE),"cg","c"),"n")</f>
        <v>n</v>
      </c>
      <c r="U150" s="195" t="str">
        <f>IF(AND(U$3&gt;=$D150,U$3&lt;=$E150),IF((U$3-$D150+1)*VLOOKUP($A150,presupuesto!$B:$Q,16,FALSE)&gt;=VLOOKUP($A150,informe!$A:$J,9,FALSE),"cg","c"),"n")</f>
        <v>n</v>
      </c>
      <c r="V150" s="195" t="str">
        <f>IF(AND(V$3&gt;=$D150,V$3&lt;=$E150),IF((V$3-$D150+1)*VLOOKUP($A150,presupuesto!$B:$Q,16,FALSE)&gt;=VLOOKUP($A150,informe!$A:$J,9,FALSE),"cg","c"),"n")</f>
        <v>n</v>
      </c>
      <c r="W150" s="195" t="str">
        <f>IF(AND(W$3&gt;=$D150,W$3&lt;=$E150),IF((W$3-$D150+1)*VLOOKUP($A150,presupuesto!$B:$Q,16,FALSE)&gt;=VLOOKUP($A150,informe!$A:$J,9,FALSE),"cg","c"),"n")</f>
        <v>n</v>
      </c>
      <c r="X150" s="195" t="str">
        <f>IF(AND(X$3&gt;=$D150,X$3&lt;=$E150),IF((X$3-$D150+1)*VLOOKUP($A150,presupuesto!$B:$Q,16,FALSE)&gt;=VLOOKUP($A150,informe!$A:$J,9,FALSE),"cg","c"),"n")</f>
        <v>n</v>
      </c>
      <c r="Y150" s="195" t="str">
        <f>IF(AND(Y$3&gt;=$D150,Y$3&lt;=$E150),IF((Y$3-$D150+1)*VLOOKUP($A150,presupuesto!$B:$Q,16,FALSE)&gt;=VLOOKUP($A150,informe!$A:$J,9,FALSE),"cg","c"),"n")</f>
        <v>n</v>
      </c>
      <c r="Z150" s="195" t="str">
        <f>IF(AND(Z$3&gt;=$D150,Z$3&lt;=$E150),IF((Z$3-$D150+1)*VLOOKUP($A150,presupuesto!$B:$Q,16,FALSE)&gt;=VLOOKUP($A150,informe!$A:$J,9,FALSE),"cg","c"),"n")</f>
        <v>n</v>
      </c>
      <c r="AA150" s="195" t="str">
        <f>IF(AND(AA$3&gt;=$D150,AA$3&lt;=$E150),IF((AA$3-$D150+1)*VLOOKUP($A150,presupuesto!$B:$Q,16,FALSE)&gt;=VLOOKUP($A150,informe!$A:$J,9,FALSE),"cg","c"),"n")</f>
        <v>n</v>
      </c>
      <c r="AB150" s="195" t="str">
        <f>IF(AND(AB$3&gt;=$D150,AB$3&lt;=$E150),IF((AB$3-$D150+1)*VLOOKUP($A150,presupuesto!$B:$Q,16,FALSE)&gt;=VLOOKUP($A150,informe!$A:$J,9,FALSE),"cg","c"),"n")</f>
        <v>n</v>
      </c>
      <c r="AC150" s="195" t="str">
        <f>IF(AND(AC$3&gt;=$D150,AC$3&lt;=$E150),IF((AC$3-$D150+1)*VLOOKUP($A150,presupuesto!$B:$Q,16,FALSE)&gt;=VLOOKUP($A150,informe!$A:$J,9,FALSE),"cg","c"),"n")</f>
        <v>n</v>
      </c>
      <c r="AD150" s="195" t="str">
        <f>IF(AND(AD$3&gt;=$D150,AD$3&lt;=$E150),IF((AD$3-$D150+1)*VLOOKUP($A150,presupuesto!$B:$Q,16,FALSE)&gt;=VLOOKUP($A150,informe!$A:$J,9,FALSE),"cg","c"),"n")</f>
        <v>n</v>
      </c>
      <c r="AE150" s="195" t="str">
        <f>IF(AND(AE$3&gt;=$D150,AE$3&lt;=$E150),IF((AE$3-$D150+1)*VLOOKUP($A150,presupuesto!$B:$Q,16,FALSE)&gt;=VLOOKUP($A150,informe!$A:$J,9,FALSE),"cg","c"),"n")</f>
        <v>n</v>
      </c>
      <c r="AF150" s="195" t="str">
        <f>IF(AND(AF$3&gt;=$D150,AF$3&lt;=$E150),IF((AF$3-$D150+1)*VLOOKUP($A150,presupuesto!$B:$Q,16,FALSE)&gt;=VLOOKUP($A150,informe!$A:$J,9,FALSE),"cg","c"),"n")</f>
        <v>n</v>
      </c>
      <c r="AG150" s="195" t="str">
        <f>IF(AND(AG$3&gt;=$D150,AG$3&lt;=$E150),IF((AG$3-$D150+1)*VLOOKUP($A150,presupuesto!$B:$Q,16,FALSE)&gt;=VLOOKUP($A150,informe!$A:$J,9,FALSE),"cg","c"),"n")</f>
        <v>n</v>
      </c>
      <c r="AH150" s="195" t="str">
        <f>IF(AND(AH$3&gt;=$D150,AH$3&lt;=$E150),IF((AH$3-$D150+1)*VLOOKUP($A150,presupuesto!$B:$Q,16,FALSE)&gt;=VLOOKUP($A150,informe!$A:$J,9,FALSE),"cg","c"),"n")</f>
        <v>n</v>
      </c>
      <c r="AI150" s="195" t="str">
        <f>IF(AND(AI$3&gt;=$D150,AI$3&lt;=$E150),IF((AI$3-$D150+1)*VLOOKUP($A150,presupuesto!$B:$Q,16,FALSE)&gt;=VLOOKUP($A150,informe!$A:$J,9,FALSE),"cg","c"),"n")</f>
        <v>n</v>
      </c>
      <c r="AJ150" s="195" t="str">
        <f>IF(AND(AJ$3&gt;=$D150,AJ$3&lt;=$E150),IF((AJ$3-$D150+1)*VLOOKUP($A150,presupuesto!$B:$Q,16,FALSE)&gt;=VLOOKUP($A150,informe!$A:$J,9,FALSE),"cg","c"),"n")</f>
        <v>n</v>
      </c>
      <c r="AK150" s="196" t="str">
        <f>IF(AND(AK$3&gt;=$D150,AK$3&lt;=$E150),IF((AK$3-$D150+1)*VLOOKUP($A150,presupuesto!$B:$Q,16,FALSE)&gt;=VLOOKUP($A150,informe!$A:$J,9,FALSE),"cg","c"),"n")</f>
        <v>n</v>
      </c>
    </row>
    <row r="151" spans="1:37" ht="12.75" customHeight="1" x14ac:dyDescent="0.25">
      <c r="A151" s="197">
        <f>presupuesto!B150</f>
        <v>100</v>
      </c>
      <c r="B151" s="182" t="str">
        <f>presupuesto!C150</f>
        <v xml:space="preserve">      Marcha Blanca</v>
      </c>
      <c r="C151" s="174" t="str">
        <f>presupuesto!G150</f>
        <v>30 días</v>
      </c>
      <c r="D151" s="177">
        <f>presupuesto!N150</f>
        <v>45905</v>
      </c>
      <c r="E151" s="177">
        <f>presupuesto!O150</f>
        <v>45934</v>
      </c>
      <c r="F151" s="194" t="str">
        <f>IF(AK151="n",CONCATENATE(" - "),IF(AK151="cg",CONCATENATE(" - "),CONCATENATE(ROUND(IFERROR(VLOOKUP(A151,informe!A:J,9,FALSE)/VLOOKUP(A151,informe!A:J,5,FALSE),0)*100,2),"% ")))</f>
        <v xml:space="preserve"> - </v>
      </c>
      <c r="G151" s="195" t="str">
        <f>IF(AND(G$3&gt;=$D151,G$3&lt;=$E151),IF((G$3-$D151+1)*VLOOKUP($A151,presupuesto!$B:$Q,16,FALSE)&gt;=VLOOKUP($A151,informe!$A:$J,9,FALSE),"cg","c"),"n")</f>
        <v>n</v>
      </c>
      <c r="H151" s="195" t="str">
        <f>IF(AND(H$3&gt;=$D151,H$3&lt;=$E151),IF((H$3-$D151+1)*VLOOKUP($A151,presupuesto!$B:$Q,16,FALSE)&gt;=VLOOKUP($A151,informe!$A:$J,9,FALSE),"cg","c"),"n")</f>
        <v>n</v>
      </c>
      <c r="I151" s="195" t="str">
        <f>IF(AND(I$3&gt;=$D151,I$3&lt;=$E151),IF((I$3-$D151+1)*VLOOKUP($A151,presupuesto!$B:$Q,16,FALSE)&gt;=VLOOKUP($A151,informe!$A:$J,9,FALSE),"cg","c"),"n")</f>
        <v>n</v>
      </c>
      <c r="J151" s="195" t="str">
        <f>IF(AND(J$3&gt;=$D151,J$3&lt;=$E151),IF((J$3-$D151+1)*VLOOKUP($A151,presupuesto!$B:$Q,16,FALSE)&gt;=VLOOKUP($A151,informe!$A:$J,9,FALSE),"cg","c"),"n")</f>
        <v>n</v>
      </c>
      <c r="K151" s="195" t="str">
        <f>IF(AND(K$3&gt;=$D151,K$3&lt;=$E151),IF((K$3-$D151+1)*VLOOKUP($A151,presupuesto!$B:$Q,16,FALSE)&gt;=VLOOKUP($A151,informe!$A:$J,9,FALSE),"cg","c"),"n")</f>
        <v>n</v>
      </c>
      <c r="L151" s="195" t="str">
        <f>IF(AND(L$3&gt;=$D151,L$3&lt;=$E151),IF((L$3-$D151+1)*VLOOKUP($A151,presupuesto!$B:$Q,16,FALSE)&gt;=VLOOKUP($A151,informe!$A:$J,9,FALSE),"cg","c"),"n")</f>
        <v>n</v>
      </c>
      <c r="M151" s="195" t="str">
        <f>IF(AND(M$3&gt;=$D151,M$3&lt;=$E151),IF((M$3-$D151+1)*VLOOKUP($A151,presupuesto!$B:$Q,16,FALSE)&gt;=VLOOKUP($A151,informe!$A:$J,9,FALSE),"cg","c"),"n")</f>
        <v>n</v>
      </c>
      <c r="N151" s="195" t="str">
        <f>IF(AND(N$3&gt;=$D151,N$3&lt;=$E151),IF((N$3-$D151+1)*VLOOKUP($A151,presupuesto!$B:$Q,16,FALSE)&gt;=VLOOKUP($A151,informe!$A:$J,9,FALSE),"cg","c"),"n")</f>
        <v>n</v>
      </c>
      <c r="O151" s="195" t="str">
        <f>IF(AND(O$3&gt;=$D151,O$3&lt;=$E151),IF((O$3-$D151+1)*VLOOKUP($A151,presupuesto!$B:$Q,16,FALSE)&gt;=VLOOKUP($A151,informe!$A:$J,9,FALSE),"cg","c"),"n")</f>
        <v>n</v>
      </c>
      <c r="P151" s="195" t="str">
        <f>IF(AND(P$3&gt;=$D151,P$3&lt;=$E151),IF((P$3-$D151+1)*VLOOKUP($A151,presupuesto!$B:$Q,16,FALSE)&gt;=VLOOKUP($A151,informe!$A:$J,9,FALSE),"cg","c"),"n")</f>
        <v>n</v>
      </c>
      <c r="Q151" s="195" t="str">
        <f>IF(AND(Q$3&gt;=$D151,Q$3&lt;=$E151),IF((Q$3-$D151+1)*VLOOKUP($A151,presupuesto!$B:$Q,16,FALSE)&gt;=VLOOKUP($A151,informe!$A:$J,9,FALSE),"cg","c"),"n")</f>
        <v>n</v>
      </c>
      <c r="R151" s="195" t="str">
        <f>IF(AND(R$3&gt;=$D151,R$3&lt;=$E151),IF((R$3-$D151+1)*VLOOKUP($A151,presupuesto!$B:$Q,16,FALSE)&gt;=VLOOKUP($A151,informe!$A:$J,9,FALSE),"cg","c"),"n")</f>
        <v>n</v>
      </c>
      <c r="S151" s="195" t="str">
        <f>IF(AND(S$3&gt;=$D151,S$3&lt;=$E151),IF((S$3-$D151+1)*VLOOKUP($A151,presupuesto!$B:$Q,16,FALSE)&gt;=VLOOKUP($A151,informe!$A:$J,9,FALSE),"cg","c"),"n")</f>
        <v>n</v>
      </c>
      <c r="T151" s="195" t="str">
        <f>IF(AND(T$3&gt;=$D151,T$3&lt;=$E151),IF((T$3-$D151+1)*VLOOKUP($A151,presupuesto!$B:$Q,16,FALSE)&gt;=VLOOKUP($A151,informe!$A:$J,9,FALSE),"cg","c"),"n")</f>
        <v>n</v>
      </c>
      <c r="U151" s="195" t="str">
        <f>IF(AND(U$3&gt;=$D151,U$3&lt;=$E151),IF((U$3-$D151+1)*VLOOKUP($A151,presupuesto!$B:$Q,16,FALSE)&gt;=VLOOKUP($A151,informe!$A:$J,9,FALSE),"cg","c"),"n")</f>
        <v>n</v>
      </c>
      <c r="V151" s="195" t="str">
        <f>IF(AND(V$3&gt;=$D151,V$3&lt;=$E151),IF((V$3-$D151+1)*VLOOKUP($A151,presupuesto!$B:$Q,16,FALSE)&gt;=VLOOKUP($A151,informe!$A:$J,9,FALSE),"cg","c"),"n")</f>
        <v>n</v>
      </c>
      <c r="W151" s="195" t="str">
        <f>IF(AND(W$3&gt;=$D151,W$3&lt;=$E151),IF((W$3-$D151+1)*VLOOKUP($A151,presupuesto!$B:$Q,16,FALSE)&gt;=VLOOKUP($A151,informe!$A:$J,9,FALSE),"cg","c"),"n")</f>
        <v>n</v>
      </c>
      <c r="X151" s="195" t="str">
        <f>IF(AND(X$3&gt;=$D151,X$3&lt;=$E151),IF((X$3-$D151+1)*VLOOKUP($A151,presupuesto!$B:$Q,16,FALSE)&gt;=VLOOKUP($A151,informe!$A:$J,9,FALSE),"cg","c"),"n")</f>
        <v>n</v>
      </c>
      <c r="Y151" s="195" t="str">
        <f>IF(AND(Y$3&gt;=$D151,Y$3&lt;=$E151),IF((Y$3-$D151+1)*VLOOKUP($A151,presupuesto!$B:$Q,16,FALSE)&gt;=VLOOKUP($A151,informe!$A:$J,9,FALSE),"cg","c"),"n")</f>
        <v>n</v>
      </c>
      <c r="Z151" s="195" t="str">
        <f>IF(AND(Z$3&gt;=$D151,Z$3&lt;=$E151),IF((Z$3-$D151+1)*VLOOKUP($A151,presupuesto!$B:$Q,16,FALSE)&gt;=VLOOKUP($A151,informe!$A:$J,9,FALSE),"cg","c"),"n")</f>
        <v>n</v>
      </c>
      <c r="AA151" s="195" t="str">
        <f>IF(AND(AA$3&gt;=$D151,AA$3&lt;=$E151),IF((AA$3-$D151+1)*VLOOKUP($A151,presupuesto!$B:$Q,16,FALSE)&gt;=VLOOKUP($A151,informe!$A:$J,9,FALSE),"cg","c"),"n")</f>
        <v>n</v>
      </c>
      <c r="AB151" s="195" t="str">
        <f>IF(AND(AB$3&gt;=$D151,AB$3&lt;=$E151),IF((AB$3-$D151+1)*VLOOKUP($A151,presupuesto!$B:$Q,16,FALSE)&gt;=VLOOKUP($A151,informe!$A:$J,9,FALSE),"cg","c"),"n")</f>
        <v>n</v>
      </c>
      <c r="AC151" s="195" t="str">
        <f>IF(AND(AC$3&gt;=$D151,AC$3&lt;=$E151),IF((AC$3-$D151+1)*VLOOKUP($A151,presupuesto!$B:$Q,16,FALSE)&gt;=VLOOKUP($A151,informe!$A:$J,9,FALSE),"cg","c"),"n")</f>
        <v>n</v>
      </c>
      <c r="AD151" s="195" t="str">
        <f>IF(AND(AD$3&gt;=$D151,AD$3&lt;=$E151),IF((AD$3-$D151+1)*VLOOKUP($A151,presupuesto!$B:$Q,16,FALSE)&gt;=VLOOKUP($A151,informe!$A:$J,9,FALSE),"cg","c"),"n")</f>
        <v>n</v>
      </c>
      <c r="AE151" s="195" t="str">
        <f>IF(AND(AE$3&gt;=$D151,AE$3&lt;=$E151),IF((AE$3-$D151+1)*VLOOKUP($A151,presupuesto!$B:$Q,16,FALSE)&gt;=VLOOKUP($A151,informe!$A:$J,9,FALSE),"cg","c"),"n")</f>
        <v>n</v>
      </c>
      <c r="AF151" s="195" t="str">
        <f>IF(AND(AF$3&gt;=$D151,AF$3&lt;=$E151),IF((AF$3-$D151+1)*VLOOKUP($A151,presupuesto!$B:$Q,16,FALSE)&gt;=VLOOKUP($A151,informe!$A:$J,9,FALSE),"cg","c"),"n")</f>
        <v>n</v>
      </c>
      <c r="AG151" s="195" t="str">
        <f>IF(AND(AG$3&gt;=$D151,AG$3&lt;=$E151),IF((AG$3-$D151+1)*VLOOKUP($A151,presupuesto!$B:$Q,16,FALSE)&gt;=VLOOKUP($A151,informe!$A:$J,9,FALSE),"cg","c"),"n")</f>
        <v>n</v>
      </c>
      <c r="AH151" s="195" t="str">
        <f>IF(AND(AH$3&gt;=$D151,AH$3&lt;=$E151),IF((AH$3-$D151+1)*VLOOKUP($A151,presupuesto!$B:$Q,16,FALSE)&gt;=VLOOKUP($A151,informe!$A:$J,9,FALSE),"cg","c"),"n")</f>
        <v>n</v>
      </c>
      <c r="AI151" s="195" t="str">
        <f>IF(AND(AI$3&gt;=$D151,AI$3&lt;=$E151),IF((AI$3-$D151+1)*VLOOKUP($A151,presupuesto!$B:$Q,16,FALSE)&gt;=VLOOKUP($A151,informe!$A:$J,9,FALSE),"cg","c"),"n")</f>
        <v>n</v>
      </c>
      <c r="AJ151" s="195" t="str">
        <f>IF(AND(AJ$3&gt;=$D151,AJ$3&lt;=$E151),IF((AJ$3-$D151+1)*VLOOKUP($A151,presupuesto!$B:$Q,16,FALSE)&gt;=VLOOKUP($A151,informe!$A:$J,9,FALSE),"cg","c"),"n")</f>
        <v>n</v>
      </c>
      <c r="AK151" s="196" t="str">
        <f>IF(AND(AK$3&gt;=$D151,AK$3&lt;=$E151),IF((AK$3-$D151+1)*VLOOKUP($A151,presupuesto!$B:$Q,16,FALSE)&gt;=VLOOKUP($A151,informe!$A:$J,9,FALSE),"cg","c"),"n")</f>
        <v>n</v>
      </c>
    </row>
    <row r="152" spans="1:37" ht="12.75" customHeight="1" x14ac:dyDescent="0.3">
      <c r="A152" s="197">
        <f>presupuesto!B151</f>
        <v>0</v>
      </c>
      <c r="B152" s="181" t="str">
        <f>presupuesto!C151</f>
        <v xml:space="preserve">   CAPÍTULO VIII: OBRAS ELÉCTRICAS</v>
      </c>
      <c r="C152" s="174" t="str">
        <f>presupuesto!G151</f>
        <v>120 días</v>
      </c>
      <c r="D152" s="177">
        <f>presupuesto!N151</f>
        <v>45762</v>
      </c>
      <c r="E152" s="177">
        <f>presupuesto!O151</f>
        <v>45881</v>
      </c>
      <c r="F152" s="194" t="str">
        <f>IF(AK152="n",CONCATENATE(" - "),IF(AK152="cg",CONCATENATE(" - "),CONCATENATE(ROUND(IFERROR(VLOOKUP(A152,informe!A:J,9,FALSE)/VLOOKUP(A152,informe!A:J,5,FALSE),0)*100,2),"% ")))</f>
        <v xml:space="preserve"> - </v>
      </c>
      <c r="G152" s="195" t="str">
        <f>IF(AND(G$3&gt;=$D152,G$3&lt;=$E152),IF((G$3-$D152+1)*VLOOKUP($A152,presupuesto!$B:$Q,16,FALSE)&gt;=VLOOKUP($A152,informe!$A:$J,9,FALSE),"cg","c"),"n")</f>
        <v>n</v>
      </c>
      <c r="H152" s="195" t="str">
        <f>IF(AND(H$3&gt;=$D152,H$3&lt;=$E152),IF((H$3-$D152+1)*VLOOKUP($A152,presupuesto!$B:$Q,16,FALSE)&gt;=VLOOKUP($A152,informe!$A:$J,9,FALSE),"cg","c"),"n")</f>
        <v>n</v>
      </c>
      <c r="I152" s="195" t="str">
        <f>IF(AND(I$3&gt;=$D152,I$3&lt;=$E152),IF((I$3-$D152+1)*VLOOKUP($A152,presupuesto!$B:$Q,16,FALSE)&gt;=VLOOKUP($A152,informe!$A:$J,9,FALSE),"cg","c"),"n")</f>
        <v>n</v>
      </c>
      <c r="J152" s="195" t="str">
        <f>IF(AND(J$3&gt;=$D152,J$3&lt;=$E152),IF((J$3-$D152+1)*VLOOKUP($A152,presupuesto!$B:$Q,16,FALSE)&gt;=VLOOKUP($A152,informe!$A:$J,9,FALSE),"cg","c"),"n")</f>
        <v>n</v>
      </c>
      <c r="K152" s="195" t="str">
        <f>IF(AND(K$3&gt;=$D152,K$3&lt;=$E152),IF((K$3-$D152+1)*VLOOKUP($A152,presupuesto!$B:$Q,16,FALSE)&gt;=VLOOKUP($A152,informe!$A:$J,9,FALSE),"cg","c"),"n")</f>
        <v>n</v>
      </c>
      <c r="L152" s="195" t="str">
        <f>IF(AND(L$3&gt;=$D152,L$3&lt;=$E152),IF((L$3-$D152+1)*VLOOKUP($A152,presupuesto!$B:$Q,16,FALSE)&gt;=VLOOKUP($A152,informe!$A:$J,9,FALSE),"cg","c"),"n")</f>
        <v>n</v>
      </c>
      <c r="M152" s="195" t="str">
        <f>IF(AND(M$3&gt;=$D152,M$3&lt;=$E152),IF((M$3-$D152+1)*VLOOKUP($A152,presupuesto!$B:$Q,16,FALSE)&gt;=VLOOKUP($A152,informe!$A:$J,9,FALSE),"cg","c"),"n")</f>
        <v>n</v>
      </c>
      <c r="N152" s="195" t="str">
        <f>IF(AND(N$3&gt;=$D152,N$3&lt;=$E152),IF((N$3-$D152+1)*VLOOKUP($A152,presupuesto!$B:$Q,16,FALSE)&gt;=VLOOKUP($A152,informe!$A:$J,9,FALSE),"cg","c"),"n")</f>
        <v>n</v>
      </c>
      <c r="O152" s="195" t="str">
        <f>IF(AND(O$3&gt;=$D152,O$3&lt;=$E152),IF((O$3-$D152+1)*VLOOKUP($A152,presupuesto!$B:$Q,16,FALSE)&gt;=VLOOKUP($A152,informe!$A:$J,9,FALSE),"cg","c"),"n")</f>
        <v>n</v>
      </c>
      <c r="P152" s="195" t="str">
        <f>IF(AND(P$3&gt;=$D152,P$3&lt;=$E152),IF((P$3-$D152+1)*VLOOKUP($A152,presupuesto!$B:$Q,16,FALSE)&gt;=VLOOKUP($A152,informe!$A:$J,9,FALSE),"cg","c"),"n")</f>
        <v>n</v>
      </c>
      <c r="Q152" s="195" t="str">
        <f>IF(AND(Q$3&gt;=$D152,Q$3&lt;=$E152),IF((Q$3-$D152+1)*VLOOKUP($A152,presupuesto!$B:$Q,16,FALSE)&gt;=VLOOKUP($A152,informe!$A:$J,9,FALSE),"cg","c"),"n")</f>
        <v>n</v>
      </c>
      <c r="R152" s="195" t="str">
        <f>IF(AND(R$3&gt;=$D152,R$3&lt;=$E152),IF((R$3-$D152+1)*VLOOKUP($A152,presupuesto!$B:$Q,16,FALSE)&gt;=VLOOKUP($A152,informe!$A:$J,9,FALSE),"cg","c"),"n")</f>
        <v>n</v>
      </c>
      <c r="S152" s="195" t="str">
        <f>IF(AND(S$3&gt;=$D152,S$3&lt;=$E152),IF((S$3-$D152+1)*VLOOKUP($A152,presupuesto!$B:$Q,16,FALSE)&gt;=VLOOKUP($A152,informe!$A:$J,9,FALSE),"cg","c"),"n")</f>
        <v>n</v>
      </c>
      <c r="T152" s="195" t="str">
        <f>IF(AND(T$3&gt;=$D152,T$3&lt;=$E152),IF((T$3-$D152+1)*VLOOKUP($A152,presupuesto!$B:$Q,16,FALSE)&gt;=VLOOKUP($A152,informe!$A:$J,9,FALSE),"cg","c"),"n")</f>
        <v>n</v>
      </c>
      <c r="U152" s="195" t="str">
        <f>IF(AND(U$3&gt;=$D152,U$3&lt;=$E152),IF((U$3-$D152+1)*VLOOKUP($A152,presupuesto!$B:$Q,16,FALSE)&gt;=VLOOKUP($A152,informe!$A:$J,9,FALSE),"cg","c"),"n")</f>
        <v>n</v>
      </c>
      <c r="V152" s="195" t="str">
        <f>IF(AND(V$3&gt;=$D152,V$3&lt;=$E152),IF((V$3-$D152+1)*VLOOKUP($A152,presupuesto!$B:$Q,16,FALSE)&gt;=VLOOKUP($A152,informe!$A:$J,9,FALSE),"cg","c"),"n")</f>
        <v>n</v>
      </c>
      <c r="W152" s="195" t="str">
        <f>IF(AND(W$3&gt;=$D152,W$3&lt;=$E152),IF((W$3-$D152+1)*VLOOKUP($A152,presupuesto!$B:$Q,16,FALSE)&gt;=VLOOKUP($A152,informe!$A:$J,9,FALSE),"cg","c"),"n")</f>
        <v>n</v>
      </c>
      <c r="X152" s="195" t="str">
        <f>IF(AND(X$3&gt;=$D152,X$3&lt;=$E152),IF((X$3-$D152+1)*VLOOKUP($A152,presupuesto!$B:$Q,16,FALSE)&gt;=VLOOKUP($A152,informe!$A:$J,9,FALSE),"cg","c"),"n")</f>
        <v>n</v>
      </c>
      <c r="Y152" s="195" t="str">
        <f>IF(AND(Y$3&gt;=$D152,Y$3&lt;=$E152),IF((Y$3-$D152+1)*VLOOKUP($A152,presupuesto!$B:$Q,16,FALSE)&gt;=VLOOKUP($A152,informe!$A:$J,9,FALSE),"cg","c"),"n")</f>
        <v>n</v>
      </c>
      <c r="Z152" s="195" t="str">
        <f>IF(AND(Z$3&gt;=$D152,Z$3&lt;=$E152),IF((Z$3-$D152+1)*VLOOKUP($A152,presupuesto!$B:$Q,16,FALSE)&gt;=VLOOKUP($A152,informe!$A:$J,9,FALSE),"cg","c"),"n")</f>
        <v>n</v>
      </c>
      <c r="AA152" s="195" t="str">
        <f>IF(AND(AA$3&gt;=$D152,AA$3&lt;=$E152),IF((AA$3-$D152+1)*VLOOKUP($A152,presupuesto!$B:$Q,16,FALSE)&gt;=VLOOKUP($A152,informe!$A:$J,9,FALSE),"cg","c"),"n")</f>
        <v>n</v>
      </c>
      <c r="AB152" s="195" t="str">
        <f>IF(AND(AB$3&gt;=$D152,AB$3&lt;=$E152),IF((AB$3-$D152+1)*VLOOKUP($A152,presupuesto!$B:$Q,16,FALSE)&gt;=VLOOKUP($A152,informe!$A:$J,9,FALSE),"cg","c"),"n")</f>
        <v>n</v>
      </c>
      <c r="AC152" s="195" t="str">
        <f>IF(AND(AC$3&gt;=$D152,AC$3&lt;=$E152),IF((AC$3-$D152+1)*VLOOKUP($A152,presupuesto!$B:$Q,16,FALSE)&gt;=VLOOKUP($A152,informe!$A:$J,9,FALSE),"cg","c"),"n")</f>
        <v>n</v>
      </c>
      <c r="AD152" s="195" t="str">
        <f>IF(AND(AD$3&gt;=$D152,AD$3&lt;=$E152),IF((AD$3-$D152+1)*VLOOKUP($A152,presupuesto!$B:$Q,16,FALSE)&gt;=VLOOKUP($A152,informe!$A:$J,9,FALSE),"cg","c"),"n")</f>
        <v>n</v>
      </c>
      <c r="AE152" s="195" t="str">
        <f>IF(AND(AE$3&gt;=$D152,AE$3&lt;=$E152),IF((AE$3-$D152+1)*VLOOKUP($A152,presupuesto!$B:$Q,16,FALSE)&gt;=VLOOKUP($A152,informe!$A:$J,9,FALSE),"cg","c"),"n")</f>
        <v>n</v>
      </c>
      <c r="AF152" s="195" t="str">
        <f>IF(AND(AF$3&gt;=$D152,AF$3&lt;=$E152),IF((AF$3-$D152+1)*VLOOKUP($A152,presupuesto!$B:$Q,16,FALSE)&gt;=VLOOKUP($A152,informe!$A:$J,9,FALSE),"cg","c"),"n")</f>
        <v>n</v>
      </c>
      <c r="AG152" s="195" t="str">
        <f>IF(AND(AG$3&gt;=$D152,AG$3&lt;=$E152),IF((AG$3-$D152+1)*VLOOKUP($A152,presupuesto!$B:$Q,16,FALSE)&gt;=VLOOKUP($A152,informe!$A:$J,9,FALSE),"cg","c"),"n")</f>
        <v>n</v>
      </c>
      <c r="AH152" s="195" t="str">
        <f>IF(AND(AH$3&gt;=$D152,AH$3&lt;=$E152),IF((AH$3-$D152+1)*VLOOKUP($A152,presupuesto!$B:$Q,16,FALSE)&gt;=VLOOKUP($A152,informe!$A:$J,9,FALSE),"cg","c"),"n")</f>
        <v>n</v>
      </c>
      <c r="AI152" s="195" t="str">
        <f>IF(AND(AI$3&gt;=$D152,AI$3&lt;=$E152),IF((AI$3-$D152+1)*VLOOKUP($A152,presupuesto!$B:$Q,16,FALSE)&gt;=VLOOKUP($A152,informe!$A:$J,9,FALSE),"cg","c"),"n")</f>
        <v>n</v>
      </c>
      <c r="AJ152" s="195" t="str">
        <f>IF(AND(AJ$3&gt;=$D152,AJ$3&lt;=$E152),IF((AJ$3-$D152+1)*VLOOKUP($A152,presupuesto!$B:$Q,16,FALSE)&gt;=VLOOKUP($A152,informe!$A:$J,9,FALSE),"cg","c"),"n")</f>
        <v>n</v>
      </c>
      <c r="AK152" s="196" t="str">
        <f>IF(AND(AK$3&gt;=$D152,AK$3&lt;=$E152),IF((AK$3-$D152+1)*VLOOKUP($A152,presupuesto!$B:$Q,16,FALSE)&gt;=VLOOKUP($A152,informe!$A:$J,9,FALSE),"cg","c"),"n")</f>
        <v>n</v>
      </c>
    </row>
    <row r="153" spans="1:37" ht="12.75" customHeight="1" x14ac:dyDescent="0.25">
      <c r="A153" s="197">
        <f>presupuesto!B152</f>
        <v>101</v>
      </c>
      <c r="B153" s="182" t="str">
        <f>presupuesto!C152</f>
        <v xml:space="preserve">      SUMINISTRO MATENCION EMPALME ELÉCTRICO CAPTACION</v>
      </c>
      <c r="C153" s="174" t="str">
        <f>presupuesto!G152</f>
        <v>30 días</v>
      </c>
      <c r="D153" s="177">
        <f>presupuesto!N152</f>
        <v>45852</v>
      </c>
      <c r="E153" s="177">
        <f>presupuesto!O152</f>
        <v>45881</v>
      </c>
      <c r="F153" s="194" t="str">
        <f>IF(AK153="n",CONCATENATE(" - "),IF(AK153="cg",CONCATENATE(" - "),CONCATENATE(ROUND(IFERROR(VLOOKUP(A153,informe!A:J,9,FALSE)/VLOOKUP(A153,informe!A:J,5,FALSE),0)*100,2),"% ")))</f>
        <v xml:space="preserve"> - </v>
      </c>
      <c r="G153" s="195" t="str">
        <f>IF(AND(G$3&gt;=$D153,G$3&lt;=$E153),IF((G$3-$D153+1)*VLOOKUP($A153,presupuesto!$B:$Q,16,FALSE)&gt;=VLOOKUP($A153,informe!$A:$J,9,FALSE),"cg","c"),"n")</f>
        <v>n</v>
      </c>
      <c r="H153" s="195" t="str">
        <f>IF(AND(H$3&gt;=$D153,H$3&lt;=$E153),IF((H$3-$D153+1)*VLOOKUP($A153,presupuesto!$B:$Q,16,FALSE)&gt;=VLOOKUP($A153,informe!$A:$J,9,FALSE),"cg","c"),"n")</f>
        <v>n</v>
      </c>
      <c r="I153" s="195" t="str">
        <f>IF(AND(I$3&gt;=$D153,I$3&lt;=$E153),IF((I$3-$D153+1)*VLOOKUP($A153,presupuesto!$B:$Q,16,FALSE)&gt;=VLOOKUP($A153,informe!$A:$J,9,FALSE),"cg","c"),"n")</f>
        <v>n</v>
      </c>
      <c r="J153" s="195" t="str">
        <f>IF(AND(J$3&gt;=$D153,J$3&lt;=$E153),IF((J$3-$D153+1)*VLOOKUP($A153,presupuesto!$B:$Q,16,FALSE)&gt;=VLOOKUP($A153,informe!$A:$J,9,FALSE),"cg","c"),"n")</f>
        <v>n</v>
      </c>
      <c r="K153" s="195" t="str">
        <f>IF(AND(K$3&gt;=$D153,K$3&lt;=$E153),IF((K$3-$D153+1)*VLOOKUP($A153,presupuesto!$B:$Q,16,FALSE)&gt;=VLOOKUP($A153,informe!$A:$J,9,FALSE),"cg","c"),"n")</f>
        <v>n</v>
      </c>
      <c r="L153" s="195" t="str">
        <f>IF(AND(L$3&gt;=$D153,L$3&lt;=$E153),IF((L$3-$D153+1)*VLOOKUP($A153,presupuesto!$B:$Q,16,FALSE)&gt;=VLOOKUP($A153,informe!$A:$J,9,FALSE),"cg","c"),"n")</f>
        <v>n</v>
      </c>
      <c r="M153" s="195" t="str">
        <f>IF(AND(M$3&gt;=$D153,M$3&lt;=$E153),IF((M$3-$D153+1)*VLOOKUP($A153,presupuesto!$B:$Q,16,FALSE)&gt;=VLOOKUP($A153,informe!$A:$J,9,FALSE),"cg","c"),"n")</f>
        <v>n</v>
      </c>
      <c r="N153" s="195" t="str">
        <f>IF(AND(N$3&gt;=$D153,N$3&lt;=$E153),IF((N$3-$D153+1)*VLOOKUP($A153,presupuesto!$B:$Q,16,FALSE)&gt;=VLOOKUP($A153,informe!$A:$J,9,FALSE),"cg","c"),"n")</f>
        <v>n</v>
      </c>
      <c r="O153" s="195" t="str">
        <f>IF(AND(O$3&gt;=$D153,O$3&lt;=$E153),IF((O$3-$D153+1)*VLOOKUP($A153,presupuesto!$B:$Q,16,FALSE)&gt;=VLOOKUP($A153,informe!$A:$J,9,FALSE),"cg","c"),"n")</f>
        <v>n</v>
      </c>
      <c r="P153" s="195" t="str">
        <f>IF(AND(P$3&gt;=$D153,P$3&lt;=$E153),IF((P$3-$D153+1)*VLOOKUP($A153,presupuesto!$B:$Q,16,FALSE)&gt;=VLOOKUP($A153,informe!$A:$J,9,FALSE),"cg","c"),"n")</f>
        <v>n</v>
      </c>
      <c r="Q153" s="195" t="str">
        <f>IF(AND(Q$3&gt;=$D153,Q$3&lt;=$E153),IF((Q$3-$D153+1)*VLOOKUP($A153,presupuesto!$B:$Q,16,FALSE)&gt;=VLOOKUP($A153,informe!$A:$J,9,FALSE),"cg","c"),"n")</f>
        <v>n</v>
      </c>
      <c r="R153" s="195" t="str">
        <f>IF(AND(R$3&gt;=$D153,R$3&lt;=$E153),IF((R$3-$D153+1)*VLOOKUP($A153,presupuesto!$B:$Q,16,FALSE)&gt;=VLOOKUP($A153,informe!$A:$J,9,FALSE),"cg","c"),"n")</f>
        <v>n</v>
      </c>
      <c r="S153" s="195" t="str">
        <f>IF(AND(S$3&gt;=$D153,S$3&lt;=$E153),IF((S$3-$D153+1)*VLOOKUP($A153,presupuesto!$B:$Q,16,FALSE)&gt;=VLOOKUP($A153,informe!$A:$J,9,FALSE),"cg","c"),"n")</f>
        <v>n</v>
      </c>
      <c r="T153" s="195" t="str">
        <f>IF(AND(T$3&gt;=$D153,T$3&lt;=$E153),IF((T$3-$D153+1)*VLOOKUP($A153,presupuesto!$B:$Q,16,FALSE)&gt;=VLOOKUP($A153,informe!$A:$J,9,FALSE),"cg","c"),"n")</f>
        <v>n</v>
      </c>
      <c r="U153" s="195" t="str">
        <f>IF(AND(U$3&gt;=$D153,U$3&lt;=$E153),IF((U$3-$D153+1)*VLOOKUP($A153,presupuesto!$B:$Q,16,FALSE)&gt;=VLOOKUP($A153,informe!$A:$J,9,FALSE),"cg","c"),"n")</f>
        <v>n</v>
      </c>
      <c r="V153" s="195" t="str">
        <f>IF(AND(V$3&gt;=$D153,V$3&lt;=$E153),IF((V$3-$D153+1)*VLOOKUP($A153,presupuesto!$B:$Q,16,FALSE)&gt;=VLOOKUP($A153,informe!$A:$J,9,FALSE),"cg","c"),"n")</f>
        <v>n</v>
      </c>
      <c r="W153" s="195" t="str">
        <f>IF(AND(W$3&gt;=$D153,W$3&lt;=$E153),IF((W$3-$D153+1)*VLOOKUP($A153,presupuesto!$B:$Q,16,FALSE)&gt;=VLOOKUP($A153,informe!$A:$J,9,FALSE),"cg","c"),"n")</f>
        <v>n</v>
      </c>
      <c r="X153" s="195" t="str">
        <f>IF(AND(X$3&gt;=$D153,X$3&lt;=$E153),IF((X$3-$D153+1)*VLOOKUP($A153,presupuesto!$B:$Q,16,FALSE)&gt;=VLOOKUP($A153,informe!$A:$J,9,FALSE),"cg","c"),"n")</f>
        <v>n</v>
      </c>
      <c r="Y153" s="195" t="str">
        <f>IF(AND(Y$3&gt;=$D153,Y$3&lt;=$E153),IF((Y$3-$D153+1)*VLOOKUP($A153,presupuesto!$B:$Q,16,FALSE)&gt;=VLOOKUP($A153,informe!$A:$J,9,FALSE),"cg","c"),"n")</f>
        <v>n</v>
      </c>
      <c r="Z153" s="195" t="str">
        <f>IF(AND(Z$3&gt;=$D153,Z$3&lt;=$E153),IF((Z$3-$D153+1)*VLOOKUP($A153,presupuesto!$B:$Q,16,FALSE)&gt;=VLOOKUP($A153,informe!$A:$J,9,FALSE),"cg","c"),"n")</f>
        <v>n</v>
      </c>
      <c r="AA153" s="195" t="str">
        <f>IF(AND(AA$3&gt;=$D153,AA$3&lt;=$E153),IF((AA$3-$D153+1)*VLOOKUP($A153,presupuesto!$B:$Q,16,FALSE)&gt;=VLOOKUP($A153,informe!$A:$J,9,FALSE),"cg","c"),"n")</f>
        <v>n</v>
      </c>
      <c r="AB153" s="195" t="str">
        <f>IF(AND(AB$3&gt;=$D153,AB$3&lt;=$E153),IF((AB$3-$D153+1)*VLOOKUP($A153,presupuesto!$B:$Q,16,FALSE)&gt;=VLOOKUP($A153,informe!$A:$J,9,FALSE),"cg","c"),"n")</f>
        <v>n</v>
      </c>
      <c r="AC153" s="195" t="str">
        <f>IF(AND(AC$3&gt;=$D153,AC$3&lt;=$E153),IF((AC$3-$D153+1)*VLOOKUP($A153,presupuesto!$B:$Q,16,FALSE)&gt;=VLOOKUP($A153,informe!$A:$J,9,FALSE),"cg","c"),"n")</f>
        <v>n</v>
      </c>
      <c r="AD153" s="195" t="str">
        <f>IF(AND(AD$3&gt;=$D153,AD$3&lt;=$E153),IF((AD$3-$D153+1)*VLOOKUP($A153,presupuesto!$B:$Q,16,FALSE)&gt;=VLOOKUP($A153,informe!$A:$J,9,FALSE),"cg","c"),"n")</f>
        <v>n</v>
      </c>
      <c r="AE153" s="195" t="str">
        <f>IF(AND(AE$3&gt;=$D153,AE$3&lt;=$E153),IF((AE$3-$D153+1)*VLOOKUP($A153,presupuesto!$B:$Q,16,FALSE)&gt;=VLOOKUP($A153,informe!$A:$J,9,FALSE),"cg","c"),"n")</f>
        <v>n</v>
      </c>
      <c r="AF153" s="195" t="str">
        <f>IF(AND(AF$3&gt;=$D153,AF$3&lt;=$E153),IF((AF$3-$D153+1)*VLOOKUP($A153,presupuesto!$B:$Q,16,FALSE)&gt;=VLOOKUP($A153,informe!$A:$J,9,FALSE),"cg","c"),"n")</f>
        <v>n</v>
      </c>
      <c r="AG153" s="195" t="str">
        <f>IF(AND(AG$3&gt;=$D153,AG$3&lt;=$E153),IF((AG$3-$D153+1)*VLOOKUP($A153,presupuesto!$B:$Q,16,FALSE)&gt;=VLOOKUP($A153,informe!$A:$J,9,FALSE),"cg","c"),"n")</f>
        <v>n</v>
      </c>
      <c r="AH153" s="195" t="str">
        <f>IF(AND(AH$3&gt;=$D153,AH$3&lt;=$E153),IF((AH$3-$D153+1)*VLOOKUP($A153,presupuesto!$B:$Q,16,FALSE)&gt;=VLOOKUP($A153,informe!$A:$J,9,FALSE),"cg","c"),"n")</f>
        <v>n</v>
      </c>
      <c r="AI153" s="195" t="str">
        <f>IF(AND(AI$3&gt;=$D153,AI$3&lt;=$E153),IF((AI$3-$D153+1)*VLOOKUP($A153,presupuesto!$B:$Q,16,FALSE)&gt;=VLOOKUP($A153,informe!$A:$J,9,FALSE),"cg","c"),"n")</f>
        <v>n</v>
      </c>
      <c r="AJ153" s="195" t="str">
        <f>IF(AND(AJ$3&gt;=$D153,AJ$3&lt;=$E153),IF((AJ$3-$D153+1)*VLOOKUP($A153,presupuesto!$B:$Q,16,FALSE)&gt;=VLOOKUP($A153,informe!$A:$J,9,FALSE),"cg","c"),"n")</f>
        <v>n</v>
      </c>
      <c r="AK153" s="196" t="str">
        <f>IF(AND(AK$3&gt;=$D153,AK$3&lt;=$E153),IF((AK$3-$D153+1)*VLOOKUP($A153,presupuesto!$B:$Q,16,FALSE)&gt;=VLOOKUP($A153,informe!$A:$J,9,FALSE),"cg","c"),"n")</f>
        <v>n</v>
      </c>
    </row>
    <row r="154" spans="1:37" ht="12.75" customHeight="1" x14ac:dyDescent="0.25">
      <c r="A154" s="197">
        <f>presupuesto!B153</f>
        <v>102</v>
      </c>
      <c r="B154" s="182" t="str">
        <f>presupuesto!C153</f>
        <v xml:space="preserve">      SUMINISTRO E INSTALACIÓN SUB ESTACIÓN CAPTACION COQUIAO</v>
      </c>
      <c r="C154" s="174" t="str">
        <f>presupuesto!G153</f>
        <v>120 días</v>
      </c>
      <c r="D154" s="177">
        <f>presupuesto!N153</f>
        <v>45762</v>
      </c>
      <c r="E154" s="177">
        <f>presupuesto!O153</f>
        <v>45881</v>
      </c>
      <c r="F154" s="194" t="str">
        <f>IF(AK154="n",CONCATENATE(" - "),IF(AK154="cg",CONCATENATE(" - "),CONCATENATE(ROUND(IFERROR(VLOOKUP(A154,informe!A:J,9,FALSE)/VLOOKUP(A154,informe!A:J,5,FALSE),0)*100,2),"% ")))</f>
        <v xml:space="preserve"> - </v>
      </c>
      <c r="G154" s="195" t="str">
        <f>IF(AND(G$3&gt;=$D154,G$3&lt;=$E154),IF((G$3-$D154+1)*VLOOKUP($A154,presupuesto!$B:$Q,16,FALSE)&gt;=VLOOKUP($A154,informe!$A:$J,9,FALSE),"cg","c"),"n")</f>
        <v>n</v>
      </c>
      <c r="H154" s="195" t="str">
        <f>IF(AND(H$3&gt;=$D154,H$3&lt;=$E154),IF((H$3-$D154+1)*VLOOKUP($A154,presupuesto!$B:$Q,16,FALSE)&gt;=VLOOKUP($A154,informe!$A:$J,9,FALSE),"cg","c"),"n")</f>
        <v>n</v>
      </c>
      <c r="I154" s="195" t="str">
        <f>IF(AND(I$3&gt;=$D154,I$3&lt;=$E154),IF((I$3-$D154+1)*VLOOKUP($A154,presupuesto!$B:$Q,16,FALSE)&gt;=VLOOKUP($A154,informe!$A:$J,9,FALSE),"cg","c"),"n")</f>
        <v>n</v>
      </c>
      <c r="J154" s="195" t="str">
        <f>IF(AND(J$3&gt;=$D154,J$3&lt;=$E154),IF((J$3-$D154+1)*VLOOKUP($A154,presupuesto!$B:$Q,16,FALSE)&gt;=VLOOKUP($A154,informe!$A:$J,9,FALSE),"cg","c"),"n")</f>
        <v>n</v>
      </c>
      <c r="K154" s="195" t="str">
        <f>IF(AND(K$3&gt;=$D154,K$3&lt;=$E154),IF((K$3-$D154+1)*VLOOKUP($A154,presupuesto!$B:$Q,16,FALSE)&gt;=VLOOKUP($A154,informe!$A:$J,9,FALSE),"cg","c"),"n")</f>
        <v>n</v>
      </c>
      <c r="L154" s="195" t="str">
        <f>IF(AND(L$3&gt;=$D154,L$3&lt;=$E154),IF((L$3-$D154+1)*VLOOKUP($A154,presupuesto!$B:$Q,16,FALSE)&gt;=VLOOKUP($A154,informe!$A:$J,9,FALSE),"cg","c"),"n")</f>
        <v>n</v>
      </c>
      <c r="M154" s="195" t="str">
        <f>IF(AND(M$3&gt;=$D154,M$3&lt;=$E154),IF((M$3-$D154+1)*VLOOKUP($A154,presupuesto!$B:$Q,16,FALSE)&gt;=VLOOKUP($A154,informe!$A:$J,9,FALSE),"cg","c"),"n")</f>
        <v>n</v>
      </c>
      <c r="N154" s="195" t="str">
        <f>IF(AND(N$3&gt;=$D154,N$3&lt;=$E154),IF((N$3-$D154+1)*VLOOKUP($A154,presupuesto!$B:$Q,16,FALSE)&gt;=VLOOKUP($A154,informe!$A:$J,9,FALSE),"cg","c"),"n")</f>
        <v>n</v>
      </c>
      <c r="O154" s="195" t="str">
        <f>IF(AND(O$3&gt;=$D154,O$3&lt;=$E154),IF((O$3-$D154+1)*VLOOKUP($A154,presupuesto!$B:$Q,16,FALSE)&gt;=VLOOKUP($A154,informe!$A:$J,9,FALSE),"cg","c"),"n")</f>
        <v>n</v>
      </c>
      <c r="P154" s="195" t="str">
        <f>IF(AND(P$3&gt;=$D154,P$3&lt;=$E154),IF((P$3-$D154+1)*VLOOKUP($A154,presupuesto!$B:$Q,16,FALSE)&gt;=VLOOKUP($A154,informe!$A:$J,9,FALSE),"cg","c"),"n")</f>
        <v>n</v>
      </c>
      <c r="Q154" s="195" t="str">
        <f>IF(AND(Q$3&gt;=$D154,Q$3&lt;=$E154),IF((Q$3-$D154+1)*VLOOKUP($A154,presupuesto!$B:$Q,16,FALSE)&gt;=VLOOKUP($A154,informe!$A:$J,9,FALSE),"cg","c"),"n")</f>
        <v>n</v>
      </c>
      <c r="R154" s="195" t="str">
        <f>IF(AND(R$3&gt;=$D154,R$3&lt;=$E154),IF((R$3-$D154+1)*VLOOKUP($A154,presupuesto!$B:$Q,16,FALSE)&gt;=VLOOKUP($A154,informe!$A:$J,9,FALSE),"cg","c"),"n")</f>
        <v>n</v>
      </c>
      <c r="S154" s="195" t="str">
        <f>IF(AND(S$3&gt;=$D154,S$3&lt;=$E154),IF((S$3-$D154+1)*VLOOKUP($A154,presupuesto!$B:$Q,16,FALSE)&gt;=VLOOKUP($A154,informe!$A:$J,9,FALSE),"cg","c"),"n")</f>
        <v>n</v>
      </c>
      <c r="T154" s="195" t="str">
        <f>IF(AND(T$3&gt;=$D154,T$3&lt;=$E154),IF((T$3-$D154+1)*VLOOKUP($A154,presupuesto!$B:$Q,16,FALSE)&gt;=VLOOKUP($A154,informe!$A:$J,9,FALSE),"cg","c"),"n")</f>
        <v>n</v>
      </c>
      <c r="U154" s="195" t="str">
        <f>IF(AND(U$3&gt;=$D154,U$3&lt;=$E154),IF((U$3-$D154+1)*VLOOKUP($A154,presupuesto!$B:$Q,16,FALSE)&gt;=VLOOKUP($A154,informe!$A:$J,9,FALSE),"cg","c"),"n")</f>
        <v>n</v>
      </c>
      <c r="V154" s="195" t="str">
        <f>IF(AND(V$3&gt;=$D154,V$3&lt;=$E154),IF((V$3-$D154+1)*VLOOKUP($A154,presupuesto!$B:$Q,16,FALSE)&gt;=VLOOKUP($A154,informe!$A:$J,9,FALSE),"cg","c"),"n")</f>
        <v>n</v>
      </c>
      <c r="W154" s="195" t="str">
        <f>IF(AND(W$3&gt;=$D154,W$3&lt;=$E154),IF((W$3-$D154+1)*VLOOKUP($A154,presupuesto!$B:$Q,16,FALSE)&gt;=VLOOKUP($A154,informe!$A:$J,9,FALSE),"cg","c"),"n")</f>
        <v>n</v>
      </c>
      <c r="X154" s="195" t="str">
        <f>IF(AND(X$3&gt;=$D154,X$3&lt;=$E154),IF((X$3-$D154+1)*VLOOKUP($A154,presupuesto!$B:$Q,16,FALSE)&gt;=VLOOKUP($A154,informe!$A:$J,9,FALSE),"cg","c"),"n")</f>
        <v>n</v>
      </c>
      <c r="Y154" s="195" t="str">
        <f>IF(AND(Y$3&gt;=$D154,Y$3&lt;=$E154),IF((Y$3-$D154+1)*VLOOKUP($A154,presupuesto!$B:$Q,16,FALSE)&gt;=VLOOKUP($A154,informe!$A:$J,9,FALSE),"cg","c"),"n")</f>
        <v>n</v>
      </c>
      <c r="Z154" s="195" t="str">
        <f>IF(AND(Z$3&gt;=$D154,Z$3&lt;=$E154),IF((Z$3-$D154+1)*VLOOKUP($A154,presupuesto!$B:$Q,16,FALSE)&gt;=VLOOKUP($A154,informe!$A:$J,9,FALSE),"cg","c"),"n")</f>
        <v>n</v>
      </c>
      <c r="AA154" s="195" t="str">
        <f>IF(AND(AA$3&gt;=$D154,AA$3&lt;=$E154),IF((AA$3-$D154+1)*VLOOKUP($A154,presupuesto!$B:$Q,16,FALSE)&gt;=VLOOKUP($A154,informe!$A:$J,9,FALSE),"cg","c"),"n")</f>
        <v>n</v>
      </c>
      <c r="AB154" s="195" t="str">
        <f>IF(AND(AB$3&gt;=$D154,AB$3&lt;=$E154),IF((AB$3-$D154+1)*VLOOKUP($A154,presupuesto!$B:$Q,16,FALSE)&gt;=VLOOKUP($A154,informe!$A:$J,9,FALSE),"cg","c"),"n")</f>
        <v>n</v>
      </c>
      <c r="AC154" s="195" t="str">
        <f>IF(AND(AC$3&gt;=$D154,AC$3&lt;=$E154),IF((AC$3-$D154+1)*VLOOKUP($A154,presupuesto!$B:$Q,16,FALSE)&gt;=VLOOKUP($A154,informe!$A:$J,9,FALSE),"cg","c"),"n")</f>
        <v>n</v>
      </c>
      <c r="AD154" s="195" t="str">
        <f>IF(AND(AD$3&gt;=$D154,AD$3&lt;=$E154),IF((AD$3-$D154+1)*VLOOKUP($A154,presupuesto!$B:$Q,16,FALSE)&gt;=VLOOKUP($A154,informe!$A:$J,9,FALSE),"cg","c"),"n")</f>
        <v>n</v>
      </c>
      <c r="AE154" s="195" t="str">
        <f>IF(AND(AE$3&gt;=$D154,AE$3&lt;=$E154),IF((AE$3-$D154+1)*VLOOKUP($A154,presupuesto!$B:$Q,16,FALSE)&gt;=VLOOKUP($A154,informe!$A:$J,9,FALSE),"cg","c"),"n")</f>
        <v>n</v>
      </c>
      <c r="AF154" s="195" t="str">
        <f>IF(AND(AF$3&gt;=$D154,AF$3&lt;=$E154),IF((AF$3-$D154+1)*VLOOKUP($A154,presupuesto!$B:$Q,16,FALSE)&gt;=VLOOKUP($A154,informe!$A:$J,9,FALSE),"cg","c"),"n")</f>
        <v>n</v>
      </c>
      <c r="AG154" s="195" t="str">
        <f>IF(AND(AG$3&gt;=$D154,AG$3&lt;=$E154),IF((AG$3-$D154+1)*VLOOKUP($A154,presupuesto!$B:$Q,16,FALSE)&gt;=VLOOKUP($A154,informe!$A:$J,9,FALSE),"cg","c"),"n")</f>
        <v>n</v>
      </c>
      <c r="AH154" s="195" t="str">
        <f>IF(AND(AH$3&gt;=$D154,AH$3&lt;=$E154),IF((AH$3-$D154+1)*VLOOKUP($A154,presupuesto!$B:$Q,16,FALSE)&gt;=VLOOKUP($A154,informe!$A:$J,9,FALSE),"cg","c"),"n")</f>
        <v>n</v>
      </c>
      <c r="AI154" s="195" t="str">
        <f>IF(AND(AI$3&gt;=$D154,AI$3&lt;=$E154),IF((AI$3-$D154+1)*VLOOKUP($A154,presupuesto!$B:$Q,16,FALSE)&gt;=VLOOKUP($A154,informe!$A:$J,9,FALSE),"cg","c"),"n")</f>
        <v>n</v>
      </c>
      <c r="AJ154" s="195" t="str">
        <f>IF(AND(AJ$3&gt;=$D154,AJ$3&lt;=$E154),IF((AJ$3-$D154+1)*VLOOKUP($A154,presupuesto!$B:$Q,16,FALSE)&gt;=VLOOKUP($A154,informe!$A:$J,9,FALSE),"cg","c"),"n")</f>
        <v>n</v>
      </c>
      <c r="AK154" s="196" t="str">
        <f>IF(AND(AK$3&gt;=$D154,AK$3&lt;=$E154),IF((AK$3-$D154+1)*VLOOKUP($A154,presupuesto!$B:$Q,16,FALSE)&gt;=VLOOKUP($A154,informe!$A:$J,9,FALSE),"cg","c"),"n")</f>
        <v>n</v>
      </c>
    </row>
    <row r="155" spans="1:37" ht="12.75" customHeight="1" x14ac:dyDescent="0.25">
      <c r="A155" s="197">
        <f>presupuesto!B154</f>
        <v>103</v>
      </c>
      <c r="B155" s="182" t="str">
        <f>presupuesto!C154</f>
        <v xml:space="preserve">      MALLA DE PUESTA TIERRA</v>
      </c>
      <c r="C155" s="174" t="str">
        <f>presupuesto!G154</f>
        <v>15 días</v>
      </c>
      <c r="D155" s="177">
        <f>presupuesto!N154</f>
        <v>45762</v>
      </c>
      <c r="E155" s="177">
        <f>presupuesto!O154</f>
        <v>45776</v>
      </c>
      <c r="F155" s="194" t="str">
        <f>IF(AK155="n",CONCATENATE(" - "),IF(AK155="cg",CONCATENATE(" - "),CONCATENATE(ROUND(IFERROR(VLOOKUP(A155,informe!A:J,9,FALSE)/VLOOKUP(A155,informe!A:J,5,FALSE),0)*100,2),"% ")))</f>
        <v xml:space="preserve"> - </v>
      </c>
      <c r="G155" s="195" t="str">
        <f>IF(AND(G$3&gt;=$D155,G$3&lt;=$E155),IF((G$3-$D155+1)*VLOOKUP($A155,presupuesto!$B:$Q,16,FALSE)&gt;=VLOOKUP($A155,informe!$A:$J,9,FALSE),"cg","c"),"n")</f>
        <v>n</v>
      </c>
      <c r="H155" s="195" t="str">
        <f>IF(AND(H$3&gt;=$D155,H$3&lt;=$E155),IF((H$3-$D155+1)*VLOOKUP($A155,presupuesto!$B:$Q,16,FALSE)&gt;=VLOOKUP($A155,informe!$A:$J,9,FALSE),"cg","c"),"n")</f>
        <v>n</v>
      </c>
      <c r="I155" s="195" t="str">
        <f>IF(AND(I$3&gt;=$D155,I$3&lt;=$E155),IF((I$3-$D155+1)*VLOOKUP($A155,presupuesto!$B:$Q,16,FALSE)&gt;=VLOOKUP($A155,informe!$A:$J,9,FALSE),"cg","c"),"n")</f>
        <v>n</v>
      </c>
      <c r="J155" s="195" t="str">
        <f>IF(AND(J$3&gt;=$D155,J$3&lt;=$E155),IF((J$3-$D155+1)*VLOOKUP($A155,presupuesto!$B:$Q,16,FALSE)&gt;=VLOOKUP($A155,informe!$A:$J,9,FALSE),"cg","c"),"n")</f>
        <v>n</v>
      </c>
      <c r="K155" s="195" t="str">
        <f>IF(AND(K$3&gt;=$D155,K$3&lt;=$E155),IF((K$3-$D155+1)*VLOOKUP($A155,presupuesto!$B:$Q,16,FALSE)&gt;=VLOOKUP($A155,informe!$A:$J,9,FALSE),"cg","c"),"n")</f>
        <v>n</v>
      </c>
      <c r="L155" s="195" t="str">
        <f>IF(AND(L$3&gt;=$D155,L$3&lt;=$E155),IF((L$3-$D155+1)*VLOOKUP($A155,presupuesto!$B:$Q,16,FALSE)&gt;=VLOOKUP($A155,informe!$A:$J,9,FALSE),"cg","c"),"n")</f>
        <v>n</v>
      </c>
      <c r="M155" s="195" t="str">
        <f>IF(AND(M$3&gt;=$D155,M$3&lt;=$E155),IF((M$3-$D155+1)*VLOOKUP($A155,presupuesto!$B:$Q,16,FALSE)&gt;=VLOOKUP($A155,informe!$A:$J,9,FALSE),"cg","c"),"n")</f>
        <v>n</v>
      </c>
      <c r="N155" s="195" t="str">
        <f>IF(AND(N$3&gt;=$D155,N$3&lt;=$E155),IF((N$3-$D155+1)*VLOOKUP($A155,presupuesto!$B:$Q,16,FALSE)&gt;=VLOOKUP($A155,informe!$A:$J,9,FALSE),"cg","c"),"n")</f>
        <v>n</v>
      </c>
      <c r="O155" s="195" t="str">
        <f>IF(AND(O$3&gt;=$D155,O$3&lt;=$E155),IF((O$3-$D155+1)*VLOOKUP($A155,presupuesto!$B:$Q,16,FALSE)&gt;=VLOOKUP($A155,informe!$A:$J,9,FALSE),"cg","c"),"n")</f>
        <v>n</v>
      </c>
      <c r="P155" s="195" t="str">
        <f>IF(AND(P$3&gt;=$D155,P$3&lt;=$E155),IF((P$3-$D155+1)*VLOOKUP($A155,presupuesto!$B:$Q,16,FALSE)&gt;=VLOOKUP($A155,informe!$A:$J,9,FALSE),"cg","c"),"n")</f>
        <v>n</v>
      </c>
      <c r="Q155" s="195" t="str">
        <f>IF(AND(Q$3&gt;=$D155,Q$3&lt;=$E155),IF((Q$3-$D155+1)*VLOOKUP($A155,presupuesto!$B:$Q,16,FALSE)&gt;=VLOOKUP($A155,informe!$A:$J,9,FALSE),"cg","c"),"n")</f>
        <v>n</v>
      </c>
      <c r="R155" s="195" t="str">
        <f>IF(AND(R$3&gt;=$D155,R$3&lt;=$E155),IF((R$3-$D155+1)*VLOOKUP($A155,presupuesto!$B:$Q,16,FALSE)&gt;=VLOOKUP($A155,informe!$A:$J,9,FALSE),"cg","c"),"n")</f>
        <v>n</v>
      </c>
      <c r="S155" s="195" t="str">
        <f>IF(AND(S$3&gt;=$D155,S$3&lt;=$E155),IF((S$3-$D155+1)*VLOOKUP($A155,presupuesto!$B:$Q,16,FALSE)&gt;=VLOOKUP($A155,informe!$A:$J,9,FALSE),"cg","c"),"n")</f>
        <v>n</v>
      </c>
      <c r="T155" s="195" t="str">
        <f>IF(AND(T$3&gt;=$D155,T$3&lt;=$E155),IF((T$3-$D155+1)*VLOOKUP($A155,presupuesto!$B:$Q,16,FALSE)&gt;=VLOOKUP($A155,informe!$A:$J,9,FALSE),"cg","c"),"n")</f>
        <v>n</v>
      </c>
      <c r="U155" s="195" t="str">
        <f>IF(AND(U$3&gt;=$D155,U$3&lt;=$E155),IF((U$3-$D155+1)*VLOOKUP($A155,presupuesto!$B:$Q,16,FALSE)&gt;=VLOOKUP($A155,informe!$A:$J,9,FALSE),"cg","c"),"n")</f>
        <v>n</v>
      </c>
      <c r="V155" s="195" t="str">
        <f>IF(AND(V$3&gt;=$D155,V$3&lt;=$E155),IF((V$3-$D155+1)*VLOOKUP($A155,presupuesto!$B:$Q,16,FALSE)&gt;=VLOOKUP($A155,informe!$A:$J,9,FALSE),"cg","c"),"n")</f>
        <v>n</v>
      </c>
      <c r="W155" s="195" t="str">
        <f>IF(AND(W$3&gt;=$D155,W$3&lt;=$E155),IF((W$3-$D155+1)*VLOOKUP($A155,presupuesto!$B:$Q,16,FALSE)&gt;=VLOOKUP($A155,informe!$A:$J,9,FALSE),"cg","c"),"n")</f>
        <v>n</v>
      </c>
      <c r="X155" s="195" t="str">
        <f>IF(AND(X$3&gt;=$D155,X$3&lt;=$E155),IF((X$3-$D155+1)*VLOOKUP($A155,presupuesto!$B:$Q,16,FALSE)&gt;=VLOOKUP($A155,informe!$A:$J,9,FALSE),"cg","c"),"n")</f>
        <v>n</v>
      </c>
      <c r="Y155" s="195" t="str">
        <f>IF(AND(Y$3&gt;=$D155,Y$3&lt;=$E155),IF((Y$3-$D155+1)*VLOOKUP($A155,presupuesto!$B:$Q,16,FALSE)&gt;=VLOOKUP($A155,informe!$A:$J,9,FALSE),"cg","c"),"n")</f>
        <v>n</v>
      </c>
      <c r="Z155" s="195" t="str">
        <f>IF(AND(Z$3&gt;=$D155,Z$3&lt;=$E155),IF((Z$3-$D155+1)*VLOOKUP($A155,presupuesto!$B:$Q,16,FALSE)&gt;=VLOOKUP($A155,informe!$A:$J,9,FALSE),"cg","c"),"n")</f>
        <v>n</v>
      </c>
      <c r="AA155" s="195" t="str">
        <f>IF(AND(AA$3&gt;=$D155,AA$3&lt;=$E155),IF((AA$3-$D155+1)*VLOOKUP($A155,presupuesto!$B:$Q,16,FALSE)&gt;=VLOOKUP($A155,informe!$A:$J,9,FALSE),"cg","c"),"n")</f>
        <v>n</v>
      </c>
      <c r="AB155" s="195" t="str">
        <f>IF(AND(AB$3&gt;=$D155,AB$3&lt;=$E155),IF((AB$3-$D155+1)*VLOOKUP($A155,presupuesto!$B:$Q,16,FALSE)&gt;=VLOOKUP($A155,informe!$A:$J,9,FALSE),"cg","c"),"n")</f>
        <v>n</v>
      </c>
      <c r="AC155" s="195" t="str">
        <f>IF(AND(AC$3&gt;=$D155,AC$3&lt;=$E155),IF((AC$3-$D155+1)*VLOOKUP($A155,presupuesto!$B:$Q,16,FALSE)&gt;=VLOOKUP($A155,informe!$A:$J,9,FALSE),"cg","c"),"n")</f>
        <v>n</v>
      </c>
      <c r="AD155" s="195" t="str">
        <f>IF(AND(AD$3&gt;=$D155,AD$3&lt;=$E155),IF((AD$3-$D155+1)*VLOOKUP($A155,presupuesto!$B:$Q,16,FALSE)&gt;=VLOOKUP($A155,informe!$A:$J,9,FALSE),"cg","c"),"n")</f>
        <v>n</v>
      </c>
      <c r="AE155" s="195" t="str">
        <f>IF(AND(AE$3&gt;=$D155,AE$3&lt;=$E155),IF((AE$3-$D155+1)*VLOOKUP($A155,presupuesto!$B:$Q,16,FALSE)&gt;=VLOOKUP($A155,informe!$A:$J,9,FALSE),"cg","c"),"n")</f>
        <v>n</v>
      </c>
      <c r="AF155" s="195" t="str">
        <f>IF(AND(AF$3&gt;=$D155,AF$3&lt;=$E155),IF((AF$3-$D155+1)*VLOOKUP($A155,presupuesto!$B:$Q,16,FALSE)&gt;=VLOOKUP($A155,informe!$A:$J,9,FALSE),"cg","c"),"n")</f>
        <v>n</v>
      </c>
      <c r="AG155" s="195" t="str">
        <f>IF(AND(AG$3&gt;=$D155,AG$3&lt;=$E155),IF((AG$3-$D155+1)*VLOOKUP($A155,presupuesto!$B:$Q,16,FALSE)&gt;=VLOOKUP($A155,informe!$A:$J,9,FALSE),"cg","c"),"n")</f>
        <v>n</v>
      </c>
      <c r="AH155" s="195" t="str">
        <f>IF(AND(AH$3&gt;=$D155,AH$3&lt;=$E155),IF((AH$3-$D155+1)*VLOOKUP($A155,presupuesto!$B:$Q,16,FALSE)&gt;=VLOOKUP($A155,informe!$A:$J,9,FALSE),"cg","c"),"n")</f>
        <v>n</v>
      </c>
      <c r="AI155" s="195" t="str">
        <f>IF(AND(AI$3&gt;=$D155,AI$3&lt;=$E155),IF((AI$3-$D155+1)*VLOOKUP($A155,presupuesto!$B:$Q,16,FALSE)&gt;=VLOOKUP($A155,informe!$A:$J,9,FALSE),"cg","c"),"n")</f>
        <v>n</v>
      </c>
      <c r="AJ155" s="195" t="str">
        <f>IF(AND(AJ$3&gt;=$D155,AJ$3&lt;=$E155),IF((AJ$3-$D155+1)*VLOOKUP($A155,presupuesto!$B:$Q,16,FALSE)&gt;=VLOOKUP($A155,informe!$A:$J,9,FALSE),"cg","c"),"n")</f>
        <v>n</v>
      </c>
      <c r="AK155" s="196" t="str">
        <f>IF(AND(AK$3&gt;=$D155,AK$3&lt;=$E155),IF((AK$3-$D155+1)*VLOOKUP($A155,presupuesto!$B:$Q,16,FALSE)&gt;=VLOOKUP($A155,informe!$A:$J,9,FALSE),"cg","c"),"n")</f>
        <v>n</v>
      </c>
    </row>
    <row r="156" spans="1:37" x14ac:dyDescent="0.25">
      <c r="A156" s="197">
        <f>presupuesto!B155</f>
        <v>104</v>
      </c>
      <c r="B156" s="182" t="str">
        <f>presupuesto!C155</f>
        <v xml:space="preserve">      ALIMENTADOR GENERAL EN BT CAPTACION COQUIAO</v>
      </c>
      <c r="C156" s="174" t="str">
        <f>presupuesto!G155</f>
        <v>30 días</v>
      </c>
      <c r="D156" s="177">
        <f>presupuesto!N155</f>
        <v>45762</v>
      </c>
      <c r="E156" s="177">
        <f>presupuesto!O155</f>
        <v>45791</v>
      </c>
      <c r="F156" s="194" t="str">
        <f>IF(AK156="n",CONCATENATE(" - "),IF(AK156="cg",CONCATENATE(" - "),CONCATENATE(ROUND(IFERROR(VLOOKUP(A156,informe!A:J,9,FALSE)/VLOOKUP(A156,informe!A:J,5,FALSE),0)*100,2),"% ")))</f>
        <v xml:space="preserve"> - </v>
      </c>
      <c r="G156" s="195" t="str">
        <f>IF(AND(G$3&gt;=$D156,G$3&lt;=$E156),IF((G$3-$D156+1)*VLOOKUP($A156,presupuesto!$B:$Q,16,FALSE)&gt;=VLOOKUP($A156,informe!$A:$J,9,FALSE),"cg","c"),"n")</f>
        <v>n</v>
      </c>
      <c r="H156" s="195" t="str">
        <f>IF(AND(H$3&gt;=$D156,H$3&lt;=$E156),IF((H$3-$D156+1)*VLOOKUP($A156,presupuesto!$B:$Q,16,FALSE)&gt;=VLOOKUP($A156,informe!$A:$J,9,FALSE),"cg","c"),"n")</f>
        <v>n</v>
      </c>
      <c r="I156" s="195" t="str">
        <f>IF(AND(I$3&gt;=$D156,I$3&lt;=$E156),IF((I$3-$D156+1)*VLOOKUP($A156,presupuesto!$B:$Q,16,FALSE)&gt;=VLOOKUP($A156,informe!$A:$J,9,FALSE),"cg","c"),"n")</f>
        <v>n</v>
      </c>
      <c r="J156" s="195" t="str">
        <f>IF(AND(J$3&gt;=$D156,J$3&lt;=$E156),IF((J$3-$D156+1)*VLOOKUP($A156,presupuesto!$B:$Q,16,FALSE)&gt;=VLOOKUP($A156,informe!$A:$J,9,FALSE),"cg","c"),"n")</f>
        <v>n</v>
      </c>
      <c r="K156" s="195" t="str">
        <f>IF(AND(K$3&gt;=$D156,K$3&lt;=$E156),IF((K$3-$D156+1)*VLOOKUP($A156,presupuesto!$B:$Q,16,FALSE)&gt;=VLOOKUP($A156,informe!$A:$J,9,FALSE),"cg","c"),"n")</f>
        <v>n</v>
      </c>
      <c r="L156" s="195" t="str">
        <f>IF(AND(L$3&gt;=$D156,L$3&lt;=$E156),IF((L$3-$D156+1)*VLOOKUP($A156,presupuesto!$B:$Q,16,FALSE)&gt;=VLOOKUP($A156,informe!$A:$J,9,FALSE),"cg","c"),"n")</f>
        <v>n</v>
      </c>
      <c r="M156" s="195" t="str">
        <f>IF(AND(M$3&gt;=$D156,M$3&lt;=$E156),IF((M$3-$D156+1)*VLOOKUP($A156,presupuesto!$B:$Q,16,FALSE)&gt;=VLOOKUP($A156,informe!$A:$J,9,FALSE),"cg","c"),"n")</f>
        <v>n</v>
      </c>
      <c r="N156" s="195" t="str">
        <f>IF(AND(N$3&gt;=$D156,N$3&lt;=$E156),IF((N$3-$D156+1)*VLOOKUP($A156,presupuesto!$B:$Q,16,FALSE)&gt;=VLOOKUP($A156,informe!$A:$J,9,FALSE),"cg","c"),"n")</f>
        <v>n</v>
      </c>
      <c r="O156" s="195" t="str">
        <f>IF(AND(O$3&gt;=$D156,O$3&lt;=$E156),IF((O$3-$D156+1)*VLOOKUP($A156,presupuesto!$B:$Q,16,FALSE)&gt;=VLOOKUP($A156,informe!$A:$J,9,FALSE),"cg","c"),"n")</f>
        <v>n</v>
      </c>
      <c r="P156" s="195" t="str">
        <f>IF(AND(P$3&gt;=$D156,P$3&lt;=$E156),IF((P$3-$D156+1)*VLOOKUP($A156,presupuesto!$B:$Q,16,FALSE)&gt;=VLOOKUP($A156,informe!$A:$J,9,FALSE),"cg","c"),"n")</f>
        <v>n</v>
      </c>
      <c r="Q156" s="195" t="str">
        <f>IF(AND(Q$3&gt;=$D156,Q$3&lt;=$E156),IF((Q$3-$D156+1)*VLOOKUP($A156,presupuesto!$B:$Q,16,FALSE)&gt;=VLOOKUP($A156,informe!$A:$J,9,FALSE),"cg","c"),"n")</f>
        <v>n</v>
      </c>
      <c r="R156" s="195" t="str">
        <f>IF(AND(R$3&gt;=$D156,R$3&lt;=$E156),IF((R$3-$D156+1)*VLOOKUP($A156,presupuesto!$B:$Q,16,FALSE)&gt;=VLOOKUP($A156,informe!$A:$J,9,FALSE),"cg","c"),"n")</f>
        <v>n</v>
      </c>
      <c r="S156" s="195" t="str">
        <f>IF(AND(S$3&gt;=$D156,S$3&lt;=$E156),IF((S$3-$D156+1)*VLOOKUP($A156,presupuesto!$B:$Q,16,FALSE)&gt;=VLOOKUP($A156,informe!$A:$J,9,FALSE),"cg","c"),"n")</f>
        <v>n</v>
      </c>
      <c r="T156" s="195" t="str">
        <f>IF(AND(T$3&gt;=$D156,T$3&lt;=$E156),IF((T$3-$D156+1)*VLOOKUP($A156,presupuesto!$B:$Q,16,FALSE)&gt;=VLOOKUP($A156,informe!$A:$J,9,FALSE),"cg","c"),"n")</f>
        <v>n</v>
      </c>
      <c r="U156" s="195" t="str">
        <f>IF(AND(U$3&gt;=$D156,U$3&lt;=$E156),IF((U$3-$D156+1)*VLOOKUP($A156,presupuesto!$B:$Q,16,FALSE)&gt;=VLOOKUP($A156,informe!$A:$J,9,FALSE),"cg","c"),"n")</f>
        <v>n</v>
      </c>
      <c r="V156" s="195" t="str">
        <f>IF(AND(V$3&gt;=$D156,V$3&lt;=$E156),IF((V$3-$D156+1)*VLOOKUP($A156,presupuesto!$B:$Q,16,FALSE)&gt;=VLOOKUP($A156,informe!$A:$J,9,FALSE),"cg","c"),"n")</f>
        <v>n</v>
      </c>
      <c r="W156" s="195" t="str">
        <f>IF(AND(W$3&gt;=$D156,W$3&lt;=$E156),IF((W$3-$D156+1)*VLOOKUP($A156,presupuesto!$B:$Q,16,FALSE)&gt;=VLOOKUP($A156,informe!$A:$J,9,FALSE),"cg","c"),"n")</f>
        <v>n</v>
      </c>
      <c r="X156" s="195" t="str">
        <f>IF(AND(X$3&gt;=$D156,X$3&lt;=$E156),IF((X$3-$D156+1)*VLOOKUP($A156,presupuesto!$B:$Q,16,FALSE)&gt;=VLOOKUP($A156,informe!$A:$J,9,FALSE),"cg","c"),"n")</f>
        <v>n</v>
      </c>
      <c r="Y156" s="195" t="str">
        <f>IF(AND(Y$3&gt;=$D156,Y$3&lt;=$E156),IF((Y$3-$D156+1)*VLOOKUP($A156,presupuesto!$B:$Q,16,FALSE)&gt;=VLOOKUP($A156,informe!$A:$J,9,FALSE),"cg","c"),"n")</f>
        <v>n</v>
      </c>
      <c r="Z156" s="195" t="str">
        <f>IF(AND(Z$3&gt;=$D156,Z$3&lt;=$E156),IF((Z$3-$D156+1)*VLOOKUP($A156,presupuesto!$B:$Q,16,FALSE)&gt;=VLOOKUP($A156,informe!$A:$J,9,FALSE),"cg","c"),"n")</f>
        <v>n</v>
      </c>
      <c r="AA156" s="195" t="str">
        <f>IF(AND(AA$3&gt;=$D156,AA$3&lt;=$E156),IF((AA$3-$D156+1)*VLOOKUP($A156,presupuesto!$B:$Q,16,FALSE)&gt;=VLOOKUP($A156,informe!$A:$J,9,FALSE),"cg","c"),"n")</f>
        <v>n</v>
      </c>
      <c r="AB156" s="195" t="str">
        <f>IF(AND(AB$3&gt;=$D156,AB$3&lt;=$E156),IF((AB$3-$D156+1)*VLOOKUP($A156,presupuesto!$B:$Q,16,FALSE)&gt;=VLOOKUP($A156,informe!$A:$J,9,FALSE),"cg","c"),"n")</f>
        <v>n</v>
      </c>
      <c r="AC156" s="195" t="str">
        <f>IF(AND(AC$3&gt;=$D156,AC$3&lt;=$E156),IF((AC$3-$D156+1)*VLOOKUP($A156,presupuesto!$B:$Q,16,FALSE)&gt;=VLOOKUP($A156,informe!$A:$J,9,FALSE),"cg","c"),"n")</f>
        <v>n</v>
      </c>
      <c r="AD156" s="195" t="str">
        <f>IF(AND(AD$3&gt;=$D156,AD$3&lt;=$E156),IF((AD$3-$D156+1)*VLOOKUP($A156,presupuesto!$B:$Q,16,FALSE)&gt;=VLOOKUP($A156,informe!$A:$J,9,FALSE),"cg","c"),"n")</f>
        <v>n</v>
      </c>
      <c r="AE156" s="195" t="str">
        <f>IF(AND(AE$3&gt;=$D156,AE$3&lt;=$E156),IF((AE$3-$D156+1)*VLOOKUP($A156,presupuesto!$B:$Q,16,FALSE)&gt;=VLOOKUP($A156,informe!$A:$J,9,FALSE),"cg","c"),"n")</f>
        <v>n</v>
      </c>
      <c r="AF156" s="195" t="str">
        <f>IF(AND(AF$3&gt;=$D156,AF$3&lt;=$E156),IF((AF$3-$D156+1)*VLOOKUP($A156,presupuesto!$B:$Q,16,FALSE)&gt;=VLOOKUP($A156,informe!$A:$J,9,FALSE),"cg","c"),"n")</f>
        <v>n</v>
      </c>
      <c r="AG156" s="195" t="str">
        <f>IF(AND(AG$3&gt;=$D156,AG$3&lt;=$E156),IF((AG$3-$D156+1)*VLOOKUP($A156,presupuesto!$B:$Q,16,FALSE)&gt;=VLOOKUP($A156,informe!$A:$J,9,FALSE),"cg","c"),"n")</f>
        <v>n</v>
      </c>
      <c r="AH156" s="195" t="str">
        <f>IF(AND(AH$3&gt;=$D156,AH$3&lt;=$E156),IF((AH$3-$D156+1)*VLOOKUP($A156,presupuesto!$B:$Q,16,FALSE)&gt;=VLOOKUP($A156,informe!$A:$J,9,FALSE),"cg","c"),"n")</f>
        <v>n</v>
      </c>
      <c r="AI156" s="195" t="str">
        <f>IF(AND(AI$3&gt;=$D156,AI$3&lt;=$E156),IF((AI$3-$D156+1)*VLOOKUP($A156,presupuesto!$B:$Q,16,FALSE)&gt;=VLOOKUP($A156,informe!$A:$J,9,FALSE),"cg","c"),"n")</f>
        <v>n</v>
      </c>
      <c r="AJ156" s="195" t="str">
        <f>IF(AND(AJ$3&gt;=$D156,AJ$3&lt;=$E156),IF((AJ$3-$D156+1)*VLOOKUP($A156,presupuesto!$B:$Q,16,FALSE)&gt;=VLOOKUP($A156,informe!$A:$J,9,FALSE),"cg","c"),"n")</f>
        <v>n</v>
      </c>
      <c r="AK156" s="196" t="str">
        <f>IF(AND(AK$3&gt;=$D156,AK$3&lt;=$E156),IF((AK$3-$D156+1)*VLOOKUP($A156,presupuesto!$B:$Q,16,FALSE)&gt;=VLOOKUP($A156,informe!$A:$J,9,FALSE),"cg","c"),"n")</f>
        <v>n</v>
      </c>
    </row>
    <row r="157" spans="1:37" ht="12.75" customHeight="1" x14ac:dyDescent="0.25">
      <c r="A157" s="197">
        <f>presupuesto!B156</f>
        <v>105</v>
      </c>
      <c r="B157" s="182" t="str">
        <f>presupuesto!C156</f>
        <v xml:space="preserve">      ALIMENTADOR GENERAL EN BT PLANTA TRATAMIENTO Y REGULACION COQUIAO</v>
      </c>
      <c r="C157" s="174" t="str">
        <f>presupuesto!G156</f>
        <v>30 días</v>
      </c>
      <c r="D157" s="177">
        <f>presupuesto!N156</f>
        <v>45765</v>
      </c>
      <c r="E157" s="177">
        <f>presupuesto!O156</f>
        <v>45794</v>
      </c>
      <c r="F157" s="194" t="str">
        <f>IF(AK157="n",CONCATENATE(" - "),IF(AK157="cg",CONCATENATE(" - "),CONCATENATE(ROUND(IFERROR(VLOOKUP(A157,informe!A:J,9,FALSE)/VLOOKUP(A157,informe!A:J,5,FALSE),0)*100,2),"% ")))</f>
        <v xml:space="preserve"> - </v>
      </c>
      <c r="G157" s="195" t="str">
        <f>IF(AND(G$3&gt;=$D157,G$3&lt;=$E157),IF((G$3-$D157+1)*VLOOKUP($A157,presupuesto!$B:$Q,16,FALSE)&gt;=VLOOKUP($A157,informe!$A:$J,9,FALSE),"cg","c"),"n")</f>
        <v>n</v>
      </c>
      <c r="H157" s="195" t="str">
        <f>IF(AND(H$3&gt;=$D157,H$3&lt;=$E157),IF((H$3-$D157+1)*VLOOKUP($A157,presupuesto!$B:$Q,16,FALSE)&gt;=VLOOKUP($A157,informe!$A:$J,9,FALSE),"cg","c"),"n")</f>
        <v>n</v>
      </c>
      <c r="I157" s="195" t="str">
        <f>IF(AND(I$3&gt;=$D157,I$3&lt;=$E157),IF((I$3-$D157+1)*VLOOKUP($A157,presupuesto!$B:$Q,16,FALSE)&gt;=VLOOKUP($A157,informe!$A:$J,9,FALSE),"cg","c"),"n")</f>
        <v>n</v>
      </c>
      <c r="J157" s="195" t="str">
        <f>IF(AND(J$3&gt;=$D157,J$3&lt;=$E157),IF((J$3-$D157+1)*VLOOKUP($A157,presupuesto!$B:$Q,16,FALSE)&gt;=VLOOKUP($A157,informe!$A:$J,9,FALSE),"cg","c"),"n")</f>
        <v>n</v>
      </c>
      <c r="K157" s="195" t="str">
        <f>IF(AND(K$3&gt;=$D157,K$3&lt;=$E157),IF((K$3-$D157+1)*VLOOKUP($A157,presupuesto!$B:$Q,16,FALSE)&gt;=VLOOKUP($A157,informe!$A:$J,9,FALSE),"cg","c"),"n")</f>
        <v>n</v>
      </c>
      <c r="L157" s="195" t="str">
        <f>IF(AND(L$3&gt;=$D157,L$3&lt;=$E157),IF((L$3-$D157+1)*VLOOKUP($A157,presupuesto!$B:$Q,16,FALSE)&gt;=VLOOKUP($A157,informe!$A:$J,9,FALSE),"cg","c"),"n")</f>
        <v>n</v>
      </c>
      <c r="M157" s="195" t="str">
        <f>IF(AND(M$3&gt;=$D157,M$3&lt;=$E157),IF((M$3-$D157+1)*VLOOKUP($A157,presupuesto!$B:$Q,16,FALSE)&gt;=VLOOKUP($A157,informe!$A:$J,9,FALSE),"cg","c"),"n")</f>
        <v>n</v>
      </c>
      <c r="N157" s="195" t="str">
        <f>IF(AND(N$3&gt;=$D157,N$3&lt;=$E157),IF((N$3-$D157+1)*VLOOKUP($A157,presupuesto!$B:$Q,16,FALSE)&gt;=VLOOKUP($A157,informe!$A:$J,9,FALSE),"cg","c"),"n")</f>
        <v>n</v>
      </c>
      <c r="O157" s="195" t="str">
        <f>IF(AND(O$3&gt;=$D157,O$3&lt;=$E157),IF((O$3-$D157+1)*VLOOKUP($A157,presupuesto!$B:$Q,16,FALSE)&gt;=VLOOKUP($A157,informe!$A:$J,9,FALSE),"cg","c"),"n")</f>
        <v>n</v>
      </c>
      <c r="P157" s="195" t="str">
        <f>IF(AND(P$3&gt;=$D157,P$3&lt;=$E157),IF((P$3-$D157+1)*VLOOKUP($A157,presupuesto!$B:$Q,16,FALSE)&gt;=VLOOKUP($A157,informe!$A:$J,9,FALSE),"cg","c"),"n")</f>
        <v>n</v>
      </c>
      <c r="Q157" s="195" t="str">
        <f>IF(AND(Q$3&gt;=$D157,Q$3&lt;=$E157),IF((Q$3-$D157+1)*VLOOKUP($A157,presupuesto!$B:$Q,16,FALSE)&gt;=VLOOKUP($A157,informe!$A:$J,9,FALSE),"cg","c"),"n")</f>
        <v>n</v>
      </c>
      <c r="R157" s="195" t="str">
        <f>IF(AND(R$3&gt;=$D157,R$3&lt;=$E157),IF((R$3-$D157+1)*VLOOKUP($A157,presupuesto!$B:$Q,16,FALSE)&gt;=VLOOKUP($A157,informe!$A:$J,9,FALSE),"cg","c"),"n")</f>
        <v>n</v>
      </c>
      <c r="S157" s="195" t="str">
        <f>IF(AND(S$3&gt;=$D157,S$3&lt;=$E157),IF((S$3-$D157+1)*VLOOKUP($A157,presupuesto!$B:$Q,16,FALSE)&gt;=VLOOKUP($A157,informe!$A:$J,9,FALSE),"cg","c"),"n")</f>
        <v>n</v>
      </c>
      <c r="T157" s="195" t="str">
        <f>IF(AND(T$3&gt;=$D157,T$3&lt;=$E157),IF((T$3-$D157+1)*VLOOKUP($A157,presupuesto!$B:$Q,16,FALSE)&gt;=VLOOKUP($A157,informe!$A:$J,9,FALSE),"cg","c"),"n")</f>
        <v>n</v>
      </c>
      <c r="U157" s="195" t="str">
        <f>IF(AND(U$3&gt;=$D157,U$3&lt;=$E157),IF((U$3-$D157+1)*VLOOKUP($A157,presupuesto!$B:$Q,16,FALSE)&gt;=VLOOKUP($A157,informe!$A:$J,9,FALSE),"cg","c"),"n")</f>
        <v>n</v>
      </c>
      <c r="V157" s="195" t="str">
        <f>IF(AND(V$3&gt;=$D157,V$3&lt;=$E157),IF((V$3-$D157+1)*VLOOKUP($A157,presupuesto!$B:$Q,16,FALSE)&gt;=VLOOKUP($A157,informe!$A:$J,9,FALSE),"cg","c"),"n")</f>
        <v>n</v>
      </c>
      <c r="W157" s="195" t="str">
        <f>IF(AND(W$3&gt;=$D157,W$3&lt;=$E157),IF((W$3-$D157+1)*VLOOKUP($A157,presupuesto!$B:$Q,16,FALSE)&gt;=VLOOKUP($A157,informe!$A:$J,9,FALSE),"cg","c"),"n")</f>
        <v>n</v>
      </c>
      <c r="X157" s="195" t="str">
        <f>IF(AND(X$3&gt;=$D157,X$3&lt;=$E157),IF((X$3-$D157+1)*VLOOKUP($A157,presupuesto!$B:$Q,16,FALSE)&gt;=VLOOKUP($A157,informe!$A:$J,9,FALSE),"cg","c"),"n")</f>
        <v>n</v>
      </c>
      <c r="Y157" s="195" t="str">
        <f>IF(AND(Y$3&gt;=$D157,Y$3&lt;=$E157),IF((Y$3-$D157+1)*VLOOKUP($A157,presupuesto!$B:$Q,16,FALSE)&gt;=VLOOKUP($A157,informe!$A:$J,9,FALSE),"cg","c"),"n")</f>
        <v>n</v>
      </c>
      <c r="Z157" s="195" t="str">
        <f>IF(AND(Z$3&gt;=$D157,Z$3&lt;=$E157),IF((Z$3-$D157+1)*VLOOKUP($A157,presupuesto!$B:$Q,16,FALSE)&gt;=VLOOKUP($A157,informe!$A:$J,9,FALSE),"cg","c"),"n")</f>
        <v>n</v>
      </c>
      <c r="AA157" s="195" t="str">
        <f>IF(AND(AA$3&gt;=$D157,AA$3&lt;=$E157),IF((AA$3-$D157+1)*VLOOKUP($A157,presupuesto!$B:$Q,16,FALSE)&gt;=VLOOKUP($A157,informe!$A:$J,9,FALSE),"cg","c"),"n")</f>
        <v>n</v>
      </c>
      <c r="AB157" s="195" t="str">
        <f>IF(AND(AB$3&gt;=$D157,AB$3&lt;=$E157),IF((AB$3-$D157+1)*VLOOKUP($A157,presupuesto!$B:$Q,16,FALSE)&gt;=VLOOKUP($A157,informe!$A:$J,9,FALSE),"cg","c"),"n")</f>
        <v>n</v>
      </c>
      <c r="AC157" s="195" t="str">
        <f>IF(AND(AC$3&gt;=$D157,AC$3&lt;=$E157),IF((AC$3-$D157+1)*VLOOKUP($A157,presupuesto!$B:$Q,16,FALSE)&gt;=VLOOKUP($A157,informe!$A:$J,9,FALSE),"cg","c"),"n")</f>
        <v>n</v>
      </c>
      <c r="AD157" s="195" t="str">
        <f>IF(AND(AD$3&gt;=$D157,AD$3&lt;=$E157),IF((AD$3-$D157+1)*VLOOKUP($A157,presupuesto!$B:$Q,16,FALSE)&gt;=VLOOKUP($A157,informe!$A:$J,9,FALSE),"cg","c"),"n")</f>
        <v>n</v>
      </c>
      <c r="AE157" s="195" t="str">
        <f>IF(AND(AE$3&gt;=$D157,AE$3&lt;=$E157),IF((AE$3-$D157+1)*VLOOKUP($A157,presupuesto!$B:$Q,16,FALSE)&gt;=VLOOKUP($A157,informe!$A:$J,9,FALSE),"cg","c"),"n")</f>
        <v>n</v>
      </c>
      <c r="AF157" s="195" t="str">
        <f>IF(AND(AF$3&gt;=$D157,AF$3&lt;=$E157),IF((AF$3-$D157+1)*VLOOKUP($A157,presupuesto!$B:$Q,16,FALSE)&gt;=VLOOKUP($A157,informe!$A:$J,9,FALSE),"cg","c"),"n")</f>
        <v>n</v>
      </c>
      <c r="AG157" s="195" t="str">
        <f>IF(AND(AG$3&gt;=$D157,AG$3&lt;=$E157),IF((AG$3-$D157+1)*VLOOKUP($A157,presupuesto!$B:$Q,16,FALSE)&gt;=VLOOKUP($A157,informe!$A:$J,9,FALSE),"cg","c"),"n")</f>
        <v>n</v>
      </c>
      <c r="AH157" s="195" t="str">
        <f>IF(AND(AH$3&gt;=$D157,AH$3&lt;=$E157),IF((AH$3-$D157+1)*VLOOKUP($A157,presupuesto!$B:$Q,16,FALSE)&gt;=VLOOKUP($A157,informe!$A:$J,9,FALSE),"cg","c"),"n")</f>
        <v>n</v>
      </c>
      <c r="AI157" s="195" t="str">
        <f>IF(AND(AI$3&gt;=$D157,AI$3&lt;=$E157),IF((AI$3-$D157+1)*VLOOKUP($A157,presupuesto!$B:$Q,16,FALSE)&gt;=VLOOKUP($A157,informe!$A:$J,9,FALSE),"cg","c"),"n")</f>
        <v>n</v>
      </c>
      <c r="AJ157" s="195" t="str">
        <f>IF(AND(AJ$3&gt;=$D157,AJ$3&lt;=$E157),IF((AJ$3-$D157+1)*VLOOKUP($A157,presupuesto!$B:$Q,16,FALSE)&gt;=VLOOKUP($A157,informe!$A:$J,9,FALSE),"cg","c"),"n")</f>
        <v>n</v>
      </c>
      <c r="AK157" s="196" t="str">
        <f>IF(AND(AK$3&gt;=$D157,AK$3&lt;=$E157),IF((AK$3-$D157+1)*VLOOKUP($A157,presupuesto!$B:$Q,16,FALSE)&gt;=VLOOKUP($A157,informe!$A:$J,9,FALSE),"cg","c"),"n")</f>
        <v>n</v>
      </c>
    </row>
    <row r="158" spans="1:37" x14ac:dyDescent="0.25">
      <c r="A158" s="197">
        <f>presupuesto!B157</f>
        <v>106</v>
      </c>
      <c r="B158" s="182" t="str">
        <f>presupuesto!C157</f>
        <v xml:space="preserve">      ALIMENTADOR TABLERO FUERZA Y CONTROL A MOTOBOMBAS</v>
      </c>
      <c r="C158" s="174" t="str">
        <f>presupuesto!G157</f>
        <v>20 días</v>
      </c>
      <c r="D158" s="177">
        <f>presupuesto!N157</f>
        <v>45762</v>
      </c>
      <c r="E158" s="177">
        <f>presupuesto!O157</f>
        <v>45781</v>
      </c>
      <c r="F158" s="194" t="str">
        <f>IF(AK158="n",CONCATENATE(" - "),IF(AK158="cg",CONCATENATE(" - "),CONCATENATE(ROUND(IFERROR(VLOOKUP(A158,informe!A:J,9,FALSE)/VLOOKUP(A158,informe!A:J,5,FALSE),0)*100,2),"% ")))</f>
        <v xml:space="preserve"> - </v>
      </c>
      <c r="G158" s="195" t="str">
        <f>IF(AND(G$3&gt;=$D158,G$3&lt;=$E158),IF((G$3-$D158+1)*VLOOKUP($A158,presupuesto!$B:$Q,16,FALSE)&gt;=VLOOKUP($A158,informe!$A:$J,9,FALSE),"cg","c"),"n")</f>
        <v>n</v>
      </c>
      <c r="H158" s="195" t="str">
        <f>IF(AND(H$3&gt;=$D158,H$3&lt;=$E158),IF((H$3-$D158+1)*VLOOKUP($A158,presupuesto!$B:$Q,16,FALSE)&gt;=VLOOKUP($A158,informe!$A:$J,9,FALSE),"cg","c"),"n")</f>
        <v>n</v>
      </c>
      <c r="I158" s="195" t="str">
        <f>IF(AND(I$3&gt;=$D158,I$3&lt;=$E158),IF((I$3-$D158+1)*VLOOKUP($A158,presupuesto!$B:$Q,16,FALSE)&gt;=VLOOKUP($A158,informe!$A:$J,9,FALSE),"cg","c"),"n")</f>
        <v>n</v>
      </c>
      <c r="J158" s="195" t="str">
        <f>IF(AND(J$3&gt;=$D158,J$3&lt;=$E158),IF((J$3-$D158+1)*VLOOKUP($A158,presupuesto!$B:$Q,16,FALSE)&gt;=VLOOKUP($A158,informe!$A:$J,9,FALSE),"cg","c"),"n")</f>
        <v>n</v>
      </c>
      <c r="K158" s="195" t="str">
        <f>IF(AND(K$3&gt;=$D158,K$3&lt;=$E158),IF((K$3-$D158+1)*VLOOKUP($A158,presupuesto!$B:$Q,16,FALSE)&gt;=VLOOKUP($A158,informe!$A:$J,9,FALSE),"cg","c"),"n")</f>
        <v>n</v>
      </c>
      <c r="L158" s="195" t="str">
        <f>IF(AND(L$3&gt;=$D158,L$3&lt;=$E158),IF((L$3-$D158+1)*VLOOKUP($A158,presupuesto!$B:$Q,16,FALSE)&gt;=VLOOKUP($A158,informe!$A:$J,9,FALSE),"cg","c"),"n")</f>
        <v>n</v>
      </c>
      <c r="M158" s="195" t="str">
        <f>IF(AND(M$3&gt;=$D158,M$3&lt;=$E158),IF((M$3-$D158+1)*VLOOKUP($A158,presupuesto!$B:$Q,16,FALSE)&gt;=VLOOKUP($A158,informe!$A:$J,9,FALSE),"cg","c"),"n")</f>
        <v>n</v>
      </c>
      <c r="N158" s="195" t="str">
        <f>IF(AND(N$3&gt;=$D158,N$3&lt;=$E158),IF((N$3-$D158+1)*VLOOKUP($A158,presupuesto!$B:$Q,16,FALSE)&gt;=VLOOKUP($A158,informe!$A:$J,9,FALSE),"cg","c"),"n")</f>
        <v>n</v>
      </c>
      <c r="O158" s="195" t="str">
        <f>IF(AND(O$3&gt;=$D158,O$3&lt;=$E158),IF((O$3-$D158+1)*VLOOKUP($A158,presupuesto!$B:$Q,16,FALSE)&gt;=VLOOKUP($A158,informe!$A:$J,9,FALSE),"cg","c"),"n")</f>
        <v>n</v>
      </c>
      <c r="P158" s="195" t="str">
        <f>IF(AND(P$3&gt;=$D158,P$3&lt;=$E158),IF((P$3-$D158+1)*VLOOKUP($A158,presupuesto!$B:$Q,16,FALSE)&gt;=VLOOKUP($A158,informe!$A:$J,9,FALSE),"cg","c"),"n")</f>
        <v>n</v>
      </c>
      <c r="Q158" s="195" t="str">
        <f>IF(AND(Q$3&gt;=$D158,Q$3&lt;=$E158),IF((Q$3-$D158+1)*VLOOKUP($A158,presupuesto!$B:$Q,16,FALSE)&gt;=VLOOKUP($A158,informe!$A:$J,9,FALSE),"cg","c"),"n")</f>
        <v>n</v>
      </c>
      <c r="R158" s="195" t="str">
        <f>IF(AND(R$3&gt;=$D158,R$3&lt;=$E158),IF((R$3-$D158+1)*VLOOKUP($A158,presupuesto!$B:$Q,16,FALSE)&gt;=VLOOKUP($A158,informe!$A:$J,9,FALSE),"cg","c"),"n")</f>
        <v>n</v>
      </c>
      <c r="S158" s="195" t="str">
        <f>IF(AND(S$3&gt;=$D158,S$3&lt;=$E158),IF((S$3-$D158+1)*VLOOKUP($A158,presupuesto!$B:$Q,16,FALSE)&gt;=VLOOKUP($A158,informe!$A:$J,9,FALSE),"cg","c"),"n")</f>
        <v>n</v>
      </c>
      <c r="T158" s="195" t="str">
        <f>IF(AND(T$3&gt;=$D158,T$3&lt;=$E158),IF((T$3-$D158+1)*VLOOKUP($A158,presupuesto!$B:$Q,16,FALSE)&gt;=VLOOKUP($A158,informe!$A:$J,9,FALSE),"cg","c"),"n")</f>
        <v>n</v>
      </c>
      <c r="U158" s="195" t="str">
        <f>IF(AND(U$3&gt;=$D158,U$3&lt;=$E158),IF((U$3-$D158+1)*VLOOKUP($A158,presupuesto!$B:$Q,16,FALSE)&gt;=VLOOKUP($A158,informe!$A:$J,9,FALSE),"cg","c"),"n")</f>
        <v>n</v>
      </c>
      <c r="V158" s="195" t="str">
        <f>IF(AND(V$3&gt;=$D158,V$3&lt;=$E158),IF((V$3-$D158+1)*VLOOKUP($A158,presupuesto!$B:$Q,16,FALSE)&gt;=VLOOKUP($A158,informe!$A:$J,9,FALSE),"cg","c"),"n")</f>
        <v>n</v>
      </c>
      <c r="W158" s="195" t="str">
        <f>IF(AND(W$3&gt;=$D158,W$3&lt;=$E158),IF((W$3-$D158+1)*VLOOKUP($A158,presupuesto!$B:$Q,16,FALSE)&gt;=VLOOKUP($A158,informe!$A:$J,9,FALSE),"cg","c"),"n")</f>
        <v>n</v>
      </c>
      <c r="X158" s="195" t="str">
        <f>IF(AND(X$3&gt;=$D158,X$3&lt;=$E158),IF((X$3-$D158+1)*VLOOKUP($A158,presupuesto!$B:$Q,16,FALSE)&gt;=VLOOKUP($A158,informe!$A:$J,9,FALSE),"cg","c"),"n")</f>
        <v>n</v>
      </c>
      <c r="Y158" s="195" t="str">
        <f>IF(AND(Y$3&gt;=$D158,Y$3&lt;=$E158),IF((Y$3-$D158+1)*VLOOKUP($A158,presupuesto!$B:$Q,16,FALSE)&gt;=VLOOKUP($A158,informe!$A:$J,9,FALSE),"cg","c"),"n")</f>
        <v>n</v>
      </c>
      <c r="Z158" s="195" t="str">
        <f>IF(AND(Z$3&gt;=$D158,Z$3&lt;=$E158),IF((Z$3-$D158+1)*VLOOKUP($A158,presupuesto!$B:$Q,16,FALSE)&gt;=VLOOKUP($A158,informe!$A:$J,9,FALSE),"cg","c"),"n")</f>
        <v>n</v>
      </c>
      <c r="AA158" s="195" t="str">
        <f>IF(AND(AA$3&gt;=$D158,AA$3&lt;=$E158),IF((AA$3-$D158+1)*VLOOKUP($A158,presupuesto!$B:$Q,16,FALSE)&gt;=VLOOKUP($A158,informe!$A:$J,9,FALSE),"cg","c"),"n")</f>
        <v>n</v>
      </c>
      <c r="AB158" s="195" t="str">
        <f>IF(AND(AB$3&gt;=$D158,AB$3&lt;=$E158),IF((AB$3-$D158+1)*VLOOKUP($A158,presupuesto!$B:$Q,16,FALSE)&gt;=VLOOKUP($A158,informe!$A:$J,9,FALSE),"cg","c"),"n")</f>
        <v>n</v>
      </c>
      <c r="AC158" s="195" t="str">
        <f>IF(AND(AC$3&gt;=$D158,AC$3&lt;=$E158),IF((AC$3-$D158+1)*VLOOKUP($A158,presupuesto!$B:$Q,16,FALSE)&gt;=VLOOKUP($A158,informe!$A:$J,9,FALSE),"cg","c"),"n")</f>
        <v>n</v>
      </c>
      <c r="AD158" s="195" t="str">
        <f>IF(AND(AD$3&gt;=$D158,AD$3&lt;=$E158),IF((AD$3-$D158+1)*VLOOKUP($A158,presupuesto!$B:$Q,16,FALSE)&gt;=VLOOKUP($A158,informe!$A:$J,9,FALSE),"cg","c"),"n")</f>
        <v>n</v>
      </c>
      <c r="AE158" s="195" t="str">
        <f>IF(AND(AE$3&gt;=$D158,AE$3&lt;=$E158),IF((AE$3-$D158+1)*VLOOKUP($A158,presupuesto!$B:$Q,16,FALSE)&gt;=VLOOKUP($A158,informe!$A:$J,9,FALSE),"cg","c"),"n")</f>
        <v>n</v>
      </c>
      <c r="AF158" s="195" t="str">
        <f>IF(AND(AF$3&gt;=$D158,AF$3&lt;=$E158),IF((AF$3-$D158+1)*VLOOKUP($A158,presupuesto!$B:$Q,16,FALSE)&gt;=VLOOKUP($A158,informe!$A:$J,9,FALSE),"cg","c"),"n")</f>
        <v>n</v>
      </c>
      <c r="AG158" s="195" t="str">
        <f>IF(AND(AG$3&gt;=$D158,AG$3&lt;=$E158),IF((AG$3-$D158+1)*VLOOKUP($A158,presupuesto!$B:$Q,16,FALSE)&gt;=VLOOKUP($A158,informe!$A:$J,9,FALSE),"cg","c"),"n")</f>
        <v>n</v>
      </c>
      <c r="AH158" s="195" t="str">
        <f>IF(AND(AH$3&gt;=$D158,AH$3&lt;=$E158),IF((AH$3-$D158+1)*VLOOKUP($A158,presupuesto!$B:$Q,16,FALSE)&gt;=VLOOKUP($A158,informe!$A:$J,9,FALSE),"cg","c"),"n")</f>
        <v>n</v>
      </c>
      <c r="AI158" s="195" t="str">
        <f>IF(AND(AI$3&gt;=$D158,AI$3&lt;=$E158),IF((AI$3-$D158+1)*VLOOKUP($A158,presupuesto!$B:$Q,16,FALSE)&gt;=VLOOKUP($A158,informe!$A:$J,9,FALSE),"cg","c"),"n")</f>
        <v>n</v>
      </c>
      <c r="AJ158" s="195" t="str">
        <f>IF(AND(AJ$3&gt;=$D158,AJ$3&lt;=$E158),IF((AJ$3-$D158+1)*VLOOKUP($A158,presupuesto!$B:$Q,16,FALSE)&gt;=VLOOKUP($A158,informe!$A:$J,9,FALSE),"cg","c"),"n")</f>
        <v>n</v>
      </c>
      <c r="AK158" s="196" t="str">
        <f>IF(AND(AK$3&gt;=$D158,AK$3&lt;=$E158),IF((AK$3-$D158+1)*VLOOKUP($A158,presupuesto!$B:$Q,16,FALSE)&gt;=VLOOKUP($A158,informe!$A:$J,9,FALSE),"cg","c"),"n")</f>
        <v>n</v>
      </c>
    </row>
    <row r="159" spans="1:37" ht="13" x14ac:dyDescent="0.25">
      <c r="A159" s="193">
        <f>presupuesto!B158</f>
        <v>107</v>
      </c>
      <c r="B159" s="182" t="str">
        <f>presupuesto!C158</f>
        <v xml:space="preserve">      CIRCUITO CONTROL “SENTINA SECA”. TDFA Y SENTINA</v>
      </c>
      <c r="C159" s="173" t="str">
        <f>presupuesto!G158</f>
        <v>30 días</v>
      </c>
      <c r="D159" s="176">
        <f>presupuesto!N158</f>
        <v>45762</v>
      </c>
      <c r="E159" s="176">
        <f>presupuesto!O158</f>
        <v>45791</v>
      </c>
      <c r="F159" s="194" t="str">
        <f>IF(AK159="n",CONCATENATE(" - "),IF(AK159="cg",CONCATENATE(" - "),CONCATENATE(ROUND(IFERROR(VLOOKUP(A159,informe!A:J,9,FALSE)/VLOOKUP(A159,informe!A:J,5,FALSE),0)*100,2),"% ")))</f>
        <v xml:space="preserve"> - </v>
      </c>
      <c r="G159" s="195" t="str">
        <f>IF(AND(G$3&gt;=$D159,G$3&lt;=$E159),IF((G$3-$D159+1)*VLOOKUP($A159,presupuesto!$B:$Q,16,FALSE)&gt;=VLOOKUP($A159,informe!$A:$J,9,FALSE),"cg","c"),"n")</f>
        <v>n</v>
      </c>
      <c r="H159" s="195" t="str">
        <f>IF(AND(H$3&gt;=$D159,H$3&lt;=$E159),IF((H$3-$D159+1)*VLOOKUP($A159,presupuesto!$B:$Q,16,FALSE)&gt;=VLOOKUP($A159,informe!$A:$J,9,FALSE),"cg","c"),"n")</f>
        <v>n</v>
      </c>
      <c r="I159" s="195" t="str">
        <f>IF(AND(I$3&gt;=$D159,I$3&lt;=$E159),IF((I$3-$D159+1)*VLOOKUP($A159,presupuesto!$B:$Q,16,FALSE)&gt;=VLOOKUP($A159,informe!$A:$J,9,FALSE),"cg","c"),"n")</f>
        <v>n</v>
      </c>
      <c r="J159" s="195" t="str">
        <f>IF(AND(J$3&gt;=$D159,J$3&lt;=$E159),IF((J$3-$D159+1)*VLOOKUP($A159,presupuesto!$B:$Q,16,FALSE)&gt;=VLOOKUP($A159,informe!$A:$J,9,FALSE),"cg","c"),"n")</f>
        <v>n</v>
      </c>
      <c r="K159" s="195" t="str">
        <f>IF(AND(K$3&gt;=$D159,K$3&lt;=$E159),IF((K$3-$D159+1)*VLOOKUP($A159,presupuesto!$B:$Q,16,FALSE)&gt;=VLOOKUP($A159,informe!$A:$J,9,FALSE),"cg","c"),"n")</f>
        <v>n</v>
      </c>
      <c r="L159" s="195" t="str">
        <f>IF(AND(L$3&gt;=$D159,L$3&lt;=$E159),IF((L$3-$D159+1)*VLOOKUP($A159,presupuesto!$B:$Q,16,FALSE)&gt;=VLOOKUP($A159,informe!$A:$J,9,FALSE),"cg","c"),"n")</f>
        <v>n</v>
      </c>
      <c r="M159" s="195" t="str">
        <f>IF(AND(M$3&gt;=$D159,M$3&lt;=$E159),IF((M$3-$D159+1)*VLOOKUP($A159,presupuesto!$B:$Q,16,FALSE)&gt;=VLOOKUP($A159,informe!$A:$J,9,FALSE),"cg","c"),"n")</f>
        <v>n</v>
      </c>
      <c r="N159" s="195" t="str">
        <f>IF(AND(N$3&gt;=$D159,N$3&lt;=$E159),IF((N$3-$D159+1)*VLOOKUP($A159,presupuesto!$B:$Q,16,FALSE)&gt;=VLOOKUP($A159,informe!$A:$J,9,FALSE),"cg","c"),"n")</f>
        <v>n</v>
      </c>
      <c r="O159" s="195" t="str">
        <f>IF(AND(O$3&gt;=$D159,O$3&lt;=$E159),IF((O$3-$D159+1)*VLOOKUP($A159,presupuesto!$B:$Q,16,FALSE)&gt;=VLOOKUP($A159,informe!$A:$J,9,FALSE),"cg","c"),"n")</f>
        <v>n</v>
      </c>
      <c r="P159" s="195" t="str">
        <f>IF(AND(P$3&gt;=$D159,P$3&lt;=$E159),IF((P$3-$D159+1)*VLOOKUP($A159,presupuesto!$B:$Q,16,FALSE)&gt;=VLOOKUP($A159,informe!$A:$J,9,FALSE),"cg","c"),"n")</f>
        <v>n</v>
      </c>
      <c r="Q159" s="195" t="str">
        <f>IF(AND(Q$3&gt;=$D159,Q$3&lt;=$E159),IF((Q$3-$D159+1)*VLOOKUP($A159,presupuesto!$B:$Q,16,FALSE)&gt;=VLOOKUP($A159,informe!$A:$J,9,FALSE),"cg","c"),"n")</f>
        <v>n</v>
      </c>
      <c r="R159" s="195" t="str">
        <f>IF(AND(R$3&gt;=$D159,R$3&lt;=$E159),IF((R$3-$D159+1)*VLOOKUP($A159,presupuesto!$B:$Q,16,FALSE)&gt;=VLOOKUP($A159,informe!$A:$J,9,FALSE),"cg","c"),"n")</f>
        <v>n</v>
      </c>
      <c r="S159" s="195" t="str">
        <f>IF(AND(S$3&gt;=$D159,S$3&lt;=$E159),IF((S$3-$D159+1)*VLOOKUP($A159,presupuesto!$B:$Q,16,FALSE)&gt;=VLOOKUP($A159,informe!$A:$J,9,FALSE),"cg","c"),"n")</f>
        <v>n</v>
      </c>
      <c r="T159" s="195" t="str">
        <f>IF(AND(T$3&gt;=$D159,T$3&lt;=$E159),IF((T$3-$D159+1)*VLOOKUP($A159,presupuesto!$B:$Q,16,FALSE)&gt;=VLOOKUP($A159,informe!$A:$J,9,FALSE),"cg","c"),"n")</f>
        <v>n</v>
      </c>
      <c r="U159" s="195" t="str">
        <f>IF(AND(U$3&gt;=$D159,U$3&lt;=$E159),IF((U$3-$D159+1)*VLOOKUP($A159,presupuesto!$B:$Q,16,FALSE)&gt;=VLOOKUP($A159,informe!$A:$J,9,FALSE),"cg","c"),"n")</f>
        <v>n</v>
      </c>
      <c r="V159" s="195" t="str">
        <f>IF(AND(V$3&gt;=$D159,V$3&lt;=$E159),IF((V$3-$D159+1)*VLOOKUP($A159,presupuesto!$B:$Q,16,FALSE)&gt;=VLOOKUP($A159,informe!$A:$J,9,FALSE),"cg","c"),"n")</f>
        <v>n</v>
      </c>
      <c r="W159" s="195" t="str">
        <f>IF(AND(W$3&gt;=$D159,W$3&lt;=$E159),IF((W$3-$D159+1)*VLOOKUP($A159,presupuesto!$B:$Q,16,FALSE)&gt;=VLOOKUP($A159,informe!$A:$J,9,FALSE),"cg","c"),"n")</f>
        <v>n</v>
      </c>
      <c r="X159" s="195" t="str">
        <f>IF(AND(X$3&gt;=$D159,X$3&lt;=$E159),IF((X$3-$D159+1)*VLOOKUP($A159,presupuesto!$B:$Q,16,FALSE)&gt;=VLOOKUP($A159,informe!$A:$J,9,FALSE),"cg","c"),"n")</f>
        <v>n</v>
      </c>
      <c r="Y159" s="195" t="str">
        <f>IF(AND(Y$3&gt;=$D159,Y$3&lt;=$E159),IF((Y$3-$D159+1)*VLOOKUP($A159,presupuesto!$B:$Q,16,FALSE)&gt;=VLOOKUP($A159,informe!$A:$J,9,FALSE),"cg","c"),"n")</f>
        <v>n</v>
      </c>
      <c r="Z159" s="195" t="str">
        <f>IF(AND(Z$3&gt;=$D159,Z$3&lt;=$E159),IF((Z$3-$D159+1)*VLOOKUP($A159,presupuesto!$B:$Q,16,FALSE)&gt;=VLOOKUP($A159,informe!$A:$J,9,FALSE),"cg","c"),"n")</f>
        <v>n</v>
      </c>
      <c r="AA159" s="195" t="str">
        <f>IF(AND(AA$3&gt;=$D159,AA$3&lt;=$E159),IF((AA$3-$D159+1)*VLOOKUP($A159,presupuesto!$B:$Q,16,FALSE)&gt;=VLOOKUP($A159,informe!$A:$J,9,FALSE),"cg","c"),"n")</f>
        <v>n</v>
      </c>
      <c r="AB159" s="195" t="str">
        <f>IF(AND(AB$3&gt;=$D159,AB$3&lt;=$E159),IF((AB$3-$D159+1)*VLOOKUP($A159,presupuesto!$B:$Q,16,FALSE)&gt;=VLOOKUP($A159,informe!$A:$J,9,FALSE),"cg","c"),"n")</f>
        <v>n</v>
      </c>
      <c r="AC159" s="195" t="str">
        <f>IF(AND(AC$3&gt;=$D159,AC$3&lt;=$E159),IF((AC$3-$D159+1)*VLOOKUP($A159,presupuesto!$B:$Q,16,FALSE)&gt;=VLOOKUP($A159,informe!$A:$J,9,FALSE),"cg","c"),"n")</f>
        <v>n</v>
      </c>
      <c r="AD159" s="195" t="str">
        <f>IF(AND(AD$3&gt;=$D159,AD$3&lt;=$E159),IF((AD$3-$D159+1)*VLOOKUP($A159,presupuesto!$B:$Q,16,FALSE)&gt;=VLOOKUP($A159,informe!$A:$J,9,FALSE),"cg","c"),"n")</f>
        <v>n</v>
      </c>
      <c r="AE159" s="195" t="str">
        <f>IF(AND(AE$3&gt;=$D159,AE$3&lt;=$E159),IF((AE$3-$D159+1)*VLOOKUP($A159,presupuesto!$B:$Q,16,FALSE)&gt;=VLOOKUP($A159,informe!$A:$J,9,FALSE),"cg","c"),"n")</f>
        <v>n</v>
      </c>
      <c r="AF159" s="195" t="str">
        <f>IF(AND(AF$3&gt;=$D159,AF$3&lt;=$E159),IF((AF$3-$D159+1)*VLOOKUP($A159,presupuesto!$B:$Q,16,FALSE)&gt;=VLOOKUP($A159,informe!$A:$J,9,FALSE),"cg","c"),"n")</f>
        <v>n</v>
      </c>
      <c r="AG159" s="195" t="str">
        <f>IF(AND(AG$3&gt;=$D159,AG$3&lt;=$E159),IF((AG$3-$D159+1)*VLOOKUP($A159,presupuesto!$B:$Q,16,FALSE)&gt;=VLOOKUP($A159,informe!$A:$J,9,FALSE),"cg","c"),"n")</f>
        <v>n</v>
      </c>
      <c r="AH159" s="195" t="str">
        <f>IF(AND(AH$3&gt;=$D159,AH$3&lt;=$E159),IF((AH$3-$D159+1)*VLOOKUP($A159,presupuesto!$B:$Q,16,FALSE)&gt;=VLOOKUP($A159,informe!$A:$J,9,FALSE),"cg","c"),"n")</f>
        <v>n</v>
      </c>
      <c r="AI159" s="195" t="str">
        <f>IF(AND(AI$3&gt;=$D159,AI$3&lt;=$E159),IF((AI$3-$D159+1)*VLOOKUP($A159,presupuesto!$B:$Q,16,FALSE)&gt;=VLOOKUP($A159,informe!$A:$J,9,FALSE),"cg","c"),"n")</f>
        <v>n</v>
      </c>
      <c r="AJ159" s="195" t="str">
        <f>IF(AND(AJ$3&gt;=$D159,AJ$3&lt;=$E159),IF((AJ$3-$D159+1)*VLOOKUP($A159,presupuesto!$B:$Q,16,FALSE)&gt;=VLOOKUP($A159,informe!$A:$J,9,FALSE),"cg","c"),"n")</f>
        <v>n</v>
      </c>
      <c r="AK159" s="196" t="str">
        <f>IF(AND(AK$3&gt;=$D159,AK$3&lt;=$E159),IF((AK$3-$D159+1)*VLOOKUP($A159,presupuesto!$B:$Q,16,FALSE)&gt;=VLOOKUP($A159,informe!$A:$J,9,FALSE),"cg","c"),"n")</f>
        <v>n</v>
      </c>
    </row>
    <row r="160" spans="1:37" x14ac:dyDescent="0.25">
      <c r="A160" s="197">
        <f>presupuesto!B159</f>
        <v>108</v>
      </c>
      <c r="B160" s="182" t="str">
        <f>presupuesto!C159</f>
        <v xml:space="preserve">      CIRCUITO CONTROL PRESOSTATO TDFA Y C – PRESOSTATO CAPTACION</v>
      </c>
      <c r="C160" s="174" t="str">
        <f>presupuesto!G159</f>
        <v>30 días</v>
      </c>
      <c r="D160" s="177">
        <f>presupuesto!N159</f>
        <v>45762</v>
      </c>
      <c r="E160" s="177">
        <f>presupuesto!O159</f>
        <v>45791</v>
      </c>
      <c r="F160" s="194" t="str">
        <f>IF(AK160="n",CONCATENATE(" - "),IF(AK160="cg",CONCATENATE(" - "),CONCATENATE(ROUND(IFERROR(VLOOKUP(A160,informe!A:J,9,FALSE)/VLOOKUP(A160,informe!A:J,5,FALSE),0)*100,2),"% ")))</f>
        <v xml:space="preserve"> - </v>
      </c>
      <c r="G160" s="195" t="str">
        <f>IF(AND(G$3&gt;=$D160,G$3&lt;=$E160),IF((G$3-$D160+1)*VLOOKUP($A160,presupuesto!$B:$Q,16,FALSE)&gt;=VLOOKUP($A160,informe!$A:$J,9,FALSE),"cg","c"),"n")</f>
        <v>n</v>
      </c>
      <c r="H160" s="195" t="str">
        <f>IF(AND(H$3&gt;=$D160,H$3&lt;=$E160),IF((H$3-$D160+1)*VLOOKUP($A160,presupuesto!$B:$Q,16,FALSE)&gt;=VLOOKUP($A160,informe!$A:$J,9,FALSE),"cg","c"),"n")</f>
        <v>n</v>
      </c>
      <c r="I160" s="195" t="str">
        <f>IF(AND(I$3&gt;=$D160,I$3&lt;=$E160),IF((I$3-$D160+1)*VLOOKUP($A160,presupuesto!$B:$Q,16,FALSE)&gt;=VLOOKUP($A160,informe!$A:$J,9,FALSE),"cg","c"),"n")</f>
        <v>n</v>
      </c>
      <c r="J160" s="195" t="str">
        <f>IF(AND(J$3&gt;=$D160,J$3&lt;=$E160),IF((J$3-$D160+1)*VLOOKUP($A160,presupuesto!$B:$Q,16,FALSE)&gt;=VLOOKUP($A160,informe!$A:$J,9,FALSE),"cg","c"),"n")</f>
        <v>n</v>
      </c>
      <c r="K160" s="195" t="str">
        <f>IF(AND(K$3&gt;=$D160,K$3&lt;=$E160),IF((K$3-$D160+1)*VLOOKUP($A160,presupuesto!$B:$Q,16,FALSE)&gt;=VLOOKUP($A160,informe!$A:$J,9,FALSE),"cg","c"),"n")</f>
        <v>n</v>
      </c>
      <c r="L160" s="195" t="str">
        <f>IF(AND(L$3&gt;=$D160,L$3&lt;=$E160),IF((L$3-$D160+1)*VLOOKUP($A160,presupuesto!$B:$Q,16,FALSE)&gt;=VLOOKUP($A160,informe!$A:$J,9,FALSE),"cg","c"),"n")</f>
        <v>n</v>
      </c>
      <c r="M160" s="195" t="str">
        <f>IF(AND(M$3&gt;=$D160,M$3&lt;=$E160),IF((M$3-$D160+1)*VLOOKUP($A160,presupuesto!$B:$Q,16,FALSE)&gt;=VLOOKUP($A160,informe!$A:$J,9,FALSE),"cg","c"),"n")</f>
        <v>n</v>
      </c>
      <c r="N160" s="195" t="str">
        <f>IF(AND(N$3&gt;=$D160,N$3&lt;=$E160),IF((N$3-$D160+1)*VLOOKUP($A160,presupuesto!$B:$Q,16,FALSE)&gt;=VLOOKUP($A160,informe!$A:$J,9,FALSE),"cg","c"),"n")</f>
        <v>n</v>
      </c>
      <c r="O160" s="195" t="str">
        <f>IF(AND(O$3&gt;=$D160,O$3&lt;=$E160),IF((O$3-$D160+1)*VLOOKUP($A160,presupuesto!$B:$Q,16,FALSE)&gt;=VLOOKUP($A160,informe!$A:$J,9,FALSE),"cg","c"),"n")</f>
        <v>n</v>
      </c>
      <c r="P160" s="195" t="str">
        <f>IF(AND(P$3&gt;=$D160,P$3&lt;=$E160),IF((P$3-$D160+1)*VLOOKUP($A160,presupuesto!$B:$Q,16,FALSE)&gt;=VLOOKUP($A160,informe!$A:$J,9,FALSE),"cg","c"),"n")</f>
        <v>n</v>
      </c>
      <c r="Q160" s="195" t="str">
        <f>IF(AND(Q$3&gt;=$D160,Q$3&lt;=$E160),IF((Q$3-$D160+1)*VLOOKUP($A160,presupuesto!$B:$Q,16,FALSE)&gt;=VLOOKUP($A160,informe!$A:$J,9,FALSE),"cg","c"),"n")</f>
        <v>n</v>
      </c>
      <c r="R160" s="195" t="str">
        <f>IF(AND(R$3&gt;=$D160,R$3&lt;=$E160),IF((R$3-$D160+1)*VLOOKUP($A160,presupuesto!$B:$Q,16,FALSE)&gt;=VLOOKUP($A160,informe!$A:$J,9,FALSE),"cg","c"),"n")</f>
        <v>n</v>
      </c>
      <c r="S160" s="195" t="str">
        <f>IF(AND(S$3&gt;=$D160,S$3&lt;=$E160),IF((S$3-$D160+1)*VLOOKUP($A160,presupuesto!$B:$Q,16,FALSE)&gt;=VLOOKUP($A160,informe!$A:$J,9,FALSE),"cg","c"),"n")</f>
        <v>n</v>
      </c>
      <c r="T160" s="195" t="str">
        <f>IF(AND(T$3&gt;=$D160,T$3&lt;=$E160),IF((T$3-$D160+1)*VLOOKUP($A160,presupuesto!$B:$Q,16,FALSE)&gt;=VLOOKUP($A160,informe!$A:$J,9,FALSE),"cg","c"),"n")</f>
        <v>n</v>
      </c>
      <c r="U160" s="195" t="str">
        <f>IF(AND(U$3&gt;=$D160,U$3&lt;=$E160),IF((U$3-$D160+1)*VLOOKUP($A160,presupuesto!$B:$Q,16,FALSE)&gt;=VLOOKUP($A160,informe!$A:$J,9,FALSE),"cg","c"),"n")</f>
        <v>n</v>
      </c>
      <c r="V160" s="195" t="str">
        <f>IF(AND(V$3&gt;=$D160,V$3&lt;=$E160),IF((V$3-$D160+1)*VLOOKUP($A160,presupuesto!$B:$Q,16,FALSE)&gt;=VLOOKUP($A160,informe!$A:$J,9,FALSE),"cg","c"),"n")</f>
        <v>n</v>
      </c>
      <c r="W160" s="195" t="str">
        <f>IF(AND(W$3&gt;=$D160,W$3&lt;=$E160),IF((W$3-$D160+1)*VLOOKUP($A160,presupuesto!$B:$Q,16,FALSE)&gt;=VLOOKUP($A160,informe!$A:$J,9,FALSE),"cg","c"),"n")</f>
        <v>n</v>
      </c>
      <c r="X160" s="195" t="str">
        <f>IF(AND(X$3&gt;=$D160,X$3&lt;=$E160),IF((X$3-$D160+1)*VLOOKUP($A160,presupuesto!$B:$Q,16,FALSE)&gt;=VLOOKUP($A160,informe!$A:$J,9,FALSE),"cg","c"),"n")</f>
        <v>n</v>
      </c>
      <c r="Y160" s="195" t="str">
        <f>IF(AND(Y$3&gt;=$D160,Y$3&lt;=$E160),IF((Y$3-$D160+1)*VLOOKUP($A160,presupuesto!$B:$Q,16,FALSE)&gt;=VLOOKUP($A160,informe!$A:$J,9,FALSE),"cg","c"),"n")</f>
        <v>n</v>
      </c>
      <c r="Z160" s="195" t="str">
        <f>IF(AND(Z$3&gt;=$D160,Z$3&lt;=$E160),IF((Z$3-$D160+1)*VLOOKUP($A160,presupuesto!$B:$Q,16,FALSE)&gt;=VLOOKUP($A160,informe!$A:$J,9,FALSE),"cg","c"),"n")</f>
        <v>n</v>
      </c>
      <c r="AA160" s="195" t="str">
        <f>IF(AND(AA$3&gt;=$D160,AA$3&lt;=$E160),IF((AA$3-$D160+1)*VLOOKUP($A160,presupuesto!$B:$Q,16,FALSE)&gt;=VLOOKUP($A160,informe!$A:$J,9,FALSE),"cg","c"),"n")</f>
        <v>n</v>
      </c>
      <c r="AB160" s="195" t="str">
        <f>IF(AND(AB$3&gt;=$D160,AB$3&lt;=$E160),IF((AB$3-$D160+1)*VLOOKUP($A160,presupuesto!$B:$Q,16,FALSE)&gt;=VLOOKUP($A160,informe!$A:$J,9,FALSE),"cg","c"),"n")</f>
        <v>n</v>
      </c>
      <c r="AC160" s="195" t="str">
        <f>IF(AND(AC$3&gt;=$D160,AC$3&lt;=$E160),IF((AC$3-$D160+1)*VLOOKUP($A160,presupuesto!$B:$Q,16,FALSE)&gt;=VLOOKUP($A160,informe!$A:$J,9,FALSE),"cg","c"),"n")</f>
        <v>n</v>
      </c>
      <c r="AD160" s="195" t="str">
        <f>IF(AND(AD$3&gt;=$D160,AD$3&lt;=$E160),IF((AD$3-$D160+1)*VLOOKUP($A160,presupuesto!$B:$Q,16,FALSE)&gt;=VLOOKUP($A160,informe!$A:$J,9,FALSE),"cg","c"),"n")</f>
        <v>n</v>
      </c>
      <c r="AE160" s="195" t="str">
        <f>IF(AND(AE$3&gt;=$D160,AE$3&lt;=$E160),IF((AE$3-$D160+1)*VLOOKUP($A160,presupuesto!$B:$Q,16,FALSE)&gt;=VLOOKUP($A160,informe!$A:$J,9,FALSE),"cg","c"),"n")</f>
        <v>n</v>
      </c>
      <c r="AF160" s="195" t="str">
        <f>IF(AND(AF$3&gt;=$D160,AF$3&lt;=$E160),IF((AF$3-$D160+1)*VLOOKUP($A160,presupuesto!$B:$Q,16,FALSE)&gt;=VLOOKUP($A160,informe!$A:$J,9,FALSE),"cg","c"),"n")</f>
        <v>n</v>
      </c>
      <c r="AG160" s="195" t="str">
        <f>IF(AND(AG$3&gt;=$D160,AG$3&lt;=$E160),IF((AG$3-$D160+1)*VLOOKUP($A160,presupuesto!$B:$Q,16,FALSE)&gt;=VLOOKUP($A160,informe!$A:$J,9,FALSE),"cg","c"),"n")</f>
        <v>n</v>
      </c>
      <c r="AH160" s="195" t="str">
        <f>IF(AND(AH$3&gt;=$D160,AH$3&lt;=$E160),IF((AH$3-$D160+1)*VLOOKUP($A160,presupuesto!$B:$Q,16,FALSE)&gt;=VLOOKUP($A160,informe!$A:$J,9,FALSE),"cg","c"),"n")</f>
        <v>n</v>
      </c>
      <c r="AI160" s="195" t="str">
        <f>IF(AND(AI$3&gt;=$D160,AI$3&lt;=$E160),IF((AI$3-$D160+1)*VLOOKUP($A160,presupuesto!$B:$Q,16,FALSE)&gt;=VLOOKUP($A160,informe!$A:$J,9,FALSE),"cg","c"),"n")</f>
        <v>n</v>
      </c>
      <c r="AJ160" s="195" t="str">
        <f>IF(AND(AJ$3&gt;=$D160,AJ$3&lt;=$E160),IF((AJ$3-$D160+1)*VLOOKUP($A160,presupuesto!$B:$Q,16,FALSE)&gt;=VLOOKUP($A160,informe!$A:$J,9,FALSE),"cg","c"),"n")</f>
        <v>n</v>
      </c>
      <c r="AK160" s="196" t="str">
        <f>IF(AND(AK$3&gt;=$D160,AK$3&lt;=$E160),IF((AK$3-$D160+1)*VLOOKUP($A160,presupuesto!$B:$Q,16,FALSE)&gt;=VLOOKUP($A160,informe!$A:$J,9,FALSE),"cg","c"),"n")</f>
        <v>n</v>
      </c>
    </row>
    <row r="161" spans="1:37" x14ac:dyDescent="0.25">
      <c r="A161" s="197">
        <f>presupuesto!B160</f>
        <v>109</v>
      </c>
      <c r="B161" s="182" t="str">
        <f>presupuesto!C160</f>
        <v xml:space="preserve">      CIRCUITO CONTROL PRESOSTATO TDFA Y C – PRESOSTATO PLANTA RyT</v>
      </c>
      <c r="C161" s="174" t="str">
        <f>presupuesto!G160</f>
        <v>30 días</v>
      </c>
      <c r="D161" s="177">
        <f>presupuesto!N160</f>
        <v>45765</v>
      </c>
      <c r="E161" s="177">
        <f>presupuesto!O160</f>
        <v>45794</v>
      </c>
      <c r="F161" s="194" t="str">
        <f>IF(AK161="n",CONCATENATE(" - "),IF(AK161="cg",CONCATENATE(" - "),CONCATENATE(ROUND(IFERROR(VLOOKUP(A161,informe!A:J,9,FALSE)/VLOOKUP(A161,informe!A:J,5,FALSE),0)*100,2),"% ")))</f>
        <v xml:space="preserve"> - </v>
      </c>
      <c r="G161" s="195" t="str">
        <f>IF(AND(G$3&gt;=$D161,G$3&lt;=$E161),IF((G$3-$D161+1)*VLOOKUP($A161,presupuesto!$B:$Q,16,FALSE)&gt;=VLOOKUP($A161,informe!$A:$J,9,FALSE),"cg","c"),"n")</f>
        <v>n</v>
      </c>
      <c r="H161" s="195" t="str">
        <f>IF(AND(H$3&gt;=$D161,H$3&lt;=$E161),IF((H$3-$D161+1)*VLOOKUP($A161,presupuesto!$B:$Q,16,FALSE)&gt;=VLOOKUP($A161,informe!$A:$J,9,FALSE),"cg","c"),"n")</f>
        <v>n</v>
      </c>
      <c r="I161" s="195" t="str">
        <f>IF(AND(I$3&gt;=$D161,I$3&lt;=$E161),IF((I$3-$D161+1)*VLOOKUP($A161,presupuesto!$B:$Q,16,FALSE)&gt;=VLOOKUP($A161,informe!$A:$J,9,FALSE),"cg","c"),"n")</f>
        <v>n</v>
      </c>
      <c r="J161" s="195" t="str">
        <f>IF(AND(J$3&gt;=$D161,J$3&lt;=$E161),IF((J$3-$D161+1)*VLOOKUP($A161,presupuesto!$B:$Q,16,FALSE)&gt;=VLOOKUP($A161,informe!$A:$J,9,FALSE),"cg","c"),"n")</f>
        <v>n</v>
      </c>
      <c r="K161" s="195" t="str">
        <f>IF(AND(K$3&gt;=$D161,K$3&lt;=$E161),IF((K$3-$D161+1)*VLOOKUP($A161,presupuesto!$B:$Q,16,FALSE)&gt;=VLOOKUP($A161,informe!$A:$J,9,FALSE),"cg","c"),"n")</f>
        <v>n</v>
      </c>
      <c r="L161" s="195" t="str">
        <f>IF(AND(L$3&gt;=$D161,L$3&lt;=$E161),IF((L$3-$D161+1)*VLOOKUP($A161,presupuesto!$B:$Q,16,FALSE)&gt;=VLOOKUP($A161,informe!$A:$J,9,FALSE),"cg","c"),"n")</f>
        <v>n</v>
      </c>
      <c r="M161" s="195" t="str">
        <f>IF(AND(M$3&gt;=$D161,M$3&lt;=$E161),IF((M$3-$D161+1)*VLOOKUP($A161,presupuesto!$B:$Q,16,FALSE)&gt;=VLOOKUP($A161,informe!$A:$J,9,FALSE),"cg","c"),"n")</f>
        <v>n</v>
      </c>
      <c r="N161" s="195" t="str">
        <f>IF(AND(N$3&gt;=$D161,N$3&lt;=$E161),IF((N$3-$D161+1)*VLOOKUP($A161,presupuesto!$B:$Q,16,FALSE)&gt;=VLOOKUP($A161,informe!$A:$J,9,FALSE),"cg","c"),"n")</f>
        <v>n</v>
      </c>
      <c r="O161" s="195" t="str">
        <f>IF(AND(O$3&gt;=$D161,O$3&lt;=$E161),IF((O$3-$D161+1)*VLOOKUP($A161,presupuesto!$B:$Q,16,FALSE)&gt;=VLOOKUP($A161,informe!$A:$J,9,FALSE),"cg","c"),"n")</f>
        <v>n</v>
      </c>
      <c r="P161" s="195" t="str">
        <f>IF(AND(P$3&gt;=$D161,P$3&lt;=$E161),IF((P$3-$D161+1)*VLOOKUP($A161,presupuesto!$B:$Q,16,FALSE)&gt;=VLOOKUP($A161,informe!$A:$J,9,FALSE),"cg","c"),"n")</f>
        <v>n</v>
      </c>
      <c r="Q161" s="195" t="str">
        <f>IF(AND(Q$3&gt;=$D161,Q$3&lt;=$E161),IF((Q$3-$D161+1)*VLOOKUP($A161,presupuesto!$B:$Q,16,FALSE)&gt;=VLOOKUP($A161,informe!$A:$J,9,FALSE),"cg","c"),"n")</f>
        <v>n</v>
      </c>
      <c r="R161" s="195" t="str">
        <f>IF(AND(R$3&gt;=$D161,R$3&lt;=$E161),IF((R$3-$D161+1)*VLOOKUP($A161,presupuesto!$B:$Q,16,FALSE)&gt;=VLOOKUP($A161,informe!$A:$J,9,FALSE),"cg","c"),"n")</f>
        <v>n</v>
      </c>
      <c r="S161" s="195" t="str">
        <f>IF(AND(S$3&gt;=$D161,S$3&lt;=$E161),IF((S$3-$D161+1)*VLOOKUP($A161,presupuesto!$B:$Q,16,FALSE)&gt;=VLOOKUP($A161,informe!$A:$J,9,FALSE),"cg","c"),"n")</f>
        <v>n</v>
      </c>
      <c r="T161" s="195" t="str">
        <f>IF(AND(T$3&gt;=$D161,T$3&lt;=$E161),IF((T$3-$D161+1)*VLOOKUP($A161,presupuesto!$B:$Q,16,FALSE)&gt;=VLOOKUP($A161,informe!$A:$J,9,FALSE),"cg","c"),"n")</f>
        <v>n</v>
      </c>
      <c r="U161" s="195" t="str">
        <f>IF(AND(U$3&gt;=$D161,U$3&lt;=$E161),IF((U$3-$D161+1)*VLOOKUP($A161,presupuesto!$B:$Q,16,FALSE)&gt;=VLOOKUP($A161,informe!$A:$J,9,FALSE),"cg","c"),"n")</f>
        <v>n</v>
      </c>
      <c r="V161" s="195" t="str">
        <f>IF(AND(V$3&gt;=$D161,V$3&lt;=$E161),IF((V$3-$D161+1)*VLOOKUP($A161,presupuesto!$B:$Q,16,FALSE)&gt;=VLOOKUP($A161,informe!$A:$J,9,FALSE),"cg","c"),"n")</f>
        <v>n</v>
      </c>
      <c r="W161" s="195" t="str">
        <f>IF(AND(W$3&gt;=$D161,W$3&lt;=$E161),IF((W$3-$D161+1)*VLOOKUP($A161,presupuesto!$B:$Q,16,FALSE)&gt;=VLOOKUP($A161,informe!$A:$J,9,FALSE),"cg","c"),"n")</f>
        <v>n</v>
      </c>
      <c r="X161" s="195" t="str">
        <f>IF(AND(X$3&gt;=$D161,X$3&lt;=$E161),IF((X$3-$D161+1)*VLOOKUP($A161,presupuesto!$B:$Q,16,FALSE)&gt;=VLOOKUP($A161,informe!$A:$J,9,FALSE),"cg","c"),"n")</f>
        <v>n</v>
      </c>
      <c r="Y161" s="195" t="str">
        <f>IF(AND(Y$3&gt;=$D161,Y$3&lt;=$E161),IF((Y$3-$D161+1)*VLOOKUP($A161,presupuesto!$B:$Q,16,FALSE)&gt;=VLOOKUP($A161,informe!$A:$J,9,FALSE),"cg","c"),"n")</f>
        <v>n</v>
      </c>
      <c r="Z161" s="195" t="str">
        <f>IF(AND(Z$3&gt;=$D161,Z$3&lt;=$E161),IF((Z$3-$D161+1)*VLOOKUP($A161,presupuesto!$B:$Q,16,FALSE)&gt;=VLOOKUP($A161,informe!$A:$J,9,FALSE),"cg","c"),"n")</f>
        <v>n</v>
      </c>
      <c r="AA161" s="195" t="str">
        <f>IF(AND(AA$3&gt;=$D161,AA$3&lt;=$E161),IF((AA$3-$D161+1)*VLOOKUP($A161,presupuesto!$B:$Q,16,FALSE)&gt;=VLOOKUP($A161,informe!$A:$J,9,FALSE),"cg","c"),"n")</f>
        <v>n</v>
      </c>
      <c r="AB161" s="195" t="str">
        <f>IF(AND(AB$3&gt;=$D161,AB$3&lt;=$E161),IF((AB$3-$D161+1)*VLOOKUP($A161,presupuesto!$B:$Q,16,FALSE)&gt;=VLOOKUP($A161,informe!$A:$J,9,FALSE),"cg","c"),"n")</f>
        <v>n</v>
      </c>
      <c r="AC161" s="195" t="str">
        <f>IF(AND(AC$3&gt;=$D161,AC$3&lt;=$E161),IF((AC$3-$D161+1)*VLOOKUP($A161,presupuesto!$B:$Q,16,FALSE)&gt;=VLOOKUP($A161,informe!$A:$J,9,FALSE),"cg","c"),"n")</f>
        <v>n</v>
      </c>
      <c r="AD161" s="195" t="str">
        <f>IF(AND(AD$3&gt;=$D161,AD$3&lt;=$E161),IF((AD$3-$D161+1)*VLOOKUP($A161,presupuesto!$B:$Q,16,FALSE)&gt;=VLOOKUP($A161,informe!$A:$J,9,FALSE),"cg","c"),"n")</f>
        <v>n</v>
      </c>
      <c r="AE161" s="195" t="str">
        <f>IF(AND(AE$3&gt;=$D161,AE$3&lt;=$E161),IF((AE$3-$D161+1)*VLOOKUP($A161,presupuesto!$B:$Q,16,FALSE)&gt;=VLOOKUP($A161,informe!$A:$J,9,FALSE),"cg","c"),"n")</f>
        <v>n</v>
      </c>
      <c r="AF161" s="195" t="str">
        <f>IF(AND(AF$3&gt;=$D161,AF$3&lt;=$E161),IF((AF$3-$D161+1)*VLOOKUP($A161,presupuesto!$B:$Q,16,FALSE)&gt;=VLOOKUP($A161,informe!$A:$J,9,FALSE),"cg","c"),"n")</f>
        <v>n</v>
      </c>
      <c r="AG161" s="195" t="str">
        <f>IF(AND(AG$3&gt;=$D161,AG$3&lt;=$E161),IF((AG$3-$D161+1)*VLOOKUP($A161,presupuesto!$B:$Q,16,FALSE)&gt;=VLOOKUP($A161,informe!$A:$J,9,FALSE),"cg","c"),"n")</f>
        <v>n</v>
      </c>
      <c r="AH161" s="195" t="str">
        <f>IF(AND(AH$3&gt;=$D161,AH$3&lt;=$E161),IF((AH$3-$D161+1)*VLOOKUP($A161,presupuesto!$B:$Q,16,FALSE)&gt;=VLOOKUP($A161,informe!$A:$J,9,FALSE),"cg","c"),"n")</f>
        <v>n</v>
      </c>
      <c r="AI161" s="195" t="str">
        <f>IF(AND(AI$3&gt;=$D161,AI$3&lt;=$E161),IF((AI$3-$D161+1)*VLOOKUP($A161,presupuesto!$B:$Q,16,FALSE)&gt;=VLOOKUP($A161,informe!$A:$J,9,FALSE),"cg","c"),"n")</f>
        <v>n</v>
      </c>
      <c r="AJ161" s="195" t="str">
        <f>IF(AND(AJ$3&gt;=$D161,AJ$3&lt;=$E161),IF((AJ$3-$D161+1)*VLOOKUP($A161,presupuesto!$B:$Q,16,FALSE)&gt;=VLOOKUP($A161,informe!$A:$J,9,FALSE),"cg","c"),"n")</f>
        <v>n</v>
      </c>
      <c r="AK161" s="196" t="str">
        <f>IF(AND(AK$3&gt;=$D161,AK$3&lt;=$E161),IF((AK$3-$D161+1)*VLOOKUP($A161,presupuesto!$B:$Q,16,FALSE)&gt;=VLOOKUP($A161,informe!$A:$J,9,FALSE),"cg","c"),"n")</f>
        <v>n</v>
      </c>
    </row>
    <row r="162" spans="1:37" x14ac:dyDescent="0.25">
      <c r="A162" s="197">
        <f>presupuesto!B161</f>
        <v>110</v>
      </c>
      <c r="B162" s="182" t="str">
        <f>presupuesto!C161</f>
        <v xml:space="preserve">      CAJA DE CONEXIONES</v>
      </c>
      <c r="C162" s="174" t="str">
        <f>presupuesto!G161</f>
        <v>30 días</v>
      </c>
      <c r="D162" s="177">
        <f>presupuesto!N161</f>
        <v>45762</v>
      </c>
      <c r="E162" s="177">
        <f>presupuesto!O161</f>
        <v>45791</v>
      </c>
      <c r="F162" s="194" t="str">
        <f>IF(AK162="n",CONCATENATE(" - "),IF(AK162="cg",CONCATENATE(" - "),CONCATENATE(ROUND(IFERROR(VLOOKUP(A162,informe!A:J,9,FALSE)/VLOOKUP(A162,informe!A:J,5,FALSE),0)*100,2),"% ")))</f>
        <v xml:space="preserve"> - </v>
      </c>
      <c r="G162" s="195" t="str">
        <f>IF(AND(G$3&gt;=$D162,G$3&lt;=$E162),IF((G$3-$D162+1)*VLOOKUP($A162,presupuesto!$B:$Q,16,FALSE)&gt;=VLOOKUP($A162,informe!$A:$J,9,FALSE),"cg","c"),"n")</f>
        <v>n</v>
      </c>
      <c r="H162" s="195" t="str">
        <f>IF(AND(H$3&gt;=$D162,H$3&lt;=$E162),IF((H$3-$D162+1)*VLOOKUP($A162,presupuesto!$B:$Q,16,FALSE)&gt;=VLOOKUP($A162,informe!$A:$J,9,FALSE),"cg","c"),"n")</f>
        <v>n</v>
      </c>
      <c r="I162" s="195" t="str">
        <f>IF(AND(I$3&gt;=$D162,I$3&lt;=$E162),IF((I$3-$D162+1)*VLOOKUP($A162,presupuesto!$B:$Q,16,FALSE)&gt;=VLOOKUP($A162,informe!$A:$J,9,FALSE),"cg","c"),"n")</f>
        <v>n</v>
      </c>
      <c r="J162" s="195" t="str">
        <f>IF(AND(J$3&gt;=$D162,J$3&lt;=$E162),IF((J$3-$D162+1)*VLOOKUP($A162,presupuesto!$B:$Q,16,FALSE)&gt;=VLOOKUP($A162,informe!$A:$J,9,FALSE),"cg","c"),"n")</f>
        <v>n</v>
      </c>
      <c r="K162" s="195" t="str">
        <f>IF(AND(K$3&gt;=$D162,K$3&lt;=$E162),IF((K$3-$D162+1)*VLOOKUP($A162,presupuesto!$B:$Q,16,FALSE)&gt;=VLOOKUP($A162,informe!$A:$J,9,FALSE),"cg","c"),"n")</f>
        <v>n</v>
      </c>
      <c r="L162" s="195" t="str">
        <f>IF(AND(L$3&gt;=$D162,L$3&lt;=$E162),IF((L$3-$D162+1)*VLOOKUP($A162,presupuesto!$B:$Q,16,FALSE)&gt;=VLOOKUP($A162,informe!$A:$J,9,FALSE),"cg","c"),"n")</f>
        <v>n</v>
      </c>
      <c r="M162" s="195" t="str">
        <f>IF(AND(M$3&gt;=$D162,M$3&lt;=$E162),IF((M$3-$D162+1)*VLOOKUP($A162,presupuesto!$B:$Q,16,FALSE)&gt;=VLOOKUP($A162,informe!$A:$J,9,FALSE),"cg","c"),"n")</f>
        <v>n</v>
      </c>
      <c r="N162" s="195" t="str">
        <f>IF(AND(N$3&gt;=$D162,N$3&lt;=$E162),IF((N$3-$D162+1)*VLOOKUP($A162,presupuesto!$B:$Q,16,FALSE)&gt;=VLOOKUP($A162,informe!$A:$J,9,FALSE),"cg","c"),"n")</f>
        <v>n</v>
      </c>
      <c r="O162" s="195" t="str">
        <f>IF(AND(O$3&gt;=$D162,O$3&lt;=$E162),IF((O$3-$D162+1)*VLOOKUP($A162,presupuesto!$B:$Q,16,FALSE)&gt;=VLOOKUP($A162,informe!$A:$J,9,FALSE),"cg","c"),"n")</f>
        <v>n</v>
      </c>
      <c r="P162" s="195" t="str">
        <f>IF(AND(P$3&gt;=$D162,P$3&lt;=$E162),IF((P$3-$D162+1)*VLOOKUP($A162,presupuesto!$B:$Q,16,FALSE)&gt;=VLOOKUP($A162,informe!$A:$J,9,FALSE),"cg","c"),"n")</f>
        <v>n</v>
      </c>
      <c r="Q162" s="195" t="str">
        <f>IF(AND(Q$3&gt;=$D162,Q$3&lt;=$E162),IF((Q$3-$D162+1)*VLOOKUP($A162,presupuesto!$B:$Q,16,FALSE)&gt;=VLOOKUP($A162,informe!$A:$J,9,FALSE),"cg","c"),"n")</f>
        <v>n</v>
      </c>
      <c r="R162" s="195" t="str">
        <f>IF(AND(R$3&gt;=$D162,R$3&lt;=$E162),IF((R$3-$D162+1)*VLOOKUP($A162,presupuesto!$B:$Q,16,FALSE)&gt;=VLOOKUP($A162,informe!$A:$J,9,FALSE),"cg","c"),"n")</f>
        <v>n</v>
      </c>
      <c r="S162" s="195" t="str">
        <f>IF(AND(S$3&gt;=$D162,S$3&lt;=$E162),IF((S$3-$D162+1)*VLOOKUP($A162,presupuesto!$B:$Q,16,FALSE)&gt;=VLOOKUP($A162,informe!$A:$J,9,FALSE),"cg","c"),"n")</f>
        <v>n</v>
      </c>
      <c r="T162" s="195" t="str">
        <f>IF(AND(T$3&gt;=$D162,T$3&lt;=$E162),IF((T$3-$D162+1)*VLOOKUP($A162,presupuesto!$B:$Q,16,FALSE)&gt;=VLOOKUP($A162,informe!$A:$J,9,FALSE),"cg","c"),"n")</f>
        <v>n</v>
      </c>
      <c r="U162" s="195" t="str">
        <f>IF(AND(U$3&gt;=$D162,U$3&lt;=$E162),IF((U$3-$D162+1)*VLOOKUP($A162,presupuesto!$B:$Q,16,FALSE)&gt;=VLOOKUP($A162,informe!$A:$J,9,FALSE),"cg","c"),"n")</f>
        <v>n</v>
      </c>
      <c r="V162" s="195" t="str">
        <f>IF(AND(V$3&gt;=$D162,V$3&lt;=$E162),IF((V$3-$D162+1)*VLOOKUP($A162,presupuesto!$B:$Q,16,FALSE)&gt;=VLOOKUP($A162,informe!$A:$J,9,FALSE),"cg","c"),"n")</f>
        <v>n</v>
      </c>
      <c r="W162" s="195" t="str">
        <f>IF(AND(W$3&gt;=$D162,W$3&lt;=$E162),IF((W$3-$D162+1)*VLOOKUP($A162,presupuesto!$B:$Q,16,FALSE)&gt;=VLOOKUP($A162,informe!$A:$J,9,FALSE),"cg","c"),"n")</f>
        <v>n</v>
      </c>
      <c r="X162" s="195" t="str">
        <f>IF(AND(X$3&gt;=$D162,X$3&lt;=$E162),IF((X$3-$D162+1)*VLOOKUP($A162,presupuesto!$B:$Q,16,FALSE)&gt;=VLOOKUP($A162,informe!$A:$J,9,FALSE),"cg","c"),"n")</f>
        <v>n</v>
      </c>
      <c r="Y162" s="195" t="str">
        <f>IF(AND(Y$3&gt;=$D162,Y$3&lt;=$E162),IF((Y$3-$D162+1)*VLOOKUP($A162,presupuesto!$B:$Q,16,FALSE)&gt;=VLOOKUP($A162,informe!$A:$J,9,FALSE),"cg","c"),"n")</f>
        <v>n</v>
      </c>
      <c r="Z162" s="195" t="str">
        <f>IF(AND(Z$3&gt;=$D162,Z$3&lt;=$E162),IF((Z$3-$D162+1)*VLOOKUP($A162,presupuesto!$B:$Q,16,FALSE)&gt;=VLOOKUP($A162,informe!$A:$J,9,FALSE),"cg","c"),"n")</f>
        <v>n</v>
      </c>
      <c r="AA162" s="195" t="str">
        <f>IF(AND(AA$3&gt;=$D162,AA$3&lt;=$E162),IF((AA$3-$D162+1)*VLOOKUP($A162,presupuesto!$B:$Q,16,FALSE)&gt;=VLOOKUP($A162,informe!$A:$J,9,FALSE),"cg","c"),"n")</f>
        <v>n</v>
      </c>
      <c r="AB162" s="195" t="str">
        <f>IF(AND(AB$3&gt;=$D162,AB$3&lt;=$E162),IF((AB$3-$D162+1)*VLOOKUP($A162,presupuesto!$B:$Q,16,FALSE)&gt;=VLOOKUP($A162,informe!$A:$J,9,FALSE),"cg","c"),"n")</f>
        <v>n</v>
      </c>
      <c r="AC162" s="195" t="str">
        <f>IF(AND(AC$3&gt;=$D162,AC$3&lt;=$E162),IF((AC$3-$D162+1)*VLOOKUP($A162,presupuesto!$B:$Q,16,FALSE)&gt;=VLOOKUP($A162,informe!$A:$J,9,FALSE),"cg","c"),"n")</f>
        <v>n</v>
      </c>
      <c r="AD162" s="195" t="str">
        <f>IF(AND(AD$3&gt;=$D162,AD$3&lt;=$E162),IF((AD$3-$D162+1)*VLOOKUP($A162,presupuesto!$B:$Q,16,FALSE)&gt;=VLOOKUP($A162,informe!$A:$J,9,FALSE),"cg","c"),"n")</f>
        <v>n</v>
      </c>
      <c r="AE162" s="195" t="str">
        <f>IF(AND(AE$3&gt;=$D162,AE$3&lt;=$E162),IF((AE$3-$D162+1)*VLOOKUP($A162,presupuesto!$B:$Q,16,FALSE)&gt;=VLOOKUP($A162,informe!$A:$J,9,FALSE),"cg","c"),"n")</f>
        <v>n</v>
      </c>
      <c r="AF162" s="195" t="str">
        <f>IF(AND(AF$3&gt;=$D162,AF$3&lt;=$E162),IF((AF$3-$D162+1)*VLOOKUP($A162,presupuesto!$B:$Q,16,FALSE)&gt;=VLOOKUP($A162,informe!$A:$J,9,FALSE),"cg","c"),"n")</f>
        <v>n</v>
      </c>
      <c r="AG162" s="195" t="str">
        <f>IF(AND(AG$3&gt;=$D162,AG$3&lt;=$E162),IF((AG$3-$D162+1)*VLOOKUP($A162,presupuesto!$B:$Q,16,FALSE)&gt;=VLOOKUP($A162,informe!$A:$J,9,FALSE),"cg","c"),"n")</f>
        <v>n</v>
      </c>
      <c r="AH162" s="195" t="str">
        <f>IF(AND(AH$3&gt;=$D162,AH$3&lt;=$E162),IF((AH$3-$D162+1)*VLOOKUP($A162,presupuesto!$B:$Q,16,FALSE)&gt;=VLOOKUP($A162,informe!$A:$J,9,FALSE),"cg","c"),"n")</f>
        <v>n</v>
      </c>
      <c r="AI162" s="195" t="str">
        <f>IF(AND(AI$3&gt;=$D162,AI$3&lt;=$E162),IF((AI$3-$D162+1)*VLOOKUP($A162,presupuesto!$B:$Q,16,FALSE)&gt;=VLOOKUP($A162,informe!$A:$J,9,FALSE),"cg","c"),"n")</f>
        <v>n</v>
      </c>
      <c r="AJ162" s="195" t="str">
        <f>IF(AND(AJ$3&gt;=$D162,AJ$3&lt;=$E162),IF((AJ$3-$D162+1)*VLOOKUP($A162,presupuesto!$B:$Q,16,FALSE)&gt;=VLOOKUP($A162,informe!$A:$J,9,FALSE),"cg","c"),"n")</f>
        <v>n</v>
      </c>
      <c r="AK162" s="196" t="str">
        <f>IF(AND(AK$3&gt;=$D162,AK$3&lt;=$E162),IF((AK$3-$D162+1)*VLOOKUP($A162,presupuesto!$B:$Q,16,FALSE)&gt;=VLOOKUP($A162,informe!$A:$J,9,FALSE),"cg","c"),"n")</f>
        <v>n</v>
      </c>
    </row>
    <row r="163" spans="1:37" x14ac:dyDescent="0.25">
      <c r="A163" s="197">
        <f>presupuesto!B162</f>
        <v>111</v>
      </c>
      <c r="B163" s="182" t="str">
        <f>presupuesto!C162</f>
        <v xml:space="preserve">      SUMINISTRO Y MONTAJE TABLERO DE FUERZA Y CONTROL CAPTACIONES</v>
      </c>
      <c r="C163" s="174" t="str">
        <f>presupuesto!G162</f>
        <v>30 días</v>
      </c>
      <c r="D163" s="177">
        <f>presupuesto!N162</f>
        <v>45762</v>
      </c>
      <c r="E163" s="177">
        <f>presupuesto!O162</f>
        <v>45791</v>
      </c>
      <c r="F163" s="194" t="str">
        <f>IF(AK163="n",CONCATENATE(" - "),IF(AK163="cg",CONCATENATE(" - "),CONCATENATE(ROUND(IFERROR(VLOOKUP(A163,informe!A:J,9,FALSE)/VLOOKUP(A163,informe!A:J,5,FALSE),0)*100,2),"% ")))</f>
        <v xml:space="preserve"> - </v>
      </c>
      <c r="G163" s="195" t="str">
        <f>IF(AND(G$3&gt;=$D163,G$3&lt;=$E163),IF((G$3-$D163+1)*VLOOKUP($A163,presupuesto!$B:$Q,16,FALSE)&gt;=VLOOKUP($A163,informe!$A:$J,9,FALSE),"cg","c"),"n")</f>
        <v>n</v>
      </c>
      <c r="H163" s="195" t="str">
        <f>IF(AND(H$3&gt;=$D163,H$3&lt;=$E163),IF((H$3-$D163+1)*VLOOKUP($A163,presupuesto!$B:$Q,16,FALSE)&gt;=VLOOKUP($A163,informe!$A:$J,9,FALSE),"cg","c"),"n")</f>
        <v>n</v>
      </c>
      <c r="I163" s="195" t="str">
        <f>IF(AND(I$3&gt;=$D163,I$3&lt;=$E163),IF((I$3-$D163+1)*VLOOKUP($A163,presupuesto!$B:$Q,16,FALSE)&gt;=VLOOKUP($A163,informe!$A:$J,9,FALSE),"cg","c"),"n")</f>
        <v>n</v>
      </c>
      <c r="J163" s="195" t="str">
        <f>IF(AND(J$3&gt;=$D163,J$3&lt;=$E163),IF((J$3-$D163+1)*VLOOKUP($A163,presupuesto!$B:$Q,16,FALSE)&gt;=VLOOKUP($A163,informe!$A:$J,9,FALSE),"cg","c"),"n")</f>
        <v>n</v>
      </c>
      <c r="K163" s="195" t="str">
        <f>IF(AND(K$3&gt;=$D163,K$3&lt;=$E163),IF((K$3-$D163+1)*VLOOKUP($A163,presupuesto!$B:$Q,16,FALSE)&gt;=VLOOKUP($A163,informe!$A:$J,9,FALSE),"cg","c"),"n")</f>
        <v>n</v>
      </c>
      <c r="L163" s="195" t="str">
        <f>IF(AND(L$3&gt;=$D163,L$3&lt;=$E163),IF((L$3-$D163+1)*VLOOKUP($A163,presupuesto!$B:$Q,16,FALSE)&gt;=VLOOKUP($A163,informe!$A:$J,9,FALSE),"cg","c"),"n")</f>
        <v>n</v>
      </c>
      <c r="M163" s="195" t="str">
        <f>IF(AND(M$3&gt;=$D163,M$3&lt;=$E163),IF((M$3-$D163+1)*VLOOKUP($A163,presupuesto!$B:$Q,16,FALSE)&gt;=VLOOKUP($A163,informe!$A:$J,9,FALSE),"cg","c"),"n")</f>
        <v>n</v>
      </c>
      <c r="N163" s="195" t="str">
        <f>IF(AND(N$3&gt;=$D163,N$3&lt;=$E163),IF((N$3-$D163+1)*VLOOKUP($A163,presupuesto!$B:$Q,16,FALSE)&gt;=VLOOKUP($A163,informe!$A:$J,9,FALSE),"cg","c"),"n")</f>
        <v>n</v>
      </c>
      <c r="O163" s="195" t="str">
        <f>IF(AND(O$3&gt;=$D163,O$3&lt;=$E163),IF((O$3-$D163+1)*VLOOKUP($A163,presupuesto!$B:$Q,16,FALSE)&gt;=VLOOKUP($A163,informe!$A:$J,9,FALSE),"cg","c"),"n")</f>
        <v>n</v>
      </c>
      <c r="P163" s="195" t="str">
        <f>IF(AND(P$3&gt;=$D163,P$3&lt;=$E163),IF((P$3-$D163+1)*VLOOKUP($A163,presupuesto!$B:$Q,16,FALSE)&gt;=VLOOKUP($A163,informe!$A:$J,9,FALSE),"cg","c"),"n")</f>
        <v>n</v>
      </c>
      <c r="Q163" s="195" t="str">
        <f>IF(AND(Q$3&gt;=$D163,Q$3&lt;=$E163),IF((Q$3-$D163+1)*VLOOKUP($A163,presupuesto!$B:$Q,16,FALSE)&gt;=VLOOKUP($A163,informe!$A:$J,9,FALSE),"cg","c"),"n")</f>
        <v>n</v>
      </c>
      <c r="R163" s="195" t="str">
        <f>IF(AND(R$3&gt;=$D163,R$3&lt;=$E163),IF((R$3-$D163+1)*VLOOKUP($A163,presupuesto!$B:$Q,16,FALSE)&gt;=VLOOKUP($A163,informe!$A:$J,9,FALSE),"cg","c"),"n")</f>
        <v>n</v>
      </c>
      <c r="S163" s="195" t="str">
        <f>IF(AND(S$3&gt;=$D163,S$3&lt;=$E163),IF((S$3-$D163+1)*VLOOKUP($A163,presupuesto!$B:$Q,16,FALSE)&gt;=VLOOKUP($A163,informe!$A:$J,9,FALSE),"cg","c"),"n")</f>
        <v>n</v>
      </c>
      <c r="T163" s="195" t="str">
        <f>IF(AND(T$3&gt;=$D163,T$3&lt;=$E163),IF((T$3-$D163+1)*VLOOKUP($A163,presupuesto!$B:$Q,16,FALSE)&gt;=VLOOKUP($A163,informe!$A:$J,9,FALSE),"cg","c"),"n")</f>
        <v>n</v>
      </c>
      <c r="U163" s="195" t="str">
        <f>IF(AND(U$3&gt;=$D163,U$3&lt;=$E163),IF((U$3-$D163+1)*VLOOKUP($A163,presupuesto!$B:$Q,16,FALSE)&gt;=VLOOKUP($A163,informe!$A:$J,9,FALSE),"cg","c"),"n")</f>
        <v>n</v>
      </c>
      <c r="V163" s="195" t="str">
        <f>IF(AND(V$3&gt;=$D163,V$3&lt;=$E163),IF((V$3-$D163+1)*VLOOKUP($A163,presupuesto!$B:$Q,16,FALSE)&gt;=VLOOKUP($A163,informe!$A:$J,9,FALSE),"cg","c"),"n")</f>
        <v>n</v>
      </c>
      <c r="W163" s="195" t="str">
        <f>IF(AND(W$3&gt;=$D163,W$3&lt;=$E163),IF((W$3-$D163+1)*VLOOKUP($A163,presupuesto!$B:$Q,16,FALSE)&gt;=VLOOKUP($A163,informe!$A:$J,9,FALSE),"cg","c"),"n")</f>
        <v>n</v>
      </c>
      <c r="X163" s="195" t="str">
        <f>IF(AND(X$3&gt;=$D163,X$3&lt;=$E163),IF((X$3-$D163+1)*VLOOKUP($A163,presupuesto!$B:$Q,16,FALSE)&gt;=VLOOKUP($A163,informe!$A:$J,9,FALSE),"cg","c"),"n")</f>
        <v>n</v>
      </c>
      <c r="Y163" s="195" t="str">
        <f>IF(AND(Y$3&gt;=$D163,Y$3&lt;=$E163),IF((Y$3-$D163+1)*VLOOKUP($A163,presupuesto!$B:$Q,16,FALSE)&gt;=VLOOKUP($A163,informe!$A:$J,9,FALSE),"cg","c"),"n")</f>
        <v>n</v>
      </c>
      <c r="Z163" s="195" t="str">
        <f>IF(AND(Z$3&gt;=$D163,Z$3&lt;=$E163),IF((Z$3-$D163+1)*VLOOKUP($A163,presupuesto!$B:$Q,16,FALSE)&gt;=VLOOKUP($A163,informe!$A:$J,9,FALSE),"cg","c"),"n")</f>
        <v>n</v>
      </c>
      <c r="AA163" s="195" t="str">
        <f>IF(AND(AA$3&gt;=$D163,AA$3&lt;=$E163),IF((AA$3-$D163+1)*VLOOKUP($A163,presupuesto!$B:$Q,16,FALSE)&gt;=VLOOKUP($A163,informe!$A:$J,9,FALSE),"cg","c"),"n")</f>
        <v>n</v>
      </c>
      <c r="AB163" s="195" t="str">
        <f>IF(AND(AB$3&gt;=$D163,AB$3&lt;=$E163),IF((AB$3-$D163+1)*VLOOKUP($A163,presupuesto!$B:$Q,16,FALSE)&gt;=VLOOKUP($A163,informe!$A:$J,9,FALSE),"cg","c"),"n")</f>
        <v>n</v>
      </c>
      <c r="AC163" s="195" t="str">
        <f>IF(AND(AC$3&gt;=$D163,AC$3&lt;=$E163),IF((AC$3-$D163+1)*VLOOKUP($A163,presupuesto!$B:$Q,16,FALSE)&gt;=VLOOKUP($A163,informe!$A:$J,9,FALSE),"cg","c"),"n")</f>
        <v>n</v>
      </c>
      <c r="AD163" s="195" t="str">
        <f>IF(AND(AD$3&gt;=$D163,AD$3&lt;=$E163),IF((AD$3-$D163+1)*VLOOKUP($A163,presupuesto!$B:$Q,16,FALSE)&gt;=VLOOKUP($A163,informe!$A:$J,9,FALSE),"cg","c"),"n")</f>
        <v>n</v>
      </c>
      <c r="AE163" s="195" t="str">
        <f>IF(AND(AE$3&gt;=$D163,AE$3&lt;=$E163),IF((AE$3-$D163+1)*VLOOKUP($A163,presupuesto!$B:$Q,16,FALSE)&gt;=VLOOKUP($A163,informe!$A:$J,9,FALSE),"cg","c"),"n")</f>
        <v>n</v>
      </c>
      <c r="AF163" s="195" t="str">
        <f>IF(AND(AF$3&gt;=$D163,AF$3&lt;=$E163),IF((AF$3-$D163+1)*VLOOKUP($A163,presupuesto!$B:$Q,16,FALSE)&gt;=VLOOKUP($A163,informe!$A:$J,9,FALSE),"cg","c"),"n")</f>
        <v>n</v>
      </c>
      <c r="AG163" s="195" t="str">
        <f>IF(AND(AG$3&gt;=$D163,AG$3&lt;=$E163),IF((AG$3-$D163+1)*VLOOKUP($A163,presupuesto!$B:$Q,16,FALSE)&gt;=VLOOKUP($A163,informe!$A:$J,9,FALSE),"cg","c"),"n")</f>
        <v>n</v>
      </c>
      <c r="AH163" s="195" t="str">
        <f>IF(AND(AH$3&gt;=$D163,AH$3&lt;=$E163),IF((AH$3-$D163+1)*VLOOKUP($A163,presupuesto!$B:$Q,16,FALSE)&gt;=VLOOKUP($A163,informe!$A:$J,9,FALSE),"cg","c"),"n")</f>
        <v>n</v>
      </c>
      <c r="AI163" s="195" t="str">
        <f>IF(AND(AI$3&gt;=$D163,AI$3&lt;=$E163),IF((AI$3-$D163+1)*VLOOKUP($A163,presupuesto!$B:$Q,16,FALSE)&gt;=VLOOKUP($A163,informe!$A:$J,9,FALSE),"cg","c"),"n")</f>
        <v>n</v>
      </c>
      <c r="AJ163" s="195" t="str">
        <f>IF(AND(AJ$3&gt;=$D163,AJ$3&lt;=$E163),IF((AJ$3-$D163+1)*VLOOKUP($A163,presupuesto!$B:$Q,16,FALSE)&gt;=VLOOKUP($A163,informe!$A:$J,9,FALSE),"cg","c"),"n")</f>
        <v>n</v>
      </c>
      <c r="AK163" s="196" t="str">
        <f>IF(AND(AK$3&gt;=$D163,AK$3&lt;=$E163),IF((AK$3-$D163+1)*VLOOKUP($A163,presupuesto!$B:$Q,16,FALSE)&gt;=VLOOKUP($A163,informe!$A:$J,9,FALSE),"cg","c"),"n")</f>
        <v>n</v>
      </c>
    </row>
    <row r="164" spans="1:37" x14ac:dyDescent="0.25">
      <c r="A164" s="197">
        <f>presupuesto!B163</f>
        <v>112</v>
      </c>
      <c r="B164" s="182" t="str">
        <f>presupuesto!C163</f>
        <v xml:space="preserve">      SUMINISTRO Y MONTAJE TABLERO DE FUERZA Y CONTROL PLANTA TyR</v>
      </c>
      <c r="C164" s="174" t="str">
        <f>presupuesto!G163</f>
        <v>30 días</v>
      </c>
      <c r="D164" s="177">
        <f>presupuesto!N163</f>
        <v>45765</v>
      </c>
      <c r="E164" s="177">
        <f>presupuesto!O163</f>
        <v>45794</v>
      </c>
      <c r="F164" s="194" t="str">
        <f>IF(AK164="n",CONCATENATE(" - "),IF(AK164="cg",CONCATENATE(" - "),CONCATENATE(ROUND(IFERROR(VLOOKUP(A164,informe!A:J,9,FALSE)/VLOOKUP(A164,informe!A:J,5,FALSE),0)*100,2),"% ")))</f>
        <v xml:space="preserve"> - </v>
      </c>
      <c r="G164" s="195" t="str">
        <f>IF(AND(G$3&gt;=$D164,G$3&lt;=$E164),IF((G$3-$D164+1)*VLOOKUP($A164,presupuesto!$B:$Q,16,FALSE)&gt;=VLOOKUP($A164,informe!$A:$J,9,FALSE),"cg","c"),"n")</f>
        <v>n</v>
      </c>
      <c r="H164" s="195" t="str">
        <f>IF(AND(H$3&gt;=$D164,H$3&lt;=$E164),IF((H$3-$D164+1)*VLOOKUP($A164,presupuesto!$B:$Q,16,FALSE)&gt;=VLOOKUP($A164,informe!$A:$J,9,FALSE),"cg","c"),"n")</f>
        <v>n</v>
      </c>
      <c r="I164" s="195" t="str">
        <f>IF(AND(I$3&gt;=$D164,I$3&lt;=$E164),IF((I$3-$D164+1)*VLOOKUP($A164,presupuesto!$B:$Q,16,FALSE)&gt;=VLOOKUP($A164,informe!$A:$J,9,FALSE),"cg","c"),"n")</f>
        <v>n</v>
      </c>
      <c r="J164" s="195" t="str">
        <f>IF(AND(J$3&gt;=$D164,J$3&lt;=$E164),IF((J$3-$D164+1)*VLOOKUP($A164,presupuesto!$B:$Q,16,FALSE)&gt;=VLOOKUP($A164,informe!$A:$J,9,FALSE),"cg","c"),"n")</f>
        <v>n</v>
      </c>
      <c r="K164" s="195" t="str">
        <f>IF(AND(K$3&gt;=$D164,K$3&lt;=$E164),IF((K$3-$D164+1)*VLOOKUP($A164,presupuesto!$B:$Q,16,FALSE)&gt;=VLOOKUP($A164,informe!$A:$J,9,FALSE),"cg","c"),"n")</f>
        <v>n</v>
      </c>
      <c r="L164" s="195" t="str">
        <f>IF(AND(L$3&gt;=$D164,L$3&lt;=$E164),IF((L$3-$D164+1)*VLOOKUP($A164,presupuesto!$B:$Q,16,FALSE)&gt;=VLOOKUP($A164,informe!$A:$J,9,FALSE),"cg","c"),"n")</f>
        <v>n</v>
      </c>
      <c r="M164" s="195" t="str">
        <f>IF(AND(M$3&gt;=$D164,M$3&lt;=$E164),IF((M$3-$D164+1)*VLOOKUP($A164,presupuesto!$B:$Q,16,FALSE)&gt;=VLOOKUP($A164,informe!$A:$J,9,FALSE),"cg","c"),"n")</f>
        <v>n</v>
      </c>
      <c r="N164" s="195" t="str">
        <f>IF(AND(N$3&gt;=$D164,N$3&lt;=$E164),IF((N$3-$D164+1)*VLOOKUP($A164,presupuesto!$B:$Q,16,FALSE)&gt;=VLOOKUP($A164,informe!$A:$J,9,FALSE),"cg","c"),"n")</f>
        <v>n</v>
      </c>
      <c r="O164" s="195" t="str">
        <f>IF(AND(O$3&gt;=$D164,O$3&lt;=$E164),IF((O$3-$D164+1)*VLOOKUP($A164,presupuesto!$B:$Q,16,FALSE)&gt;=VLOOKUP($A164,informe!$A:$J,9,FALSE),"cg","c"),"n")</f>
        <v>n</v>
      </c>
      <c r="P164" s="195" t="str">
        <f>IF(AND(P$3&gt;=$D164,P$3&lt;=$E164),IF((P$3-$D164+1)*VLOOKUP($A164,presupuesto!$B:$Q,16,FALSE)&gt;=VLOOKUP($A164,informe!$A:$J,9,FALSE),"cg","c"),"n")</f>
        <v>n</v>
      </c>
      <c r="Q164" s="195" t="str">
        <f>IF(AND(Q$3&gt;=$D164,Q$3&lt;=$E164),IF((Q$3-$D164+1)*VLOOKUP($A164,presupuesto!$B:$Q,16,FALSE)&gt;=VLOOKUP($A164,informe!$A:$J,9,FALSE),"cg","c"),"n")</f>
        <v>n</v>
      </c>
      <c r="R164" s="195" t="str">
        <f>IF(AND(R$3&gt;=$D164,R$3&lt;=$E164),IF((R$3-$D164+1)*VLOOKUP($A164,presupuesto!$B:$Q,16,FALSE)&gt;=VLOOKUP($A164,informe!$A:$J,9,FALSE),"cg","c"),"n")</f>
        <v>n</v>
      </c>
      <c r="S164" s="195" t="str">
        <f>IF(AND(S$3&gt;=$D164,S$3&lt;=$E164),IF((S$3-$D164+1)*VLOOKUP($A164,presupuesto!$B:$Q,16,FALSE)&gt;=VLOOKUP($A164,informe!$A:$J,9,FALSE),"cg","c"),"n")</f>
        <v>n</v>
      </c>
      <c r="T164" s="195" t="str">
        <f>IF(AND(T$3&gt;=$D164,T$3&lt;=$E164),IF((T$3-$D164+1)*VLOOKUP($A164,presupuesto!$B:$Q,16,FALSE)&gt;=VLOOKUP($A164,informe!$A:$J,9,FALSE),"cg","c"),"n")</f>
        <v>n</v>
      </c>
      <c r="U164" s="195" t="str">
        <f>IF(AND(U$3&gt;=$D164,U$3&lt;=$E164),IF((U$3-$D164+1)*VLOOKUP($A164,presupuesto!$B:$Q,16,FALSE)&gt;=VLOOKUP($A164,informe!$A:$J,9,FALSE),"cg","c"),"n")</f>
        <v>n</v>
      </c>
      <c r="V164" s="195" t="str">
        <f>IF(AND(V$3&gt;=$D164,V$3&lt;=$E164),IF((V$3-$D164+1)*VLOOKUP($A164,presupuesto!$B:$Q,16,FALSE)&gt;=VLOOKUP($A164,informe!$A:$J,9,FALSE),"cg","c"),"n")</f>
        <v>n</v>
      </c>
      <c r="W164" s="195" t="str">
        <f>IF(AND(W$3&gt;=$D164,W$3&lt;=$E164),IF((W$3-$D164+1)*VLOOKUP($A164,presupuesto!$B:$Q,16,FALSE)&gt;=VLOOKUP($A164,informe!$A:$J,9,FALSE),"cg","c"),"n")</f>
        <v>n</v>
      </c>
      <c r="X164" s="195" t="str">
        <f>IF(AND(X$3&gt;=$D164,X$3&lt;=$E164),IF((X$3-$D164+1)*VLOOKUP($A164,presupuesto!$B:$Q,16,FALSE)&gt;=VLOOKUP($A164,informe!$A:$J,9,FALSE),"cg","c"),"n")</f>
        <v>n</v>
      </c>
      <c r="Y164" s="195" t="str">
        <f>IF(AND(Y$3&gt;=$D164,Y$3&lt;=$E164),IF((Y$3-$D164+1)*VLOOKUP($A164,presupuesto!$B:$Q,16,FALSE)&gt;=VLOOKUP($A164,informe!$A:$J,9,FALSE),"cg","c"),"n")</f>
        <v>n</v>
      </c>
      <c r="Z164" s="195" t="str">
        <f>IF(AND(Z$3&gt;=$D164,Z$3&lt;=$E164),IF((Z$3-$D164+1)*VLOOKUP($A164,presupuesto!$B:$Q,16,FALSE)&gt;=VLOOKUP($A164,informe!$A:$J,9,FALSE),"cg","c"),"n")</f>
        <v>n</v>
      </c>
      <c r="AA164" s="195" t="str">
        <f>IF(AND(AA$3&gt;=$D164,AA$3&lt;=$E164),IF((AA$3-$D164+1)*VLOOKUP($A164,presupuesto!$B:$Q,16,FALSE)&gt;=VLOOKUP($A164,informe!$A:$J,9,FALSE),"cg","c"),"n")</f>
        <v>n</v>
      </c>
      <c r="AB164" s="195" t="str">
        <f>IF(AND(AB$3&gt;=$D164,AB$3&lt;=$E164),IF((AB$3-$D164+1)*VLOOKUP($A164,presupuesto!$B:$Q,16,FALSE)&gt;=VLOOKUP($A164,informe!$A:$J,9,FALSE),"cg","c"),"n")</f>
        <v>n</v>
      </c>
      <c r="AC164" s="195" t="str">
        <f>IF(AND(AC$3&gt;=$D164,AC$3&lt;=$E164),IF((AC$3-$D164+1)*VLOOKUP($A164,presupuesto!$B:$Q,16,FALSE)&gt;=VLOOKUP($A164,informe!$A:$J,9,FALSE),"cg","c"),"n")</f>
        <v>n</v>
      </c>
      <c r="AD164" s="195" t="str">
        <f>IF(AND(AD$3&gt;=$D164,AD$3&lt;=$E164),IF((AD$3-$D164+1)*VLOOKUP($A164,presupuesto!$B:$Q,16,FALSE)&gt;=VLOOKUP($A164,informe!$A:$J,9,FALSE),"cg","c"),"n")</f>
        <v>n</v>
      </c>
      <c r="AE164" s="195" t="str">
        <f>IF(AND(AE$3&gt;=$D164,AE$3&lt;=$E164),IF((AE$3-$D164+1)*VLOOKUP($A164,presupuesto!$B:$Q,16,FALSE)&gt;=VLOOKUP($A164,informe!$A:$J,9,FALSE),"cg","c"),"n")</f>
        <v>n</v>
      </c>
      <c r="AF164" s="195" t="str">
        <f>IF(AND(AF$3&gt;=$D164,AF$3&lt;=$E164),IF((AF$3-$D164+1)*VLOOKUP($A164,presupuesto!$B:$Q,16,FALSE)&gt;=VLOOKUP($A164,informe!$A:$J,9,FALSE),"cg","c"),"n")</f>
        <v>n</v>
      </c>
      <c r="AG164" s="195" t="str">
        <f>IF(AND(AG$3&gt;=$D164,AG$3&lt;=$E164),IF((AG$3-$D164+1)*VLOOKUP($A164,presupuesto!$B:$Q,16,FALSE)&gt;=VLOOKUP($A164,informe!$A:$J,9,FALSE),"cg","c"),"n")</f>
        <v>n</v>
      </c>
      <c r="AH164" s="195" t="str">
        <f>IF(AND(AH$3&gt;=$D164,AH$3&lt;=$E164),IF((AH$3-$D164+1)*VLOOKUP($A164,presupuesto!$B:$Q,16,FALSE)&gt;=VLOOKUP($A164,informe!$A:$J,9,FALSE),"cg","c"),"n")</f>
        <v>n</v>
      </c>
      <c r="AI164" s="195" t="str">
        <f>IF(AND(AI$3&gt;=$D164,AI$3&lt;=$E164),IF((AI$3-$D164+1)*VLOOKUP($A164,presupuesto!$B:$Q,16,FALSE)&gt;=VLOOKUP($A164,informe!$A:$J,9,FALSE),"cg","c"),"n")</f>
        <v>n</v>
      </c>
      <c r="AJ164" s="195" t="str">
        <f>IF(AND(AJ$3&gt;=$D164,AJ$3&lt;=$E164),IF((AJ$3-$D164+1)*VLOOKUP($A164,presupuesto!$B:$Q,16,FALSE)&gt;=VLOOKUP($A164,informe!$A:$J,9,FALSE),"cg","c"),"n")</f>
        <v>n</v>
      </c>
      <c r="AK164" s="196" t="str">
        <f>IF(AND(AK$3&gt;=$D164,AK$3&lt;=$E164),IF((AK$3-$D164+1)*VLOOKUP($A164,presupuesto!$B:$Q,16,FALSE)&gt;=VLOOKUP($A164,informe!$A:$J,9,FALSE),"cg","c"),"n")</f>
        <v>n</v>
      </c>
    </row>
    <row r="165" spans="1:37" ht="13" x14ac:dyDescent="0.25">
      <c r="A165" s="193">
        <f>presupuesto!B164</f>
        <v>113</v>
      </c>
      <c r="B165" s="182" t="str">
        <f>presupuesto!C164</f>
        <v xml:space="preserve">      CÁMARA ELÉCTRICA TIPO B</v>
      </c>
      <c r="C165" s="173" t="str">
        <f>presupuesto!G164</f>
        <v>15 días</v>
      </c>
      <c r="D165" s="176">
        <f>presupuesto!N164</f>
        <v>45770</v>
      </c>
      <c r="E165" s="176">
        <f>presupuesto!O164</f>
        <v>45784</v>
      </c>
      <c r="F165" s="194" t="str">
        <f>IF(AK165="n",CONCATENATE(" - "),IF(AK165="cg",CONCATENATE(" - "),CONCATENATE(ROUND(IFERROR(VLOOKUP(A165,informe!A:J,9,FALSE)/VLOOKUP(A165,informe!A:J,5,FALSE),0)*100,2),"% ")))</f>
        <v xml:space="preserve"> - </v>
      </c>
      <c r="G165" s="195" t="str">
        <f>IF(AND(G$3&gt;=$D165,G$3&lt;=$E165),IF((G$3-$D165+1)*VLOOKUP($A165,presupuesto!$B:$Q,16,FALSE)&gt;=VLOOKUP($A165,informe!$A:$J,9,FALSE),"cg","c"),"n")</f>
        <v>n</v>
      </c>
      <c r="H165" s="195" t="str">
        <f>IF(AND(H$3&gt;=$D165,H$3&lt;=$E165),IF((H$3-$D165+1)*VLOOKUP($A165,presupuesto!$B:$Q,16,FALSE)&gt;=VLOOKUP($A165,informe!$A:$J,9,FALSE),"cg","c"),"n")</f>
        <v>n</v>
      </c>
      <c r="I165" s="195" t="str">
        <f>IF(AND(I$3&gt;=$D165,I$3&lt;=$E165),IF((I$3-$D165+1)*VLOOKUP($A165,presupuesto!$B:$Q,16,FALSE)&gt;=VLOOKUP($A165,informe!$A:$J,9,FALSE),"cg","c"),"n")</f>
        <v>n</v>
      </c>
      <c r="J165" s="195" t="str">
        <f>IF(AND(J$3&gt;=$D165,J$3&lt;=$E165),IF((J$3-$D165+1)*VLOOKUP($A165,presupuesto!$B:$Q,16,FALSE)&gt;=VLOOKUP($A165,informe!$A:$J,9,FALSE),"cg","c"),"n")</f>
        <v>n</v>
      </c>
      <c r="K165" s="195" t="str">
        <f>IF(AND(K$3&gt;=$D165,K$3&lt;=$E165),IF((K$3-$D165+1)*VLOOKUP($A165,presupuesto!$B:$Q,16,FALSE)&gt;=VLOOKUP($A165,informe!$A:$J,9,FALSE),"cg","c"),"n")</f>
        <v>n</v>
      </c>
      <c r="L165" s="195" t="str">
        <f>IF(AND(L$3&gt;=$D165,L$3&lt;=$E165),IF((L$3-$D165+1)*VLOOKUP($A165,presupuesto!$B:$Q,16,FALSE)&gt;=VLOOKUP($A165,informe!$A:$J,9,FALSE),"cg","c"),"n")</f>
        <v>n</v>
      </c>
      <c r="M165" s="195" t="str">
        <f>IF(AND(M$3&gt;=$D165,M$3&lt;=$E165),IF((M$3-$D165+1)*VLOOKUP($A165,presupuesto!$B:$Q,16,FALSE)&gt;=VLOOKUP($A165,informe!$A:$J,9,FALSE),"cg","c"),"n")</f>
        <v>n</v>
      </c>
      <c r="N165" s="195" t="str">
        <f>IF(AND(N$3&gt;=$D165,N$3&lt;=$E165),IF((N$3-$D165+1)*VLOOKUP($A165,presupuesto!$B:$Q,16,FALSE)&gt;=VLOOKUP($A165,informe!$A:$J,9,FALSE),"cg","c"),"n")</f>
        <v>n</v>
      </c>
      <c r="O165" s="195" t="str">
        <f>IF(AND(O$3&gt;=$D165,O$3&lt;=$E165),IF((O$3-$D165+1)*VLOOKUP($A165,presupuesto!$B:$Q,16,FALSE)&gt;=VLOOKUP($A165,informe!$A:$J,9,FALSE),"cg","c"),"n")</f>
        <v>n</v>
      </c>
      <c r="P165" s="195" t="str">
        <f>IF(AND(P$3&gt;=$D165,P$3&lt;=$E165),IF((P$3-$D165+1)*VLOOKUP($A165,presupuesto!$B:$Q,16,FALSE)&gt;=VLOOKUP($A165,informe!$A:$J,9,FALSE),"cg","c"),"n")</f>
        <v>n</v>
      </c>
      <c r="Q165" s="195" t="str">
        <f>IF(AND(Q$3&gt;=$D165,Q$3&lt;=$E165),IF((Q$3-$D165+1)*VLOOKUP($A165,presupuesto!$B:$Q,16,FALSE)&gt;=VLOOKUP($A165,informe!$A:$J,9,FALSE),"cg","c"),"n")</f>
        <v>n</v>
      </c>
      <c r="R165" s="195" t="str">
        <f>IF(AND(R$3&gt;=$D165,R$3&lt;=$E165),IF((R$3-$D165+1)*VLOOKUP($A165,presupuesto!$B:$Q,16,FALSE)&gt;=VLOOKUP($A165,informe!$A:$J,9,FALSE),"cg","c"),"n")</f>
        <v>n</v>
      </c>
      <c r="S165" s="195" t="str">
        <f>IF(AND(S$3&gt;=$D165,S$3&lt;=$E165),IF((S$3-$D165+1)*VLOOKUP($A165,presupuesto!$B:$Q,16,FALSE)&gt;=VLOOKUP($A165,informe!$A:$J,9,FALSE),"cg","c"),"n")</f>
        <v>n</v>
      </c>
      <c r="T165" s="195" t="str">
        <f>IF(AND(T$3&gt;=$D165,T$3&lt;=$E165),IF((T$3-$D165+1)*VLOOKUP($A165,presupuesto!$B:$Q,16,FALSE)&gt;=VLOOKUP($A165,informe!$A:$J,9,FALSE),"cg","c"),"n")</f>
        <v>n</v>
      </c>
      <c r="U165" s="195" t="str">
        <f>IF(AND(U$3&gt;=$D165,U$3&lt;=$E165),IF((U$3-$D165+1)*VLOOKUP($A165,presupuesto!$B:$Q,16,FALSE)&gt;=VLOOKUP($A165,informe!$A:$J,9,FALSE),"cg","c"),"n")</f>
        <v>n</v>
      </c>
      <c r="V165" s="195" t="str">
        <f>IF(AND(V$3&gt;=$D165,V$3&lt;=$E165),IF((V$3-$D165+1)*VLOOKUP($A165,presupuesto!$B:$Q,16,FALSE)&gt;=VLOOKUP($A165,informe!$A:$J,9,FALSE),"cg","c"),"n")</f>
        <v>n</v>
      </c>
      <c r="W165" s="195" t="str">
        <f>IF(AND(W$3&gt;=$D165,W$3&lt;=$E165),IF((W$3-$D165+1)*VLOOKUP($A165,presupuesto!$B:$Q,16,FALSE)&gt;=VLOOKUP($A165,informe!$A:$J,9,FALSE),"cg","c"),"n")</f>
        <v>n</v>
      </c>
      <c r="X165" s="195" t="str">
        <f>IF(AND(X$3&gt;=$D165,X$3&lt;=$E165),IF((X$3-$D165+1)*VLOOKUP($A165,presupuesto!$B:$Q,16,FALSE)&gt;=VLOOKUP($A165,informe!$A:$J,9,FALSE),"cg","c"),"n")</f>
        <v>n</v>
      </c>
      <c r="Y165" s="195" t="str">
        <f>IF(AND(Y$3&gt;=$D165,Y$3&lt;=$E165),IF((Y$3-$D165+1)*VLOOKUP($A165,presupuesto!$B:$Q,16,FALSE)&gt;=VLOOKUP($A165,informe!$A:$J,9,FALSE),"cg","c"),"n")</f>
        <v>n</v>
      </c>
      <c r="Z165" s="195" t="str">
        <f>IF(AND(Z$3&gt;=$D165,Z$3&lt;=$E165),IF((Z$3-$D165+1)*VLOOKUP($A165,presupuesto!$B:$Q,16,FALSE)&gt;=VLOOKUP($A165,informe!$A:$J,9,FALSE),"cg","c"),"n")</f>
        <v>n</v>
      </c>
      <c r="AA165" s="195" t="str">
        <f>IF(AND(AA$3&gt;=$D165,AA$3&lt;=$E165),IF((AA$3-$D165+1)*VLOOKUP($A165,presupuesto!$B:$Q,16,FALSE)&gt;=VLOOKUP($A165,informe!$A:$J,9,FALSE),"cg","c"),"n")</f>
        <v>n</v>
      </c>
      <c r="AB165" s="195" t="str">
        <f>IF(AND(AB$3&gt;=$D165,AB$3&lt;=$E165),IF((AB$3-$D165+1)*VLOOKUP($A165,presupuesto!$B:$Q,16,FALSE)&gt;=VLOOKUP($A165,informe!$A:$J,9,FALSE),"cg","c"),"n")</f>
        <v>n</v>
      </c>
      <c r="AC165" s="195" t="str">
        <f>IF(AND(AC$3&gt;=$D165,AC$3&lt;=$E165),IF((AC$3-$D165+1)*VLOOKUP($A165,presupuesto!$B:$Q,16,FALSE)&gt;=VLOOKUP($A165,informe!$A:$J,9,FALSE),"cg","c"),"n")</f>
        <v>n</v>
      </c>
      <c r="AD165" s="195" t="str">
        <f>IF(AND(AD$3&gt;=$D165,AD$3&lt;=$E165),IF((AD$3-$D165+1)*VLOOKUP($A165,presupuesto!$B:$Q,16,FALSE)&gt;=VLOOKUP($A165,informe!$A:$J,9,FALSE),"cg","c"),"n")</f>
        <v>n</v>
      </c>
      <c r="AE165" s="195" t="str">
        <f>IF(AND(AE$3&gt;=$D165,AE$3&lt;=$E165),IF((AE$3-$D165+1)*VLOOKUP($A165,presupuesto!$B:$Q,16,FALSE)&gt;=VLOOKUP($A165,informe!$A:$J,9,FALSE),"cg","c"),"n")</f>
        <v>n</v>
      </c>
      <c r="AF165" s="195" t="str">
        <f>IF(AND(AF$3&gt;=$D165,AF$3&lt;=$E165),IF((AF$3-$D165+1)*VLOOKUP($A165,presupuesto!$B:$Q,16,FALSE)&gt;=VLOOKUP($A165,informe!$A:$J,9,FALSE),"cg","c"),"n")</f>
        <v>n</v>
      </c>
      <c r="AG165" s="195" t="str">
        <f>IF(AND(AG$3&gt;=$D165,AG$3&lt;=$E165),IF((AG$3-$D165+1)*VLOOKUP($A165,presupuesto!$B:$Q,16,FALSE)&gt;=VLOOKUP($A165,informe!$A:$J,9,FALSE),"cg","c"),"n")</f>
        <v>n</v>
      </c>
      <c r="AH165" s="195" t="str">
        <f>IF(AND(AH$3&gt;=$D165,AH$3&lt;=$E165),IF((AH$3-$D165+1)*VLOOKUP($A165,presupuesto!$B:$Q,16,FALSE)&gt;=VLOOKUP($A165,informe!$A:$J,9,FALSE),"cg","c"),"n")</f>
        <v>n</v>
      </c>
      <c r="AI165" s="195" t="str">
        <f>IF(AND(AI$3&gt;=$D165,AI$3&lt;=$E165),IF((AI$3-$D165+1)*VLOOKUP($A165,presupuesto!$B:$Q,16,FALSE)&gt;=VLOOKUP($A165,informe!$A:$J,9,FALSE),"cg","c"),"n")</f>
        <v>n</v>
      </c>
      <c r="AJ165" s="195" t="str">
        <f>IF(AND(AJ$3&gt;=$D165,AJ$3&lt;=$E165),IF((AJ$3-$D165+1)*VLOOKUP($A165,presupuesto!$B:$Q,16,FALSE)&gt;=VLOOKUP($A165,informe!$A:$J,9,FALSE),"cg","c"),"n")</f>
        <v>n</v>
      </c>
      <c r="AK165" s="196" t="str">
        <f>IF(AND(AK$3&gt;=$D165,AK$3&lt;=$E165),IF((AK$3-$D165+1)*VLOOKUP($A165,presupuesto!$B:$Q,16,FALSE)&gt;=VLOOKUP($A165,informe!$A:$J,9,FALSE),"cg","c"),"n")</f>
        <v>n</v>
      </c>
    </row>
    <row r="166" spans="1:37" ht="13" x14ac:dyDescent="0.25">
      <c r="A166" s="193">
        <f>presupuesto!B165</f>
        <v>114</v>
      </c>
      <c r="B166" s="182" t="str">
        <f>presupuesto!C165</f>
        <v xml:space="preserve">      ALUMBRADO EXTERIOR APR COQUIAO</v>
      </c>
      <c r="C166" s="173" t="str">
        <f>presupuesto!G165</f>
        <v>15 días</v>
      </c>
      <c r="D166" s="176">
        <f>presupuesto!N165</f>
        <v>45780</v>
      </c>
      <c r="E166" s="176">
        <f>presupuesto!O165</f>
        <v>45794</v>
      </c>
      <c r="F166" s="194" t="str">
        <f>IF(AK166="n",CONCATENATE(" - "),IF(AK166="cg",CONCATENATE(" - "),CONCATENATE(ROUND(IFERROR(VLOOKUP(A166,informe!A:J,9,FALSE)/VLOOKUP(A166,informe!A:J,5,FALSE),0)*100,2),"% ")))</f>
        <v xml:space="preserve"> - </v>
      </c>
      <c r="G166" s="195" t="str">
        <f>IF(AND(G$3&gt;=$D166,G$3&lt;=$E166),IF((G$3-$D166+1)*VLOOKUP($A166,presupuesto!$B:$Q,16,FALSE)&gt;=VLOOKUP($A166,informe!$A:$J,9,FALSE),"cg","c"),"n")</f>
        <v>n</v>
      </c>
      <c r="H166" s="195" t="str">
        <f>IF(AND(H$3&gt;=$D166,H$3&lt;=$E166),IF((H$3-$D166+1)*VLOOKUP($A166,presupuesto!$B:$Q,16,FALSE)&gt;=VLOOKUP($A166,informe!$A:$J,9,FALSE),"cg","c"),"n")</f>
        <v>n</v>
      </c>
      <c r="I166" s="195" t="str">
        <f>IF(AND(I$3&gt;=$D166,I$3&lt;=$E166),IF((I$3-$D166+1)*VLOOKUP($A166,presupuesto!$B:$Q,16,FALSE)&gt;=VLOOKUP($A166,informe!$A:$J,9,FALSE),"cg","c"),"n")</f>
        <v>n</v>
      </c>
      <c r="J166" s="195" t="str">
        <f>IF(AND(J$3&gt;=$D166,J$3&lt;=$E166),IF((J$3-$D166+1)*VLOOKUP($A166,presupuesto!$B:$Q,16,FALSE)&gt;=VLOOKUP($A166,informe!$A:$J,9,FALSE),"cg","c"),"n")</f>
        <v>n</v>
      </c>
      <c r="K166" s="195" t="str">
        <f>IF(AND(K$3&gt;=$D166,K$3&lt;=$E166),IF((K$3-$D166+1)*VLOOKUP($A166,presupuesto!$B:$Q,16,FALSE)&gt;=VLOOKUP($A166,informe!$A:$J,9,FALSE),"cg","c"),"n")</f>
        <v>n</v>
      </c>
      <c r="L166" s="195" t="str">
        <f>IF(AND(L$3&gt;=$D166,L$3&lt;=$E166),IF((L$3-$D166+1)*VLOOKUP($A166,presupuesto!$B:$Q,16,FALSE)&gt;=VLOOKUP($A166,informe!$A:$J,9,FALSE),"cg","c"),"n")</f>
        <v>n</v>
      </c>
      <c r="M166" s="195" t="str">
        <f>IF(AND(M$3&gt;=$D166,M$3&lt;=$E166),IF((M$3-$D166+1)*VLOOKUP($A166,presupuesto!$B:$Q,16,FALSE)&gt;=VLOOKUP($A166,informe!$A:$J,9,FALSE),"cg","c"),"n")</f>
        <v>n</v>
      </c>
      <c r="N166" s="195" t="str">
        <f>IF(AND(N$3&gt;=$D166,N$3&lt;=$E166),IF((N$3-$D166+1)*VLOOKUP($A166,presupuesto!$B:$Q,16,FALSE)&gt;=VLOOKUP($A166,informe!$A:$J,9,FALSE),"cg","c"),"n")</f>
        <v>n</v>
      </c>
      <c r="O166" s="195" t="str">
        <f>IF(AND(O$3&gt;=$D166,O$3&lt;=$E166),IF((O$3-$D166+1)*VLOOKUP($A166,presupuesto!$B:$Q,16,FALSE)&gt;=VLOOKUP($A166,informe!$A:$J,9,FALSE),"cg","c"),"n")</f>
        <v>n</v>
      </c>
      <c r="P166" s="195" t="str">
        <f>IF(AND(P$3&gt;=$D166,P$3&lt;=$E166),IF((P$3-$D166+1)*VLOOKUP($A166,presupuesto!$B:$Q,16,FALSE)&gt;=VLOOKUP($A166,informe!$A:$J,9,FALSE),"cg","c"),"n")</f>
        <v>n</v>
      </c>
      <c r="Q166" s="195" t="str">
        <f>IF(AND(Q$3&gt;=$D166,Q$3&lt;=$E166),IF((Q$3-$D166+1)*VLOOKUP($A166,presupuesto!$B:$Q,16,FALSE)&gt;=VLOOKUP($A166,informe!$A:$J,9,FALSE),"cg","c"),"n")</f>
        <v>n</v>
      </c>
      <c r="R166" s="195" t="str">
        <f>IF(AND(R$3&gt;=$D166,R$3&lt;=$E166),IF((R$3-$D166+1)*VLOOKUP($A166,presupuesto!$B:$Q,16,FALSE)&gt;=VLOOKUP($A166,informe!$A:$J,9,FALSE),"cg","c"),"n")</f>
        <v>n</v>
      </c>
      <c r="S166" s="195" t="str">
        <f>IF(AND(S$3&gt;=$D166,S$3&lt;=$E166),IF((S$3-$D166+1)*VLOOKUP($A166,presupuesto!$B:$Q,16,FALSE)&gt;=VLOOKUP($A166,informe!$A:$J,9,FALSE),"cg","c"),"n")</f>
        <v>n</v>
      </c>
      <c r="T166" s="195" t="str">
        <f>IF(AND(T$3&gt;=$D166,T$3&lt;=$E166),IF((T$3-$D166+1)*VLOOKUP($A166,presupuesto!$B:$Q,16,FALSE)&gt;=VLOOKUP($A166,informe!$A:$J,9,FALSE),"cg","c"),"n")</f>
        <v>n</v>
      </c>
      <c r="U166" s="195" t="str">
        <f>IF(AND(U$3&gt;=$D166,U$3&lt;=$E166),IF((U$3-$D166+1)*VLOOKUP($A166,presupuesto!$B:$Q,16,FALSE)&gt;=VLOOKUP($A166,informe!$A:$J,9,FALSE),"cg","c"),"n")</f>
        <v>n</v>
      </c>
      <c r="V166" s="195" t="str">
        <f>IF(AND(V$3&gt;=$D166,V$3&lt;=$E166),IF((V$3-$D166+1)*VLOOKUP($A166,presupuesto!$B:$Q,16,FALSE)&gt;=VLOOKUP($A166,informe!$A:$J,9,FALSE),"cg","c"),"n")</f>
        <v>n</v>
      </c>
      <c r="W166" s="195" t="str">
        <f>IF(AND(W$3&gt;=$D166,W$3&lt;=$E166),IF((W$3-$D166+1)*VLOOKUP($A166,presupuesto!$B:$Q,16,FALSE)&gt;=VLOOKUP($A166,informe!$A:$J,9,FALSE),"cg","c"),"n")</f>
        <v>n</v>
      </c>
      <c r="X166" s="195" t="str">
        <f>IF(AND(X$3&gt;=$D166,X$3&lt;=$E166),IF((X$3-$D166+1)*VLOOKUP($A166,presupuesto!$B:$Q,16,FALSE)&gt;=VLOOKUP($A166,informe!$A:$J,9,FALSE),"cg","c"),"n")</f>
        <v>n</v>
      </c>
      <c r="Y166" s="195" t="str">
        <f>IF(AND(Y$3&gt;=$D166,Y$3&lt;=$E166),IF((Y$3-$D166+1)*VLOOKUP($A166,presupuesto!$B:$Q,16,FALSE)&gt;=VLOOKUP($A166,informe!$A:$J,9,FALSE),"cg","c"),"n")</f>
        <v>n</v>
      </c>
      <c r="Z166" s="195" t="str">
        <f>IF(AND(Z$3&gt;=$D166,Z$3&lt;=$E166),IF((Z$3-$D166+1)*VLOOKUP($A166,presupuesto!$B:$Q,16,FALSE)&gt;=VLOOKUP($A166,informe!$A:$J,9,FALSE),"cg","c"),"n")</f>
        <v>n</v>
      </c>
      <c r="AA166" s="195" t="str">
        <f>IF(AND(AA$3&gt;=$D166,AA$3&lt;=$E166),IF((AA$3-$D166+1)*VLOOKUP($A166,presupuesto!$B:$Q,16,FALSE)&gt;=VLOOKUP($A166,informe!$A:$J,9,FALSE),"cg","c"),"n")</f>
        <v>n</v>
      </c>
      <c r="AB166" s="195" t="str">
        <f>IF(AND(AB$3&gt;=$D166,AB$3&lt;=$E166),IF((AB$3-$D166+1)*VLOOKUP($A166,presupuesto!$B:$Q,16,FALSE)&gt;=VLOOKUP($A166,informe!$A:$J,9,FALSE),"cg","c"),"n")</f>
        <v>n</v>
      </c>
      <c r="AC166" s="195" t="str">
        <f>IF(AND(AC$3&gt;=$D166,AC$3&lt;=$E166),IF((AC$3-$D166+1)*VLOOKUP($A166,presupuesto!$B:$Q,16,FALSE)&gt;=VLOOKUP($A166,informe!$A:$J,9,FALSE),"cg","c"),"n")</f>
        <v>n</v>
      </c>
      <c r="AD166" s="195" t="str">
        <f>IF(AND(AD$3&gt;=$D166,AD$3&lt;=$E166),IF((AD$3-$D166+1)*VLOOKUP($A166,presupuesto!$B:$Q,16,FALSE)&gt;=VLOOKUP($A166,informe!$A:$J,9,FALSE),"cg","c"),"n")</f>
        <v>n</v>
      </c>
      <c r="AE166" s="195" t="str">
        <f>IF(AND(AE$3&gt;=$D166,AE$3&lt;=$E166),IF((AE$3-$D166+1)*VLOOKUP($A166,presupuesto!$B:$Q,16,FALSE)&gt;=VLOOKUP($A166,informe!$A:$J,9,FALSE),"cg","c"),"n")</f>
        <v>n</v>
      </c>
      <c r="AF166" s="195" t="str">
        <f>IF(AND(AF$3&gt;=$D166,AF$3&lt;=$E166),IF((AF$3-$D166+1)*VLOOKUP($A166,presupuesto!$B:$Q,16,FALSE)&gt;=VLOOKUP($A166,informe!$A:$J,9,FALSE),"cg","c"),"n")</f>
        <v>n</v>
      </c>
      <c r="AG166" s="195" t="str">
        <f>IF(AND(AG$3&gt;=$D166,AG$3&lt;=$E166),IF((AG$3-$D166+1)*VLOOKUP($A166,presupuesto!$B:$Q,16,FALSE)&gt;=VLOOKUP($A166,informe!$A:$J,9,FALSE),"cg","c"),"n")</f>
        <v>n</v>
      </c>
      <c r="AH166" s="195" t="str">
        <f>IF(AND(AH$3&gt;=$D166,AH$3&lt;=$E166),IF((AH$3-$D166+1)*VLOOKUP($A166,presupuesto!$B:$Q,16,FALSE)&gt;=VLOOKUP($A166,informe!$A:$J,9,FALSE),"cg","c"),"n")</f>
        <v>n</v>
      </c>
      <c r="AI166" s="195" t="str">
        <f>IF(AND(AI$3&gt;=$D166,AI$3&lt;=$E166),IF((AI$3-$D166+1)*VLOOKUP($A166,presupuesto!$B:$Q,16,FALSE)&gt;=VLOOKUP($A166,informe!$A:$J,9,FALSE),"cg","c"),"n")</f>
        <v>n</v>
      </c>
      <c r="AJ166" s="195" t="str">
        <f>IF(AND(AJ$3&gt;=$D166,AJ$3&lt;=$E166),IF((AJ$3-$D166+1)*VLOOKUP($A166,presupuesto!$B:$Q,16,FALSE)&gt;=VLOOKUP($A166,informe!$A:$J,9,FALSE),"cg","c"),"n")</f>
        <v>n</v>
      </c>
      <c r="AK166" s="196" t="str">
        <f>IF(AND(AK$3&gt;=$D166,AK$3&lt;=$E166),IF((AK$3-$D166+1)*VLOOKUP($A166,presupuesto!$B:$Q,16,FALSE)&gt;=VLOOKUP($A166,informe!$A:$J,9,FALSE),"cg","c"),"n")</f>
        <v>n</v>
      </c>
    </row>
    <row r="167" spans="1:37" x14ac:dyDescent="0.25">
      <c r="A167" s="197">
        <f>presupuesto!B166</f>
        <v>115</v>
      </c>
      <c r="B167" s="182" t="str">
        <f>presupuesto!C166</f>
        <v xml:space="preserve">      CIRCUITO ALUMBRADO INTERIOR PLANTA RyT</v>
      </c>
      <c r="C167" s="174" t="str">
        <f>presupuesto!G166</f>
        <v>15 días</v>
      </c>
      <c r="D167" s="177">
        <f>presupuesto!N166</f>
        <v>45780</v>
      </c>
      <c r="E167" s="177">
        <f>presupuesto!O166</f>
        <v>45794</v>
      </c>
      <c r="F167" s="194" t="str">
        <f>IF(AK167="n",CONCATENATE(" - "),IF(AK167="cg",CONCATENATE(" - "),CONCATENATE(ROUND(IFERROR(VLOOKUP(A167,informe!A:J,9,FALSE)/VLOOKUP(A167,informe!A:J,5,FALSE),0)*100,2),"% ")))</f>
        <v xml:space="preserve"> - </v>
      </c>
      <c r="G167" s="195" t="str">
        <f>IF(AND(G$3&gt;=$D167,G$3&lt;=$E167),IF((G$3-$D167+1)*VLOOKUP($A167,presupuesto!$B:$Q,16,FALSE)&gt;=VLOOKUP($A167,informe!$A:$J,9,FALSE),"cg","c"),"n")</f>
        <v>n</v>
      </c>
      <c r="H167" s="195" t="str">
        <f>IF(AND(H$3&gt;=$D167,H$3&lt;=$E167),IF((H$3-$D167+1)*VLOOKUP($A167,presupuesto!$B:$Q,16,FALSE)&gt;=VLOOKUP($A167,informe!$A:$J,9,FALSE),"cg","c"),"n")</f>
        <v>n</v>
      </c>
      <c r="I167" s="195" t="str">
        <f>IF(AND(I$3&gt;=$D167,I$3&lt;=$E167),IF((I$3-$D167+1)*VLOOKUP($A167,presupuesto!$B:$Q,16,FALSE)&gt;=VLOOKUP($A167,informe!$A:$J,9,FALSE),"cg","c"),"n")</f>
        <v>n</v>
      </c>
      <c r="J167" s="195" t="str">
        <f>IF(AND(J$3&gt;=$D167,J$3&lt;=$E167),IF((J$3-$D167+1)*VLOOKUP($A167,presupuesto!$B:$Q,16,FALSE)&gt;=VLOOKUP($A167,informe!$A:$J,9,FALSE),"cg","c"),"n")</f>
        <v>n</v>
      </c>
      <c r="K167" s="195" t="str">
        <f>IF(AND(K$3&gt;=$D167,K$3&lt;=$E167),IF((K$3-$D167+1)*VLOOKUP($A167,presupuesto!$B:$Q,16,FALSE)&gt;=VLOOKUP($A167,informe!$A:$J,9,FALSE),"cg","c"),"n")</f>
        <v>n</v>
      </c>
      <c r="L167" s="195" t="str">
        <f>IF(AND(L$3&gt;=$D167,L$3&lt;=$E167),IF((L$3-$D167+1)*VLOOKUP($A167,presupuesto!$B:$Q,16,FALSE)&gt;=VLOOKUP($A167,informe!$A:$J,9,FALSE),"cg","c"),"n")</f>
        <v>n</v>
      </c>
      <c r="M167" s="195" t="str">
        <f>IF(AND(M$3&gt;=$D167,M$3&lt;=$E167),IF((M$3-$D167+1)*VLOOKUP($A167,presupuesto!$B:$Q,16,FALSE)&gt;=VLOOKUP($A167,informe!$A:$J,9,FALSE),"cg","c"),"n")</f>
        <v>n</v>
      </c>
      <c r="N167" s="195" t="str">
        <f>IF(AND(N$3&gt;=$D167,N$3&lt;=$E167),IF((N$3-$D167+1)*VLOOKUP($A167,presupuesto!$B:$Q,16,FALSE)&gt;=VLOOKUP($A167,informe!$A:$J,9,FALSE),"cg","c"),"n")</f>
        <v>n</v>
      </c>
      <c r="O167" s="195" t="str">
        <f>IF(AND(O$3&gt;=$D167,O$3&lt;=$E167),IF((O$3-$D167+1)*VLOOKUP($A167,presupuesto!$B:$Q,16,FALSE)&gt;=VLOOKUP($A167,informe!$A:$J,9,FALSE),"cg","c"),"n")</f>
        <v>n</v>
      </c>
      <c r="P167" s="195" t="str">
        <f>IF(AND(P$3&gt;=$D167,P$3&lt;=$E167),IF((P$3-$D167+1)*VLOOKUP($A167,presupuesto!$B:$Q,16,FALSE)&gt;=VLOOKUP($A167,informe!$A:$J,9,FALSE),"cg","c"),"n")</f>
        <v>n</v>
      </c>
      <c r="Q167" s="195" t="str">
        <f>IF(AND(Q$3&gt;=$D167,Q$3&lt;=$E167),IF((Q$3-$D167+1)*VLOOKUP($A167,presupuesto!$B:$Q,16,FALSE)&gt;=VLOOKUP($A167,informe!$A:$J,9,FALSE),"cg","c"),"n")</f>
        <v>n</v>
      </c>
      <c r="R167" s="195" t="str">
        <f>IF(AND(R$3&gt;=$D167,R$3&lt;=$E167),IF((R$3-$D167+1)*VLOOKUP($A167,presupuesto!$B:$Q,16,FALSE)&gt;=VLOOKUP($A167,informe!$A:$J,9,FALSE),"cg","c"),"n")</f>
        <v>n</v>
      </c>
      <c r="S167" s="195" t="str">
        <f>IF(AND(S$3&gt;=$D167,S$3&lt;=$E167),IF((S$3-$D167+1)*VLOOKUP($A167,presupuesto!$B:$Q,16,FALSE)&gt;=VLOOKUP($A167,informe!$A:$J,9,FALSE),"cg","c"),"n")</f>
        <v>n</v>
      </c>
      <c r="T167" s="195" t="str">
        <f>IF(AND(T$3&gt;=$D167,T$3&lt;=$E167),IF((T$3-$D167+1)*VLOOKUP($A167,presupuesto!$B:$Q,16,FALSE)&gt;=VLOOKUP($A167,informe!$A:$J,9,FALSE),"cg","c"),"n")</f>
        <v>n</v>
      </c>
      <c r="U167" s="195" t="str">
        <f>IF(AND(U$3&gt;=$D167,U$3&lt;=$E167),IF((U$3-$D167+1)*VLOOKUP($A167,presupuesto!$B:$Q,16,FALSE)&gt;=VLOOKUP($A167,informe!$A:$J,9,FALSE),"cg","c"),"n")</f>
        <v>n</v>
      </c>
      <c r="V167" s="195" t="str">
        <f>IF(AND(V$3&gt;=$D167,V$3&lt;=$E167),IF((V$3-$D167+1)*VLOOKUP($A167,presupuesto!$B:$Q,16,FALSE)&gt;=VLOOKUP($A167,informe!$A:$J,9,FALSE),"cg","c"),"n")</f>
        <v>n</v>
      </c>
      <c r="W167" s="195" t="str">
        <f>IF(AND(W$3&gt;=$D167,W$3&lt;=$E167),IF((W$3-$D167+1)*VLOOKUP($A167,presupuesto!$B:$Q,16,FALSE)&gt;=VLOOKUP($A167,informe!$A:$J,9,FALSE),"cg","c"),"n")</f>
        <v>n</v>
      </c>
      <c r="X167" s="195" t="str">
        <f>IF(AND(X$3&gt;=$D167,X$3&lt;=$E167),IF((X$3-$D167+1)*VLOOKUP($A167,presupuesto!$B:$Q,16,FALSE)&gt;=VLOOKUP($A167,informe!$A:$J,9,FALSE),"cg","c"),"n")</f>
        <v>n</v>
      </c>
      <c r="Y167" s="195" t="str">
        <f>IF(AND(Y$3&gt;=$D167,Y$3&lt;=$E167),IF((Y$3-$D167+1)*VLOOKUP($A167,presupuesto!$B:$Q,16,FALSE)&gt;=VLOOKUP($A167,informe!$A:$J,9,FALSE),"cg","c"),"n")</f>
        <v>n</v>
      </c>
      <c r="Z167" s="195" t="str">
        <f>IF(AND(Z$3&gt;=$D167,Z$3&lt;=$E167),IF((Z$3-$D167+1)*VLOOKUP($A167,presupuesto!$B:$Q,16,FALSE)&gt;=VLOOKUP($A167,informe!$A:$J,9,FALSE),"cg","c"),"n")</f>
        <v>n</v>
      </c>
      <c r="AA167" s="195" t="str">
        <f>IF(AND(AA$3&gt;=$D167,AA$3&lt;=$E167),IF((AA$3-$D167+1)*VLOOKUP($A167,presupuesto!$B:$Q,16,FALSE)&gt;=VLOOKUP($A167,informe!$A:$J,9,FALSE),"cg","c"),"n")</f>
        <v>n</v>
      </c>
      <c r="AB167" s="195" t="str">
        <f>IF(AND(AB$3&gt;=$D167,AB$3&lt;=$E167),IF((AB$3-$D167+1)*VLOOKUP($A167,presupuesto!$B:$Q,16,FALSE)&gt;=VLOOKUP($A167,informe!$A:$J,9,FALSE),"cg","c"),"n")</f>
        <v>n</v>
      </c>
      <c r="AC167" s="195" t="str">
        <f>IF(AND(AC$3&gt;=$D167,AC$3&lt;=$E167),IF((AC$3-$D167+1)*VLOOKUP($A167,presupuesto!$B:$Q,16,FALSE)&gt;=VLOOKUP($A167,informe!$A:$J,9,FALSE),"cg","c"),"n")</f>
        <v>n</v>
      </c>
      <c r="AD167" s="195" t="str">
        <f>IF(AND(AD$3&gt;=$D167,AD$3&lt;=$E167),IF((AD$3-$D167+1)*VLOOKUP($A167,presupuesto!$B:$Q,16,FALSE)&gt;=VLOOKUP($A167,informe!$A:$J,9,FALSE),"cg","c"),"n")</f>
        <v>n</v>
      </c>
      <c r="AE167" s="195" t="str">
        <f>IF(AND(AE$3&gt;=$D167,AE$3&lt;=$E167),IF((AE$3-$D167+1)*VLOOKUP($A167,presupuesto!$B:$Q,16,FALSE)&gt;=VLOOKUP($A167,informe!$A:$J,9,FALSE),"cg","c"),"n")</f>
        <v>n</v>
      </c>
      <c r="AF167" s="195" t="str">
        <f>IF(AND(AF$3&gt;=$D167,AF$3&lt;=$E167),IF((AF$3-$D167+1)*VLOOKUP($A167,presupuesto!$B:$Q,16,FALSE)&gt;=VLOOKUP($A167,informe!$A:$J,9,FALSE),"cg","c"),"n")</f>
        <v>n</v>
      </c>
      <c r="AG167" s="195" t="str">
        <f>IF(AND(AG$3&gt;=$D167,AG$3&lt;=$E167),IF((AG$3-$D167+1)*VLOOKUP($A167,presupuesto!$B:$Q,16,FALSE)&gt;=VLOOKUP($A167,informe!$A:$J,9,FALSE),"cg","c"),"n")</f>
        <v>n</v>
      </c>
      <c r="AH167" s="195" t="str">
        <f>IF(AND(AH$3&gt;=$D167,AH$3&lt;=$E167),IF((AH$3-$D167+1)*VLOOKUP($A167,presupuesto!$B:$Q,16,FALSE)&gt;=VLOOKUP($A167,informe!$A:$J,9,FALSE),"cg","c"),"n")</f>
        <v>n</v>
      </c>
      <c r="AI167" s="195" t="str">
        <f>IF(AND(AI$3&gt;=$D167,AI$3&lt;=$E167),IF((AI$3-$D167+1)*VLOOKUP($A167,presupuesto!$B:$Q,16,FALSE)&gt;=VLOOKUP($A167,informe!$A:$J,9,FALSE),"cg","c"),"n")</f>
        <v>n</v>
      </c>
      <c r="AJ167" s="195" t="str">
        <f>IF(AND(AJ$3&gt;=$D167,AJ$3&lt;=$E167),IF((AJ$3-$D167+1)*VLOOKUP($A167,presupuesto!$B:$Q,16,FALSE)&gt;=VLOOKUP($A167,informe!$A:$J,9,FALSE),"cg","c"),"n")</f>
        <v>n</v>
      </c>
      <c r="AK167" s="196" t="str">
        <f>IF(AND(AK$3&gt;=$D167,AK$3&lt;=$E167),IF((AK$3-$D167+1)*VLOOKUP($A167,presupuesto!$B:$Q,16,FALSE)&gt;=VLOOKUP($A167,informe!$A:$J,9,FALSE),"cg","c"),"n")</f>
        <v>n</v>
      </c>
    </row>
    <row r="168" spans="1:37" x14ac:dyDescent="0.25">
      <c r="A168" s="199">
        <f>presupuesto!B167</f>
        <v>116</v>
      </c>
      <c r="B168" s="182" t="str">
        <f>presupuesto!C167</f>
        <v xml:space="preserve">      CIRCUITO ENCHUFE PLANTA RyT TDFA Y C</v>
      </c>
      <c r="C168" s="200" t="str">
        <f>presupuesto!G167</f>
        <v>20 días</v>
      </c>
      <c r="D168" s="201">
        <f>presupuesto!N167</f>
        <v>45775</v>
      </c>
      <c r="E168" s="201">
        <f>presupuesto!O167</f>
        <v>45794</v>
      </c>
      <c r="F168" s="202" t="str">
        <f>IF(AK168="n",CONCATENATE(" - "),IF(AK168="cg",CONCATENATE(" - "),CONCATENATE(ROUND(IFERROR(VLOOKUP(A168,informe!A:J,9,FALSE)/VLOOKUP(A168,informe!A:J,5,FALSE),0)*100,2),"% ")))</f>
        <v xml:space="preserve"> - </v>
      </c>
      <c r="G168" s="203" t="str">
        <f>IF(AND(G$3&gt;=$D168,G$3&lt;=$E168),IF((G$3-$D168+1)*VLOOKUP($A168,presupuesto!$B:$Q,16,FALSE)&gt;=VLOOKUP($A168,informe!$A:$J,9,FALSE),"cg","c"),"n")</f>
        <v>n</v>
      </c>
      <c r="H168" s="203" t="str">
        <f>IF(AND(H$3&gt;=$D168,H$3&lt;=$E168),IF((H$3-$D168+1)*VLOOKUP($A168,presupuesto!$B:$Q,16,FALSE)&gt;=VLOOKUP($A168,informe!$A:$J,9,FALSE),"cg","c"),"n")</f>
        <v>n</v>
      </c>
      <c r="I168" s="203" t="str">
        <f>IF(AND(I$3&gt;=$D168,I$3&lt;=$E168),IF((I$3-$D168+1)*VLOOKUP($A168,presupuesto!$B:$Q,16,FALSE)&gt;=VLOOKUP($A168,informe!$A:$J,9,FALSE),"cg","c"),"n")</f>
        <v>n</v>
      </c>
      <c r="J168" s="203" t="str">
        <f>IF(AND(J$3&gt;=$D168,J$3&lt;=$E168),IF((J$3-$D168+1)*VLOOKUP($A168,presupuesto!$B:$Q,16,FALSE)&gt;=VLOOKUP($A168,informe!$A:$J,9,FALSE),"cg","c"),"n")</f>
        <v>n</v>
      </c>
      <c r="K168" s="203" t="str">
        <f>IF(AND(K$3&gt;=$D168,K$3&lt;=$E168),IF((K$3-$D168+1)*VLOOKUP($A168,presupuesto!$B:$Q,16,FALSE)&gt;=VLOOKUP($A168,informe!$A:$J,9,FALSE),"cg","c"),"n")</f>
        <v>n</v>
      </c>
      <c r="L168" s="203" t="str">
        <f>IF(AND(L$3&gt;=$D168,L$3&lt;=$E168),IF((L$3-$D168+1)*VLOOKUP($A168,presupuesto!$B:$Q,16,FALSE)&gt;=VLOOKUP($A168,informe!$A:$J,9,FALSE),"cg","c"),"n")</f>
        <v>n</v>
      </c>
      <c r="M168" s="203" t="str">
        <f>IF(AND(M$3&gt;=$D168,M$3&lt;=$E168),IF((M$3-$D168+1)*VLOOKUP($A168,presupuesto!$B:$Q,16,FALSE)&gt;=VLOOKUP($A168,informe!$A:$J,9,FALSE),"cg","c"),"n")</f>
        <v>n</v>
      </c>
      <c r="N168" s="203" t="str">
        <f>IF(AND(N$3&gt;=$D168,N$3&lt;=$E168),IF((N$3-$D168+1)*VLOOKUP($A168,presupuesto!$B:$Q,16,FALSE)&gt;=VLOOKUP($A168,informe!$A:$J,9,FALSE),"cg","c"),"n")</f>
        <v>n</v>
      </c>
      <c r="O168" s="203" t="str">
        <f>IF(AND(O$3&gt;=$D168,O$3&lt;=$E168),IF((O$3-$D168+1)*VLOOKUP($A168,presupuesto!$B:$Q,16,FALSE)&gt;=VLOOKUP($A168,informe!$A:$J,9,FALSE),"cg","c"),"n")</f>
        <v>n</v>
      </c>
      <c r="P168" s="203" t="str">
        <f>IF(AND(P$3&gt;=$D168,P$3&lt;=$E168),IF((P$3-$D168+1)*VLOOKUP($A168,presupuesto!$B:$Q,16,FALSE)&gt;=VLOOKUP($A168,informe!$A:$J,9,FALSE),"cg","c"),"n")</f>
        <v>n</v>
      </c>
      <c r="Q168" s="203" t="str">
        <f>IF(AND(Q$3&gt;=$D168,Q$3&lt;=$E168),IF((Q$3-$D168+1)*VLOOKUP($A168,presupuesto!$B:$Q,16,FALSE)&gt;=VLOOKUP($A168,informe!$A:$J,9,FALSE),"cg","c"),"n")</f>
        <v>n</v>
      </c>
      <c r="R168" s="203" t="str">
        <f>IF(AND(R$3&gt;=$D168,R$3&lt;=$E168),IF((R$3-$D168+1)*VLOOKUP($A168,presupuesto!$B:$Q,16,FALSE)&gt;=VLOOKUP($A168,informe!$A:$J,9,FALSE),"cg","c"),"n")</f>
        <v>n</v>
      </c>
      <c r="S168" s="203" t="str">
        <f>IF(AND(S$3&gt;=$D168,S$3&lt;=$E168),IF((S$3-$D168+1)*VLOOKUP($A168,presupuesto!$B:$Q,16,FALSE)&gt;=VLOOKUP($A168,informe!$A:$J,9,FALSE),"cg","c"),"n")</f>
        <v>n</v>
      </c>
      <c r="T168" s="203" t="str">
        <f>IF(AND(T$3&gt;=$D168,T$3&lt;=$E168),IF((T$3-$D168+1)*VLOOKUP($A168,presupuesto!$B:$Q,16,FALSE)&gt;=VLOOKUP($A168,informe!$A:$J,9,FALSE),"cg","c"),"n")</f>
        <v>n</v>
      </c>
      <c r="U168" s="203" t="str">
        <f>IF(AND(U$3&gt;=$D168,U$3&lt;=$E168),IF((U$3-$D168+1)*VLOOKUP($A168,presupuesto!$B:$Q,16,FALSE)&gt;=VLOOKUP($A168,informe!$A:$J,9,FALSE),"cg","c"),"n")</f>
        <v>n</v>
      </c>
      <c r="V168" s="203" t="str">
        <f>IF(AND(V$3&gt;=$D168,V$3&lt;=$E168),IF((V$3-$D168+1)*VLOOKUP($A168,presupuesto!$B:$Q,16,FALSE)&gt;=VLOOKUP($A168,informe!$A:$J,9,FALSE),"cg","c"),"n")</f>
        <v>n</v>
      </c>
      <c r="W168" s="203" t="str">
        <f>IF(AND(W$3&gt;=$D168,W$3&lt;=$E168),IF((W$3-$D168+1)*VLOOKUP($A168,presupuesto!$B:$Q,16,FALSE)&gt;=VLOOKUP($A168,informe!$A:$J,9,FALSE),"cg","c"),"n")</f>
        <v>n</v>
      </c>
      <c r="X168" s="203" t="str">
        <f>IF(AND(X$3&gt;=$D168,X$3&lt;=$E168),IF((X$3-$D168+1)*VLOOKUP($A168,presupuesto!$B:$Q,16,FALSE)&gt;=VLOOKUP($A168,informe!$A:$J,9,FALSE),"cg","c"),"n")</f>
        <v>n</v>
      </c>
      <c r="Y168" s="203" t="str">
        <f>IF(AND(Y$3&gt;=$D168,Y$3&lt;=$E168),IF((Y$3-$D168+1)*VLOOKUP($A168,presupuesto!$B:$Q,16,FALSE)&gt;=VLOOKUP($A168,informe!$A:$J,9,FALSE),"cg","c"),"n")</f>
        <v>n</v>
      </c>
      <c r="Z168" s="203" t="str">
        <f>IF(AND(Z$3&gt;=$D168,Z$3&lt;=$E168),IF((Z$3-$D168+1)*VLOOKUP($A168,presupuesto!$B:$Q,16,FALSE)&gt;=VLOOKUP($A168,informe!$A:$J,9,FALSE),"cg","c"),"n")</f>
        <v>n</v>
      </c>
      <c r="AA168" s="203" t="str">
        <f>IF(AND(AA$3&gt;=$D168,AA$3&lt;=$E168),IF((AA$3-$D168+1)*VLOOKUP($A168,presupuesto!$B:$Q,16,FALSE)&gt;=VLOOKUP($A168,informe!$A:$J,9,FALSE),"cg","c"),"n")</f>
        <v>n</v>
      </c>
      <c r="AB168" s="203" t="str">
        <f>IF(AND(AB$3&gt;=$D168,AB$3&lt;=$E168),IF((AB$3-$D168+1)*VLOOKUP($A168,presupuesto!$B:$Q,16,FALSE)&gt;=VLOOKUP($A168,informe!$A:$J,9,FALSE),"cg","c"),"n")</f>
        <v>n</v>
      </c>
      <c r="AC168" s="203" t="str">
        <f>IF(AND(AC$3&gt;=$D168,AC$3&lt;=$E168),IF((AC$3-$D168+1)*VLOOKUP($A168,presupuesto!$B:$Q,16,FALSE)&gt;=VLOOKUP($A168,informe!$A:$J,9,FALSE),"cg","c"),"n")</f>
        <v>n</v>
      </c>
      <c r="AD168" s="203" t="str">
        <f>IF(AND(AD$3&gt;=$D168,AD$3&lt;=$E168),IF((AD$3-$D168+1)*VLOOKUP($A168,presupuesto!$B:$Q,16,FALSE)&gt;=VLOOKUP($A168,informe!$A:$J,9,FALSE),"cg","c"),"n")</f>
        <v>n</v>
      </c>
      <c r="AE168" s="203" t="str">
        <f>IF(AND(AE$3&gt;=$D168,AE$3&lt;=$E168),IF((AE$3-$D168+1)*VLOOKUP($A168,presupuesto!$B:$Q,16,FALSE)&gt;=VLOOKUP($A168,informe!$A:$J,9,FALSE),"cg","c"),"n")</f>
        <v>n</v>
      </c>
      <c r="AF168" s="203" t="str">
        <f>IF(AND(AF$3&gt;=$D168,AF$3&lt;=$E168),IF((AF$3-$D168+1)*VLOOKUP($A168,presupuesto!$B:$Q,16,FALSE)&gt;=VLOOKUP($A168,informe!$A:$J,9,FALSE),"cg","c"),"n")</f>
        <v>n</v>
      </c>
      <c r="AG168" s="203" t="str">
        <f>IF(AND(AG$3&gt;=$D168,AG$3&lt;=$E168),IF((AG$3-$D168+1)*VLOOKUP($A168,presupuesto!$B:$Q,16,FALSE)&gt;=VLOOKUP($A168,informe!$A:$J,9,FALSE),"cg","c"),"n")</f>
        <v>n</v>
      </c>
      <c r="AH168" s="203" t="str">
        <f>IF(AND(AH$3&gt;=$D168,AH$3&lt;=$E168),IF((AH$3-$D168+1)*VLOOKUP($A168,presupuesto!$B:$Q,16,FALSE)&gt;=VLOOKUP($A168,informe!$A:$J,9,FALSE),"cg","c"),"n")</f>
        <v>n</v>
      </c>
      <c r="AI168" s="203" t="str">
        <f>IF(AND(AI$3&gt;=$D168,AI$3&lt;=$E168),IF((AI$3-$D168+1)*VLOOKUP($A168,presupuesto!$B:$Q,16,FALSE)&gt;=VLOOKUP($A168,informe!$A:$J,9,FALSE),"cg","c"),"n")</f>
        <v>n</v>
      </c>
      <c r="AJ168" s="203" t="str">
        <f>IF(AND(AJ$3&gt;=$D168,AJ$3&lt;=$E168),IF((AJ$3-$D168+1)*VLOOKUP($A168,presupuesto!$B:$Q,16,FALSE)&gt;=VLOOKUP($A168,informe!$A:$J,9,FALSE),"cg","c"),"n")</f>
        <v>n</v>
      </c>
      <c r="AK168" s="204" t="str">
        <f>IF(AND(AK$3&gt;=$D168,AK$3&lt;=$E168),IF((AK$3-$D168+1)*VLOOKUP($A168,presupuesto!$B:$Q,16,FALSE)&gt;=VLOOKUP($A168,informe!$A:$J,9,FALSE),"cg","c"),"n")</f>
        <v>n</v>
      </c>
    </row>
  </sheetData>
  <sheetProtection selectLockedCells="1" selectUnlockedCells="1"/>
  <mergeCells count="6">
    <mergeCell ref="A2:A3"/>
    <mergeCell ref="F2:F3"/>
    <mergeCell ref="B2:B3"/>
    <mergeCell ref="C2:C3"/>
    <mergeCell ref="D2:D3"/>
    <mergeCell ref="E2:E3"/>
  </mergeCells>
  <conditionalFormatting sqref="G2:AK2">
    <cfRule type="expression" dxfId="12" priority="14">
      <formula>WEEKDAY(G3,2) &gt; 5</formula>
    </cfRule>
  </conditionalFormatting>
  <conditionalFormatting sqref="G4:AK168">
    <cfRule type="cellIs" dxfId="11" priority="7" operator="equal">
      <formula>"cg"</formula>
    </cfRule>
    <cfRule type="cellIs" dxfId="10" priority="8" operator="equal">
      <formula>"c"</formula>
    </cfRule>
  </conditionalFormatting>
  <conditionalFormatting sqref="H3:XFD3">
    <cfRule type="cellIs" dxfId="9" priority="17" operator="equal">
      <formula>TODAY()</formula>
    </cfRule>
  </conditionalFormatting>
  <conditionalFormatting sqref="B4:B168 G4:AK168">
    <cfRule type="cellIs" dxfId="8" priority="16" operator="equal">
      <formula>"n"</formula>
    </cfRule>
  </conditionalFormatting>
  <conditionalFormatting sqref="B1">
    <cfRule type="cellIs" dxfId="7" priority="1" operator="equal">
      <formula>3</formula>
    </cfRule>
    <cfRule type="cellIs" dxfId="6" priority="2" operator="equal">
      <formula>2</formula>
    </cfRule>
    <cfRule type="cellIs" dxfId="5" priority="3" operator="equal">
      <formula>1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20" orientation="landscape" horizontalDpi="4294967294" verticalDpi="4294967293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G176"/>
  <sheetViews>
    <sheetView zoomScaleNormal="100" workbookViewId="0">
      <pane xSplit="8" ySplit="3" topLeftCell="I4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baseColWidth="10" defaultRowHeight="12.5" outlineLevelCol="2" x14ac:dyDescent="0.25"/>
  <cols>
    <col min="1" max="1" width="13.81640625" style="6" customWidth="1" outlineLevel="2"/>
    <col min="2" max="2" width="10.26953125" style="6" customWidth="1" outlineLevel="2"/>
    <col min="3" max="3" width="11.453125" style="167" customWidth="1" outlineLevel="2"/>
    <col min="4" max="4" width="3.1796875" style="13" customWidth="1" outlineLevel="1"/>
    <col min="5" max="5" width="6.08984375" style="13" customWidth="1" outlineLevel="1"/>
    <col min="6" max="6" width="8.1796875" style="13" customWidth="1" outlineLevel="1"/>
    <col min="7" max="7" width="3.1796875" style="13" customWidth="1" outlineLevel="1"/>
    <col min="8" max="8" width="65.36328125" style="6" customWidth="1"/>
    <col min="9" max="12" width="5.6328125" style="13" customWidth="1"/>
    <col min="13" max="26" width="5.6328125" style="6" customWidth="1"/>
    <col min="27" max="27" width="5.6328125" style="13" customWidth="1"/>
    <col min="28" max="33" width="5.6328125" style="6" customWidth="1"/>
    <col min="34" max="46" width="5.6328125" style="13" customWidth="1"/>
    <col min="47" max="47" width="5.6328125" style="14" customWidth="1"/>
    <col min="48" max="52" width="5.6328125" style="13" customWidth="1"/>
    <col min="53" max="53" width="5.6328125" style="6" customWidth="1"/>
    <col min="54" max="55" width="5.6328125" style="13" customWidth="1"/>
    <col min="56" max="61" width="5.6328125" style="6" customWidth="1"/>
    <col min="62" max="64" width="5.6328125" style="3" customWidth="1"/>
    <col min="65" max="65" width="3.08984375" style="3" bestFit="1" customWidth="1"/>
    <col min="66" max="293" width="5.6328125" style="3" customWidth="1"/>
    <col min="294" max="314" width="2.7265625" style="3" customWidth="1"/>
    <col min="315" max="508" width="11.453125" style="3"/>
    <col min="509" max="509" width="45.453125" style="3" bestFit="1" customWidth="1"/>
    <col min="510" max="514" width="2.7265625" style="3" customWidth="1"/>
    <col min="515" max="515" width="5.26953125" style="3" bestFit="1" customWidth="1"/>
    <col min="516" max="516" width="3" style="3" bestFit="1" customWidth="1"/>
    <col min="517" max="570" width="2.7265625" style="3" customWidth="1"/>
    <col min="571" max="764" width="11.453125" style="3"/>
    <col min="765" max="765" width="45.453125" style="3" bestFit="1" customWidth="1"/>
    <col min="766" max="770" width="2.7265625" style="3" customWidth="1"/>
    <col min="771" max="771" width="5.26953125" style="3" bestFit="1" customWidth="1"/>
    <col min="772" max="772" width="3" style="3" bestFit="1" customWidth="1"/>
    <col min="773" max="826" width="2.7265625" style="3" customWidth="1"/>
    <col min="827" max="1020" width="11.453125" style="3"/>
    <col min="1021" max="1021" width="45.453125" style="3" bestFit="1" customWidth="1"/>
    <col min="1022" max="1026" width="2.7265625" style="3" customWidth="1"/>
    <col min="1027" max="1027" width="5.26953125" style="3" bestFit="1" customWidth="1"/>
    <col min="1028" max="1028" width="3" style="3" bestFit="1" customWidth="1"/>
    <col min="1029" max="1082" width="2.7265625" style="3" customWidth="1"/>
    <col min="1083" max="1276" width="11.453125" style="3"/>
    <col min="1277" max="1277" width="45.453125" style="3" bestFit="1" customWidth="1"/>
    <col min="1278" max="1282" width="2.7265625" style="3" customWidth="1"/>
    <col min="1283" max="1283" width="5.26953125" style="3" bestFit="1" customWidth="1"/>
    <col min="1284" max="1284" width="3" style="3" bestFit="1" customWidth="1"/>
    <col min="1285" max="1338" width="2.7265625" style="3" customWidth="1"/>
    <col min="1339" max="1532" width="11.453125" style="3"/>
    <col min="1533" max="1533" width="45.453125" style="3" bestFit="1" customWidth="1"/>
    <col min="1534" max="1538" width="2.7265625" style="3" customWidth="1"/>
    <col min="1539" max="1539" width="5.26953125" style="3" bestFit="1" customWidth="1"/>
    <col min="1540" max="1540" width="3" style="3" bestFit="1" customWidth="1"/>
    <col min="1541" max="1594" width="2.7265625" style="3" customWidth="1"/>
    <col min="1595" max="1788" width="11.453125" style="3"/>
    <col min="1789" max="1789" width="45.453125" style="3" bestFit="1" customWidth="1"/>
    <col min="1790" max="1794" width="2.7265625" style="3" customWidth="1"/>
    <col min="1795" max="1795" width="5.26953125" style="3" bestFit="1" customWidth="1"/>
    <col min="1796" max="1796" width="3" style="3" bestFit="1" customWidth="1"/>
    <col min="1797" max="1850" width="2.7265625" style="3" customWidth="1"/>
    <col min="1851" max="2044" width="11.453125" style="3"/>
    <col min="2045" max="2045" width="45.453125" style="3" bestFit="1" customWidth="1"/>
    <col min="2046" max="2050" width="2.7265625" style="3" customWidth="1"/>
    <col min="2051" max="2051" width="5.26953125" style="3" bestFit="1" customWidth="1"/>
    <col min="2052" max="2052" width="3" style="3" bestFit="1" customWidth="1"/>
    <col min="2053" max="2106" width="2.7265625" style="3" customWidth="1"/>
    <col min="2107" max="2300" width="11.453125" style="3"/>
    <col min="2301" max="2301" width="45.453125" style="3" bestFit="1" customWidth="1"/>
    <col min="2302" max="2306" width="2.7265625" style="3" customWidth="1"/>
    <col min="2307" max="2307" width="5.26953125" style="3" bestFit="1" customWidth="1"/>
    <col min="2308" max="2308" width="3" style="3" bestFit="1" customWidth="1"/>
    <col min="2309" max="2362" width="2.7265625" style="3" customWidth="1"/>
    <col min="2363" max="2556" width="11.453125" style="3"/>
    <col min="2557" max="2557" width="45.453125" style="3" bestFit="1" customWidth="1"/>
    <col min="2558" max="2562" width="2.7265625" style="3" customWidth="1"/>
    <col min="2563" max="2563" width="5.26953125" style="3" bestFit="1" customWidth="1"/>
    <col min="2564" max="2564" width="3" style="3" bestFit="1" customWidth="1"/>
    <col min="2565" max="2618" width="2.7265625" style="3" customWidth="1"/>
    <col min="2619" max="2812" width="11.453125" style="3"/>
    <col min="2813" max="2813" width="45.453125" style="3" bestFit="1" customWidth="1"/>
    <col min="2814" max="2818" width="2.7265625" style="3" customWidth="1"/>
    <col min="2819" max="2819" width="5.26953125" style="3" bestFit="1" customWidth="1"/>
    <col min="2820" max="2820" width="3" style="3" bestFit="1" customWidth="1"/>
    <col min="2821" max="2874" width="2.7265625" style="3" customWidth="1"/>
    <col min="2875" max="3068" width="11.453125" style="3"/>
    <col min="3069" max="3069" width="45.453125" style="3" bestFit="1" customWidth="1"/>
    <col min="3070" max="3074" width="2.7265625" style="3" customWidth="1"/>
    <col min="3075" max="3075" width="5.26953125" style="3" bestFit="1" customWidth="1"/>
    <col min="3076" max="3076" width="3" style="3" bestFit="1" customWidth="1"/>
    <col min="3077" max="3130" width="2.7265625" style="3" customWidth="1"/>
    <col min="3131" max="3324" width="11.453125" style="3"/>
    <col min="3325" max="3325" width="45.453125" style="3" bestFit="1" customWidth="1"/>
    <col min="3326" max="3330" width="2.7265625" style="3" customWidth="1"/>
    <col min="3331" max="3331" width="5.26953125" style="3" bestFit="1" customWidth="1"/>
    <col min="3332" max="3332" width="3" style="3" bestFit="1" customWidth="1"/>
    <col min="3333" max="3386" width="2.7265625" style="3" customWidth="1"/>
    <col min="3387" max="3580" width="11.453125" style="3"/>
    <col min="3581" max="3581" width="45.453125" style="3" bestFit="1" customWidth="1"/>
    <col min="3582" max="3586" width="2.7265625" style="3" customWidth="1"/>
    <col min="3587" max="3587" width="5.26953125" style="3" bestFit="1" customWidth="1"/>
    <col min="3588" max="3588" width="3" style="3" bestFit="1" customWidth="1"/>
    <col min="3589" max="3642" width="2.7265625" style="3" customWidth="1"/>
    <col min="3643" max="3836" width="11.453125" style="3"/>
    <col min="3837" max="3837" width="45.453125" style="3" bestFit="1" customWidth="1"/>
    <col min="3838" max="3842" width="2.7265625" style="3" customWidth="1"/>
    <col min="3843" max="3843" width="5.26953125" style="3" bestFit="1" customWidth="1"/>
    <col min="3844" max="3844" width="3" style="3" bestFit="1" customWidth="1"/>
    <col min="3845" max="3898" width="2.7265625" style="3" customWidth="1"/>
    <col min="3899" max="4092" width="11.453125" style="3"/>
    <col min="4093" max="4093" width="45.453125" style="3" bestFit="1" customWidth="1"/>
    <col min="4094" max="4098" width="2.7265625" style="3" customWidth="1"/>
    <col min="4099" max="4099" width="5.26953125" style="3" bestFit="1" customWidth="1"/>
    <col min="4100" max="4100" width="3" style="3" bestFit="1" customWidth="1"/>
    <col min="4101" max="4154" width="2.7265625" style="3" customWidth="1"/>
    <col min="4155" max="4348" width="11.453125" style="3"/>
    <col min="4349" max="4349" width="45.453125" style="3" bestFit="1" customWidth="1"/>
    <col min="4350" max="4354" width="2.7265625" style="3" customWidth="1"/>
    <col min="4355" max="4355" width="5.26953125" style="3" bestFit="1" customWidth="1"/>
    <col min="4356" max="4356" width="3" style="3" bestFit="1" customWidth="1"/>
    <col min="4357" max="4410" width="2.7265625" style="3" customWidth="1"/>
    <col min="4411" max="4604" width="11.453125" style="3"/>
    <col min="4605" max="4605" width="45.453125" style="3" bestFit="1" customWidth="1"/>
    <col min="4606" max="4610" width="2.7265625" style="3" customWidth="1"/>
    <col min="4611" max="4611" width="5.26953125" style="3" bestFit="1" customWidth="1"/>
    <col min="4612" max="4612" width="3" style="3" bestFit="1" customWidth="1"/>
    <col min="4613" max="4666" width="2.7265625" style="3" customWidth="1"/>
    <col min="4667" max="4860" width="11.453125" style="3"/>
    <col min="4861" max="4861" width="45.453125" style="3" bestFit="1" customWidth="1"/>
    <col min="4862" max="4866" width="2.7265625" style="3" customWidth="1"/>
    <col min="4867" max="4867" width="5.26953125" style="3" bestFit="1" customWidth="1"/>
    <col min="4868" max="4868" width="3" style="3" bestFit="1" customWidth="1"/>
    <col min="4869" max="4922" width="2.7265625" style="3" customWidth="1"/>
    <col min="4923" max="5116" width="11.453125" style="3"/>
    <col min="5117" max="5117" width="45.453125" style="3" bestFit="1" customWidth="1"/>
    <col min="5118" max="5122" width="2.7265625" style="3" customWidth="1"/>
    <col min="5123" max="5123" width="5.26953125" style="3" bestFit="1" customWidth="1"/>
    <col min="5124" max="5124" width="3" style="3" bestFit="1" customWidth="1"/>
    <col min="5125" max="5178" width="2.7265625" style="3" customWidth="1"/>
    <col min="5179" max="5372" width="11.453125" style="3"/>
    <col min="5373" max="5373" width="45.453125" style="3" bestFit="1" customWidth="1"/>
    <col min="5374" max="5378" width="2.7265625" style="3" customWidth="1"/>
    <col min="5379" max="5379" width="5.26953125" style="3" bestFit="1" customWidth="1"/>
    <col min="5380" max="5380" width="3" style="3" bestFit="1" customWidth="1"/>
    <col min="5381" max="5434" width="2.7265625" style="3" customWidth="1"/>
    <col min="5435" max="5628" width="11.453125" style="3"/>
    <col min="5629" max="5629" width="45.453125" style="3" bestFit="1" customWidth="1"/>
    <col min="5630" max="5634" width="2.7265625" style="3" customWidth="1"/>
    <col min="5635" max="5635" width="5.26953125" style="3" bestFit="1" customWidth="1"/>
    <col min="5636" max="5636" width="3" style="3" bestFit="1" customWidth="1"/>
    <col min="5637" max="5690" width="2.7265625" style="3" customWidth="1"/>
    <col min="5691" max="5884" width="11.453125" style="3"/>
    <col min="5885" max="5885" width="45.453125" style="3" bestFit="1" customWidth="1"/>
    <col min="5886" max="5890" width="2.7265625" style="3" customWidth="1"/>
    <col min="5891" max="5891" width="5.26953125" style="3" bestFit="1" customWidth="1"/>
    <col min="5892" max="5892" width="3" style="3" bestFit="1" customWidth="1"/>
    <col min="5893" max="5946" width="2.7265625" style="3" customWidth="1"/>
    <col min="5947" max="6140" width="11.453125" style="3"/>
    <col min="6141" max="6141" width="45.453125" style="3" bestFit="1" customWidth="1"/>
    <col min="6142" max="6146" width="2.7265625" style="3" customWidth="1"/>
    <col min="6147" max="6147" width="5.26953125" style="3" bestFit="1" customWidth="1"/>
    <col min="6148" max="6148" width="3" style="3" bestFit="1" customWidth="1"/>
    <col min="6149" max="6202" width="2.7265625" style="3" customWidth="1"/>
    <col min="6203" max="6396" width="11.453125" style="3"/>
    <col min="6397" max="6397" width="45.453125" style="3" bestFit="1" customWidth="1"/>
    <col min="6398" max="6402" width="2.7265625" style="3" customWidth="1"/>
    <col min="6403" max="6403" width="5.26953125" style="3" bestFit="1" customWidth="1"/>
    <col min="6404" max="6404" width="3" style="3" bestFit="1" customWidth="1"/>
    <col min="6405" max="6458" width="2.7265625" style="3" customWidth="1"/>
    <col min="6459" max="6652" width="11.453125" style="3"/>
    <col min="6653" max="6653" width="45.453125" style="3" bestFit="1" customWidth="1"/>
    <col min="6654" max="6658" width="2.7265625" style="3" customWidth="1"/>
    <col min="6659" max="6659" width="5.26953125" style="3" bestFit="1" customWidth="1"/>
    <col min="6660" max="6660" width="3" style="3" bestFit="1" customWidth="1"/>
    <col min="6661" max="6714" width="2.7265625" style="3" customWidth="1"/>
    <col min="6715" max="6908" width="11.453125" style="3"/>
    <col min="6909" max="6909" width="45.453125" style="3" bestFit="1" customWidth="1"/>
    <col min="6910" max="6914" width="2.7265625" style="3" customWidth="1"/>
    <col min="6915" max="6915" width="5.26953125" style="3" bestFit="1" customWidth="1"/>
    <col min="6916" max="6916" width="3" style="3" bestFit="1" customWidth="1"/>
    <col min="6917" max="6970" width="2.7265625" style="3" customWidth="1"/>
    <col min="6971" max="7164" width="11.453125" style="3"/>
    <col min="7165" max="7165" width="45.453125" style="3" bestFit="1" customWidth="1"/>
    <col min="7166" max="7170" width="2.7265625" style="3" customWidth="1"/>
    <col min="7171" max="7171" width="5.26953125" style="3" bestFit="1" customWidth="1"/>
    <col min="7172" max="7172" width="3" style="3" bestFit="1" customWidth="1"/>
    <col min="7173" max="7226" width="2.7265625" style="3" customWidth="1"/>
    <col min="7227" max="7420" width="11.453125" style="3"/>
    <col min="7421" max="7421" width="45.453125" style="3" bestFit="1" customWidth="1"/>
    <col min="7422" max="7426" width="2.7265625" style="3" customWidth="1"/>
    <col min="7427" max="7427" width="5.26953125" style="3" bestFit="1" customWidth="1"/>
    <col min="7428" max="7428" width="3" style="3" bestFit="1" customWidth="1"/>
    <col min="7429" max="7482" width="2.7265625" style="3" customWidth="1"/>
    <col min="7483" max="7676" width="11.453125" style="3"/>
    <col min="7677" max="7677" width="45.453125" style="3" bestFit="1" customWidth="1"/>
    <col min="7678" max="7682" width="2.7265625" style="3" customWidth="1"/>
    <col min="7683" max="7683" width="5.26953125" style="3" bestFit="1" customWidth="1"/>
    <col min="7684" max="7684" width="3" style="3" bestFit="1" customWidth="1"/>
    <col min="7685" max="7738" width="2.7265625" style="3" customWidth="1"/>
    <col min="7739" max="7932" width="11.453125" style="3"/>
    <col min="7933" max="7933" width="45.453125" style="3" bestFit="1" customWidth="1"/>
    <col min="7934" max="7938" width="2.7265625" style="3" customWidth="1"/>
    <col min="7939" max="7939" width="5.26953125" style="3" bestFit="1" customWidth="1"/>
    <col min="7940" max="7940" width="3" style="3" bestFit="1" customWidth="1"/>
    <col min="7941" max="7994" width="2.7265625" style="3" customWidth="1"/>
    <col min="7995" max="8188" width="11.453125" style="3"/>
    <col min="8189" max="8189" width="45.453125" style="3" bestFit="1" customWidth="1"/>
    <col min="8190" max="8194" width="2.7265625" style="3" customWidth="1"/>
    <col min="8195" max="8195" width="5.26953125" style="3" bestFit="1" customWidth="1"/>
    <col min="8196" max="8196" width="3" style="3" bestFit="1" customWidth="1"/>
    <col min="8197" max="8250" width="2.7265625" style="3" customWidth="1"/>
    <col min="8251" max="8444" width="11.453125" style="3"/>
    <col min="8445" max="8445" width="45.453125" style="3" bestFit="1" customWidth="1"/>
    <col min="8446" max="8450" width="2.7265625" style="3" customWidth="1"/>
    <col min="8451" max="8451" width="5.26953125" style="3" bestFit="1" customWidth="1"/>
    <col min="8452" max="8452" width="3" style="3" bestFit="1" customWidth="1"/>
    <col min="8453" max="8506" width="2.7265625" style="3" customWidth="1"/>
    <col min="8507" max="8700" width="11.453125" style="3"/>
    <col min="8701" max="8701" width="45.453125" style="3" bestFit="1" customWidth="1"/>
    <col min="8702" max="8706" width="2.7265625" style="3" customWidth="1"/>
    <col min="8707" max="8707" width="5.26953125" style="3" bestFit="1" customWidth="1"/>
    <col min="8708" max="8708" width="3" style="3" bestFit="1" customWidth="1"/>
    <col min="8709" max="8762" width="2.7265625" style="3" customWidth="1"/>
    <col min="8763" max="8956" width="11.453125" style="3"/>
    <col min="8957" max="8957" width="45.453125" style="3" bestFit="1" customWidth="1"/>
    <col min="8958" max="8962" width="2.7265625" style="3" customWidth="1"/>
    <col min="8963" max="8963" width="5.26953125" style="3" bestFit="1" customWidth="1"/>
    <col min="8964" max="8964" width="3" style="3" bestFit="1" customWidth="1"/>
    <col min="8965" max="9018" width="2.7265625" style="3" customWidth="1"/>
    <col min="9019" max="9212" width="11.453125" style="3"/>
    <col min="9213" max="9213" width="45.453125" style="3" bestFit="1" customWidth="1"/>
    <col min="9214" max="9218" width="2.7265625" style="3" customWidth="1"/>
    <col min="9219" max="9219" width="5.26953125" style="3" bestFit="1" customWidth="1"/>
    <col min="9220" max="9220" width="3" style="3" bestFit="1" customWidth="1"/>
    <col min="9221" max="9274" width="2.7265625" style="3" customWidth="1"/>
    <col min="9275" max="9468" width="11.453125" style="3"/>
    <col min="9469" max="9469" width="45.453125" style="3" bestFit="1" customWidth="1"/>
    <col min="9470" max="9474" width="2.7265625" style="3" customWidth="1"/>
    <col min="9475" max="9475" width="5.26953125" style="3" bestFit="1" customWidth="1"/>
    <col min="9476" max="9476" width="3" style="3" bestFit="1" customWidth="1"/>
    <col min="9477" max="9530" width="2.7265625" style="3" customWidth="1"/>
    <col min="9531" max="9724" width="11.453125" style="3"/>
    <col min="9725" max="9725" width="45.453125" style="3" bestFit="1" customWidth="1"/>
    <col min="9726" max="9730" width="2.7265625" style="3" customWidth="1"/>
    <col min="9731" max="9731" width="5.26953125" style="3" bestFit="1" customWidth="1"/>
    <col min="9732" max="9732" width="3" style="3" bestFit="1" customWidth="1"/>
    <col min="9733" max="9786" width="2.7265625" style="3" customWidth="1"/>
    <col min="9787" max="9980" width="11.453125" style="3"/>
    <col min="9981" max="9981" width="45.453125" style="3" bestFit="1" customWidth="1"/>
    <col min="9982" max="9986" width="2.7265625" style="3" customWidth="1"/>
    <col min="9987" max="9987" width="5.26953125" style="3" bestFit="1" customWidth="1"/>
    <col min="9988" max="9988" width="3" style="3" bestFit="1" customWidth="1"/>
    <col min="9989" max="10042" width="2.7265625" style="3" customWidth="1"/>
    <col min="10043" max="10236" width="11.453125" style="3"/>
    <col min="10237" max="10237" width="45.453125" style="3" bestFit="1" customWidth="1"/>
    <col min="10238" max="10242" width="2.7265625" style="3" customWidth="1"/>
    <col min="10243" max="10243" width="5.26953125" style="3" bestFit="1" customWidth="1"/>
    <col min="10244" max="10244" width="3" style="3" bestFit="1" customWidth="1"/>
    <col min="10245" max="10298" width="2.7265625" style="3" customWidth="1"/>
    <col min="10299" max="10492" width="11.453125" style="3"/>
    <col min="10493" max="10493" width="45.453125" style="3" bestFit="1" customWidth="1"/>
    <col min="10494" max="10498" width="2.7265625" style="3" customWidth="1"/>
    <col min="10499" max="10499" width="5.26953125" style="3" bestFit="1" customWidth="1"/>
    <col min="10500" max="10500" width="3" style="3" bestFit="1" customWidth="1"/>
    <col min="10501" max="10554" width="2.7265625" style="3" customWidth="1"/>
    <col min="10555" max="10748" width="11.453125" style="3"/>
    <col min="10749" max="10749" width="45.453125" style="3" bestFit="1" customWidth="1"/>
    <col min="10750" max="10754" width="2.7265625" style="3" customWidth="1"/>
    <col min="10755" max="10755" width="5.26953125" style="3" bestFit="1" customWidth="1"/>
    <col min="10756" max="10756" width="3" style="3" bestFit="1" customWidth="1"/>
    <col min="10757" max="10810" width="2.7265625" style="3" customWidth="1"/>
    <col min="10811" max="11004" width="11.453125" style="3"/>
    <col min="11005" max="11005" width="45.453125" style="3" bestFit="1" customWidth="1"/>
    <col min="11006" max="11010" width="2.7265625" style="3" customWidth="1"/>
    <col min="11011" max="11011" width="5.26953125" style="3" bestFit="1" customWidth="1"/>
    <col min="11012" max="11012" width="3" style="3" bestFit="1" customWidth="1"/>
    <col min="11013" max="11066" width="2.7265625" style="3" customWidth="1"/>
    <col min="11067" max="11260" width="11.453125" style="3"/>
    <col min="11261" max="11261" width="45.453125" style="3" bestFit="1" customWidth="1"/>
    <col min="11262" max="11266" width="2.7265625" style="3" customWidth="1"/>
    <col min="11267" max="11267" width="5.26953125" style="3" bestFit="1" customWidth="1"/>
    <col min="11268" max="11268" width="3" style="3" bestFit="1" customWidth="1"/>
    <col min="11269" max="11322" width="2.7265625" style="3" customWidth="1"/>
    <col min="11323" max="11516" width="11.453125" style="3"/>
    <col min="11517" max="11517" width="45.453125" style="3" bestFit="1" customWidth="1"/>
    <col min="11518" max="11522" width="2.7265625" style="3" customWidth="1"/>
    <col min="11523" max="11523" width="5.26953125" style="3" bestFit="1" customWidth="1"/>
    <col min="11524" max="11524" width="3" style="3" bestFit="1" customWidth="1"/>
    <col min="11525" max="11578" width="2.7265625" style="3" customWidth="1"/>
    <col min="11579" max="11772" width="11.453125" style="3"/>
    <col min="11773" max="11773" width="45.453125" style="3" bestFit="1" customWidth="1"/>
    <col min="11774" max="11778" width="2.7265625" style="3" customWidth="1"/>
    <col min="11779" max="11779" width="5.26953125" style="3" bestFit="1" customWidth="1"/>
    <col min="11780" max="11780" width="3" style="3" bestFit="1" customWidth="1"/>
    <col min="11781" max="11834" width="2.7265625" style="3" customWidth="1"/>
    <col min="11835" max="12028" width="11.453125" style="3"/>
    <col min="12029" max="12029" width="45.453125" style="3" bestFit="1" customWidth="1"/>
    <col min="12030" max="12034" width="2.7265625" style="3" customWidth="1"/>
    <col min="12035" max="12035" width="5.26953125" style="3" bestFit="1" customWidth="1"/>
    <col min="12036" max="12036" width="3" style="3" bestFit="1" customWidth="1"/>
    <col min="12037" max="12090" width="2.7265625" style="3" customWidth="1"/>
    <col min="12091" max="12284" width="11.453125" style="3"/>
    <col min="12285" max="12285" width="45.453125" style="3" bestFit="1" customWidth="1"/>
    <col min="12286" max="12290" width="2.7265625" style="3" customWidth="1"/>
    <col min="12291" max="12291" width="5.26953125" style="3" bestFit="1" customWidth="1"/>
    <col min="12292" max="12292" width="3" style="3" bestFit="1" customWidth="1"/>
    <col min="12293" max="12346" width="2.7265625" style="3" customWidth="1"/>
    <col min="12347" max="12540" width="11.453125" style="3"/>
    <col min="12541" max="12541" width="45.453125" style="3" bestFit="1" customWidth="1"/>
    <col min="12542" max="12546" width="2.7265625" style="3" customWidth="1"/>
    <col min="12547" max="12547" width="5.26953125" style="3" bestFit="1" customWidth="1"/>
    <col min="12548" max="12548" width="3" style="3" bestFit="1" customWidth="1"/>
    <col min="12549" max="12602" width="2.7265625" style="3" customWidth="1"/>
    <col min="12603" max="12796" width="11.453125" style="3"/>
    <col min="12797" max="12797" width="45.453125" style="3" bestFit="1" customWidth="1"/>
    <col min="12798" max="12802" width="2.7265625" style="3" customWidth="1"/>
    <col min="12803" max="12803" width="5.26953125" style="3" bestFit="1" customWidth="1"/>
    <col min="12804" max="12804" width="3" style="3" bestFit="1" customWidth="1"/>
    <col min="12805" max="12858" width="2.7265625" style="3" customWidth="1"/>
    <col min="12859" max="13052" width="11.453125" style="3"/>
    <col min="13053" max="13053" width="45.453125" style="3" bestFit="1" customWidth="1"/>
    <col min="13054" max="13058" width="2.7265625" style="3" customWidth="1"/>
    <col min="13059" max="13059" width="5.26953125" style="3" bestFit="1" customWidth="1"/>
    <col min="13060" max="13060" width="3" style="3" bestFit="1" customWidth="1"/>
    <col min="13061" max="13114" width="2.7265625" style="3" customWidth="1"/>
    <col min="13115" max="13308" width="11.453125" style="3"/>
    <col min="13309" max="13309" width="45.453125" style="3" bestFit="1" customWidth="1"/>
    <col min="13310" max="13314" width="2.7265625" style="3" customWidth="1"/>
    <col min="13315" max="13315" width="5.26953125" style="3" bestFit="1" customWidth="1"/>
    <col min="13316" max="13316" width="3" style="3" bestFit="1" customWidth="1"/>
    <col min="13317" max="13370" width="2.7265625" style="3" customWidth="1"/>
    <col min="13371" max="13564" width="11.453125" style="3"/>
    <col min="13565" max="13565" width="45.453125" style="3" bestFit="1" customWidth="1"/>
    <col min="13566" max="13570" width="2.7265625" style="3" customWidth="1"/>
    <col min="13571" max="13571" width="5.26953125" style="3" bestFit="1" customWidth="1"/>
    <col min="13572" max="13572" width="3" style="3" bestFit="1" customWidth="1"/>
    <col min="13573" max="13626" width="2.7265625" style="3" customWidth="1"/>
    <col min="13627" max="13820" width="11.453125" style="3"/>
    <col min="13821" max="13821" width="45.453125" style="3" bestFit="1" customWidth="1"/>
    <col min="13822" max="13826" width="2.7265625" style="3" customWidth="1"/>
    <col min="13827" max="13827" width="5.26953125" style="3" bestFit="1" customWidth="1"/>
    <col min="13828" max="13828" width="3" style="3" bestFit="1" customWidth="1"/>
    <col min="13829" max="13882" width="2.7265625" style="3" customWidth="1"/>
    <col min="13883" max="14076" width="11.453125" style="3"/>
    <col min="14077" max="14077" width="45.453125" style="3" bestFit="1" customWidth="1"/>
    <col min="14078" max="14082" width="2.7265625" style="3" customWidth="1"/>
    <col min="14083" max="14083" width="5.26953125" style="3" bestFit="1" customWidth="1"/>
    <col min="14084" max="14084" width="3" style="3" bestFit="1" customWidth="1"/>
    <col min="14085" max="14138" width="2.7265625" style="3" customWidth="1"/>
    <col min="14139" max="14332" width="11.453125" style="3"/>
    <col min="14333" max="14333" width="45.453125" style="3" bestFit="1" customWidth="1"/>
    <col min="14334" max="14338" width="2.7265625" style="3" customWidth="1"/>
    <col min="14339" max="14339" width="5.26953125" style="3" bestFit="1" customWidth="1"/>
    <col min="14340" max="14340" width="3" style="3" bestFit="1" customWidth="1"/>
    <col min="14341" max="14394" width="2.7265625" style="3" customWidth="1"/>
    <col min="14395" max="14588" width="11.453125" style="3"/>
    <col min="14589" max="14589" width="45.453125" style="3" bestFit="1" customWidth="1"/>
    <col min="14590" max="14594" width="2.7265625" style="3" customWidth="1"/>
    <col min="14595" max="14595" width="5.26953125" style="3" bestFit="1" customWidth="1"/>
    <col min="14596" max="14596" width="3" style="3" bestFit="1" customWidth="1"/>
    <col min="14597" max="14650" width="2.7265625" style="3" customWidth="1"/>
    <col min="14651" max="14844" width="11.453125" style="3"/>
    <col min="14845" max="14845" width="45.453125" style="3" bestFit="1" customWidth="1"/>
    <col min="14846" max="14850" width="2.7265625" style="3" customWidth="1"/>
    <col min="14851" max="14851" width="5.26953125" style="3" bestFit="1" customWidth="1"/>
    <col min="14852" max="14852" width="3" style="3" bestFit="1" customWidth="1"/>
    <col min="14853" max="14906" width="2.7265625" style="3" customWidth="1"/>
    <col min="14907" max="15100" width="11.453125" style="3"/>
    <col min="15101" max="15101" width="45.453125" style="3" bestFit="1" customWidth="1"/>
    <col min="15102" max="15106" width="2.7265625" style="3" customWidth="1"/>
    <col min="15107" max="15107" width="5.26953125" style="3" bestFit="1" customWidth="1"/>
    <col min="15108" max="15108" width="3" style="3" bestFit="1" customWidth="1"/>
    <col min="15109" max="15162" width="2.7265625" style="3" customWidth="1"/>
    <col min="15163" max="15356" width="11.453125" style="3"/>
    <col min="15357" max="15357" width="45.453125" style="3" bestFit="1" customWidth="1"/>
    <col min="15358" max="15362" width="2.7265625" style="3" customWidth="1"/>
    <col min="15363" max="15363" width="5.26953125" style="3" bestFit="1" customWidth="1"/>
    <col min="15364" max="15364" width="3" style="3" bestFit="1" customWidth="1"/>
    <col min="15365" max="15418" width="2.7265625" style="3" customWidth="1"/>
    <col min="15419" max="15612" width="11.453125" style="3"/>
    <col min="15613" max="15613" width="45.453125" style="3" bestFit="1" customWidth="1"/>
    <col min="15614" max="15618" width="2.7265625" style="3" customWidth="1"/>
    <col min="15619" max="15619" width="5.26953125" style="3" bestFit="1" customWidth="1"/>
    <col min="15620" max="15620" width="3" style="3" bestFit="1" customWidth="1"/>
    <col min="15621" max="15674" width="2.7265625" style="3" customWidth="1"/>
    <col min="15675" max="15868" width="11.453125" style="3"/>
    <col min="15869" max="15869" width="45.453125" style="3" bestFit="1" customWidth="1"/>
    <col min="15870" max="15874" width="2.7265625" style="3" customWidth="1"/>
    <col min="15875" max="15875" width="5.26953125" style="3" bestFit="1" customWidth="1"/>
    <col min="15876" max="15876" width="3" style="3" bestFit="1" customWidth="1"/>
    <col min="15877" max="15930" width="2.7265625" style="3" customWidth="1"/>
    <col min="15931" max="16124" width="11.453125" style="3"/>
    <col min="16125" max="16125" width="45.453125" style="3" bestFit="1" customWidth="1"/>
    <col min="16126" max="16130" width="2.7265625" style="3" customWidth="1"/>
    <col min="16131" max="16131" width="5.26953125" style="3" bestFit="1" customWidth="1"/>
    <col min="16132" max="16132" width="3" style="3" bestFit="1" customWidth="1"/>
    <col min="16133" max="16186" width="2.7265625" style="3" customWidth="1"/>
    <col min="16187" max="16380" width="11.453125" style="3"/>
    <col min="16381" max="16384" width="11.453125" style="3" customWidth="1"/>
  </cols>
  <sheetData>
    <row r="1" spans="1:293" s="22" customFormat="1" ht="35.5" customHeight="1" x14ac:dyDescent="0.35">
      <c r="A1" s="169"/>
      <c r="B1" s="21"/>
      <c r="C1" s="20"/>
      <c r="D1" s="21"/>
      <c r="E1" s="21"/>
      <c r="F1" s="21"/>
      <c r="G1" s="21"/>
      <c r="H1" s="64"/>
      <c r="I1" s="19">
        <f>WEEKDAY(I2,2)+1</f>
        <v>3</v>
      </c>
      <c r="J1" s="19">
        <f t="shared" ref="J1:BU1" si="0">WEEKDAY(J2,2)+1</f>
        <v>4</v>
      </c>
      <c r="K1" s="19">
        <f t="shared" si="0"/>
        <v>5</v>
      </c>
      <c r="L1" s="19">
        <f t="shared" si="0"/>
        <v>6</v>
      </c>
      <c r="M1" s="19">
        <f t="shared" si="0"/>
        <v>7</v>
      </c>
      <c r="N1" s="19">
        <f t="shared" si="0"/>
        <v>8</v>
      </c>
      <c r="O1" s="19">
        <f t="shared" si="0"/>
        <v>2</v>
      </c>
      <c r="P1" s="19">
        <f t="shared" si="0"/>
        <v>3</v>
      </c>
      <c r="Q1" s="19">
        <f t="shared" si="0"/>
        <v>4</v>
      </c>
      <c r="R1" s="19">
        <f t="shared" si="0"/>
        <v>5</v>
      </c>
      <c r="S1" s="19">
        <f t="shared" si="0"/>
        <v>6</v>
      </c>
      <c r="T1" s="19">
        <f t="shared" si="0"/>
        <v>7</v>
      </c>
      <c r="U1" s="19">
        <f t="shared" si="0"/>
        <v>8</v>
      </c>
      <c r="V1" s="19">
        <f t="shared" si="0"/>
        <v>2</v>
      </c>
      <c r="W1" s="19">
        <f t="shared" si="0"/>
        <v>3</v>
      </c>
      <c r="X1" s="19">
        <f t="shared" si="0"/>
        <v>4</v>
      </c>
      <c r="Y1" s="19">
        <f t="shared" si="0"/>
        <v>5</v>
      </c>
      <c r="Z1" s="19">
        <f t="shared" si="0"/>
        <v>6</v>
      </c>
      <c r="AA1" s="19">
        <f t="shared" si="0"/>
        <v>7</v>
      </c>
      <c r="AB1" s="19">
        <f t="shared" si="0"/>
        <v>8</v>
      </c>
      <c r="AC1" s="19">
        <f t="shared" si="0"/>
        <v>2</v>
      </c>
      <c r="AD1" s="19">
        <f t="shared" si="0"/>
        <v>3</v>
      </c>
      <c r="AE1" s="19">
        <f t="shared" si="0"/>
        <v>4</v>
      </c>
      <c r="AF1" s="19">
        <f t="shared" si="0"/>
        <v>5</v>
      </c>
      <c r="AG1" s="19">
        <f t="shared" si="0"/>
        <v>6</v>
      </c>
      <c r="AH1" s="19">
        <f t="shared" si="0"/>
        <v>7</v>
      </c>
      <c r="AI1" s="19">
        <f t="shared" si="0"/>
        <v>8</v>
      </c>
      <c r="AJ1" s="19">
        <f t="shared" si="0"/>
        <v>2</v>
      </c>
      <c r="AK1" s="19">
        <f t="shared" si="0"/>
        <v>3</v>
      </c>
      <c r="AL1" s="19">
        <f t="shared" si="0"/>
        <v>4</v>
      </c>
      <c r="AM1" s="19">
        <f t="shared" si="0"/>
        <v>5</v>
      </c>
      <c r="AN1" s="19">
        <f t="shared" si="0"/>
        <v>6</v>
      </c>
      <c r="AO1" s="19">
        <f t="shared" si="0"/>
        <v>7</v>
      </c>
      <c r="AP1" s="19">
        <f t="shared" si="0"/>
        <v>8</v>
      </c>
      <c r="AQ1" s="19">
        <f t="shared" si="0"/>
        <v>2</v>
      </c>
      <c r="AR1" s="19">
        <f t="shared" si="0"/>
        <v>3</v>
      </c>
      <c r="AS1" s="19">
        <f t="shared" si="0"/>
        <v>4</v>
      </c>
      <c r="AT1" s="19">
        <f t="shared" si="0"/>
        <v>5</v>
      </c>
      <c r="AU1" s="19">
        <f t="shared" si="0"/>
        <v>6</v>
      </c>
      <c r="AV1" s="19">
        <f t="shared" si="0"/>
        <v>7</v>
      </c>
      <c r="AW1" s="19">
        <f t="shared" si="0"/>
        <v>8</v>
      </c>
      <c r="AX1" s="19">
        <f t="shared" si="0"/>
        <v>2</v>
      </c>
      <c r="AY1" s="19">
        <f t="shared" si="0"/>
        <v>3</v>
      </c>
      <c r="AZ1" s="19">
        <f t="shared" si="0"/>
        <v>4</v>
      </c>
      <c r="BA1" s="19">
        <f t="shared" si="0"/>
        <v>5</v>
      </c>
      <c r="BB1" s="19">
        <f t="shared" si="0"/>
        <v>6</v>
      </c>
      <c r="BC1" s="19">
        <f t="shared" si="0"/>
        <v>7</v>
      </c>
      <c r="BD1" s="19">
        <f t="shared" si="0"/>
        <v>8</v>
      </c>
      <c r="BE1" s="19">
        <f t="shared" si="0"/>
        <v>2</v>
      </c>
      <c r="BF1" s="19">
        <f t="shared" si="0"/>
        <v>3</v>
      </c>
      <c r="BG1" s="19">
        <f t="shared" si="0"/>
        <v>4</v>
      </c>
      <c r="BH1" s="19">
        <f t="shared" si="0"/>
        <v>5</v>
      </c>
      <c r="BI1" s="19">
        <f t="shared" si="0"/>
        <v>6</v>
      </c>
      <c r="BJ1" s="19">
        <f t="shared" si="0"/>
        <v>7</v>
      </c>
      <c r="BK1" s="19">
        <f t="shared" si="0"/>
        <v>8</v>
      </c>
      <c r="BL1" s="19">
        <f t="shared" si="0"/>
        <v>2</v>
      </c>
      <c r="BM1" s="19">
        <f t="shared" si="0"/>
        <v>3</v>
      </c>
      <c r="BN1" s="19">
        <f t="shared" si="0"/>
        <v>4</v>
      </c>
      <c r="BO1" s="19">
        <f t="shared" si="0"/>
        <v>5</v>
      </c>
      <c r="BP1" s="19">
        <f t="shared" si="0"/>
        <v>6</v>
      </c>
      <c r="BQ1" s="19">
        <f t="shared" si="0"/>
        <v>7</v>
      </c>
      <c r="BR1" s="19">
        <f t="shared" si="0"/>
        <v>8</v>
      </c>
      <c r="BS1" s="19">
        <f t="shared" si="0"/>
        <v>2</v>
      </c>
      <c r="BT1" s="19">
        <f t="shared" si="0"/>
        <v>3</v>
      </c>
      <c r="BU1" s="19">
        <f t="shared" si="0"/>
        <v>4</v>
      </c>
      <c r="BV1" s="19">
        <f t="shared" ref="BV1:EG1" si="1">WEEKDAY(BV2,2)+1</f>
        <v>5</v>
      </c>
      <c r="BW1" s="19">
        <f t="shared" si="1"/>
        <v>6</v>
      </c>
      <c r="BX1" s="19">
        <f t="shared" si="1"/>
        <v>7</v>
      </c>
      <c r="BY1" s="19">
        <f t="shared" si="1"/>
        <v>8</v>
      </c>
      <c r="BZ1" s="19">
        <f t="shared" si="1"/>
        <v>2</v>
      </c>
      <c r="CA1" s="19">
        <f t="shared" si="1"/>
        <v>3</v>
      </c>
      <c r="CB1" s="19">
        <f t="shared" si="1"/>
        <v>4</v>
      </c>
      <c r="CC1" s="19">
        <f t="shared" si="1"/>
        <v>5</v>
      </c>
      <c r="CD1" s="19">
        <f t="shared" si="1"/>
        <v>6</v>
      </c>
      <c r="CE1" s="19">
        <f t="shared" si="1"/>
        <v>7</v>
      </c>
      <c r="CF1" s="19">
        <f t="shared" si="1"/>
        <v>8</v>
      </c>
      <c r="CG1" s="19">
        <f t="shared" si="1"/>
        <v>2</v>
      </c>
      <c r="CH1" s="19">
        <f t="shared" si="1"/>
        <v>3</v>
      </c>
      <c r="CI1" s="19">
        <f t="shared" si="1"/>
        <v>4</v>
      </c>
      <c r="CJ1" s="19">
        <f t="shared" si="1"/>
        <v>5</v>
      </c>
      <c r="CK1" s="19">
        <f t="shared" si="1"/>
        <v>6</v>
      </c>
      <c r="CL1" s="19">
        <f t="shared" si="1"/>
        <v>7</v>
      </c>
      <c r="CM1" s="19">
        <f t="shared" si="1"/>
        <v>8</v>
      </c>
      <c r="CN1" s="19">
        <f t="shared" si="1"/>
        <v>2</v>
      </c>
      <c r="CO1" s="19">
        <f t="shared" si="1"/>
        <v>3</v>
      </c>
      <c r="CP1" s="19">
        <f t="shared" si="1"/>
        <v>4</v>
      </c>
      <c r="CQ1" s="19">
        <f t="shared" si="1"/>
        <v>5</v>
      </c>
      <c r="CR1" s="19">
        <f t="shared" si="1"/>
        <v>6</v>
      </c>
      <c r="CS1" s="19">
        <f t="shared" si="1"/>
        <v>7</v>
      </c>
      <c r="CT1" s="19">
        <f t="shared" si="1"/>
        <v>8</v>
      </c>
      <c r="CU1" s="19">
        <f t="shared" si="1"/>
        <v>2</v>
      </c>
      <c r="CV1" s="19">
        <f t="shared" si="1"/>
        <v>3</v>
      </c>
      <c r="CW1" s="19">
        <f t="shared" si="1"/>
        <v>4</v>
      </c>
      <c r="CX1" s="19">
        <f t="shared" si="1"/>
        <v>5</v>
      </c>
      <c r="CY1" s="19">
        <f t="shared" si="1"/>
        <v>6</v>
      </c>
      <c r="CZ1" s="19">
        <f t="shared" si="1"/>
        <v>7</v>
      </c>
      <c r="DA1" s="19">
        <f t="shared" si="1"/>
        <v>8</v>
      </c>
      <c r="DB1" s="19">
        <f t="shared" si="1"/>
        <v>2</v>
      </c>
      <c r="DC1" s="19">
        <f t="shared" si="1"/>
        <v>3</v>
      </c>
      <c r="DD1" s="19">
        <f t="shared" si="1"/>
        <v>4</v>
      </c>
      <c r="DE1" s="19">
        <f t="shared" si="1"/>
        <v>5</v>
      </c>
      <c r="DF1" s="19">
        <f t="shared" si="1"/>
        <v>6</v>
      </c>
      <c r="DG1" s="19">
        <f t="shared" si="1"/>
        <v>7</v>
      </c>
      <c r="DH1" s="19">
        <f t="shared" si="1"/>
        <v>8</v>
      </c>
      <c r="DI1" s="19">
        <f t="shared" si="1"/>
        <v>2</v>
      </c>
      <c r="DJ1" s="19">
        <f t="shared" si="1"/>
        <v>3</v>
      </c>
      <c r="DK1" s="19">
        <f t="shared" si="1"/>
        <v>4</v>
      </c>
      <c r="DL1" s="19">
        <f t="shared" si="1"/>
        <v>5</v>
      </c>
      <c r="DM1" s="19">
        <f t="shared" si="1"/>
        <v>6</v>
      </c>
      <c r="DN1" s="19">
        <f t="shared" si="1"/>
        <v>7</v>
      </c>
      <c r="DO1" s="19">
        <f t="shared" si="1"/>
        <v>8</v>
      </c>
      <c r="DP1" s="19">
        <f t="shared" si="1"/>
        <v>2</v>
      </c>
      <c r="DQ1" s="19">
        <f t="shared" si="1"/>
        <v>3</v>
      </c>
      <c r="DR1" s="19">
        <f t="shared" si="1"/>
        <v>4</v>
      </c>
      <c r="DS1" s="19">
        <f t="shared" si="1"/>
        <v>5</v>
      </c>
      <c r="DT1" s="19">
        <f t="shared" si="1"/>
        <v>6</v>
      </c>
      <c r="DU1" s="19">
        <f t="shared" si="1"/>
        <v>7</v>
      </c>
      <c r="DV1" s="19">
        <f t="shared" si="1"/>
        <v>8</v>
      </c>
      <c r="DW1" s="19">
        <f t="shared" si="1"/>
        <v>2</v>
      </c>
      <c r="DX1" s="19">
        <f t="shared" si="1"/>
        <v>3</v>
      </c>
      <c r="DY1" s="19">
        <f t="shared" si="1"/>
        <v>4</v>
      </c>
      <c r="DZ1" s="19">
        <f t="shared" si="1"/>
        <v>5</v>
      </c>
      <c r="EA1" s="19">
        <f t="shared" si="1"/>
        <v>6</v>
      </c>
      <c r="EB1" s="19">
        <f t="shared" si="1"/>
        <v>7</v>
      </c>
      <c r="EC1" s="19">
        <f t="shared" si="1"/>
        <v>8</v>
      </c>
      <c r="ED1" s="19">
        <f t="shared" si="1"/>
        <v>2</v>
      </c>
      <c r="EE1" s="19">
        <f t="shared" si="1"/>
        <v>3</v>
      </c>
      <c r="EF1" s="19">
        <f t="shared" si="1"/>
        <v>4</v>
      </c>
      <c r="EG1" s="19">
        <f t="shared" si="1"/>
        <v>5</v>
      </c>
      <c r="EH1" s="19">
        <f t="shared" ref="EH1:GS1" si="2">WEEKDAY(EH2,2)+1</f>
        <v>6</v>
      </c>
      <c r="EI1" s="19">
        <f t="shared" si="2"/>
        <v>7</v>
      </c>
      <c r="EJ1" s="19">
        <f t="shared" si="2"/>
        <v>8</v>
      </c>
      <c r="EK1" s="19">
        <f t="shared" si="2"/>
        <v>2</v>
      </c>
      <c r="EL1" s="19">
        <f t="shared" si="2"/>
        <v>3</v>
      </c>
      <c r="EM1" s="19">
        <f t="shared" si="2"/>
        <v>4</v>
      </c>
      <c r="EN1" s="19">
        <f t="shared" si="2"/>
        <v>5</v>
      </c>
      <c r="EO1" s="19">
        <f t="shared" si="2"/>
        <v>6</v>
      </c>
      <c r="EP1" s="19">
        <f t="shared" si="2"/>
        <v>7</v>
      </c>
      <c r="EQ1" s="19">
        <f t="shared" si="2"/>
        <v>8</v>
      </c>
      <c r="ER1" s="19">
        <f t="shared" si="2"/>
        <v>2</v>
      </c>
      <c r="ES1" s="19">
        <f t="shared" si="2"/>
        <v>3</v>
      </c>
      <c r="ET1" s="19">
        <f t="shared" si="2"/>
        <v>4</v>
      </c>
      <c r="EU1" s="19">
        <f t="shared" si="2"/>
        <v>5</v>
      </c>
      <c r="EV1" s="19">
        <f t="shared" si="2"/>
        <v>6</v>
      </c>
      <c r="EW1" s="19">
        <f t="shared" si="2"/>
        <v>7</v>
      </c>
      <c r="EX1" s="19">
        <f t="shared" si="2"/>
        <v>8</v>
      </c>
      <c r="EY1" s="19">
        <f t="shared" si="2"/>
        <v>2</v>
      </c>
      <c r="EZ1" s="19">
        <f t="shared" si="2"/>
        <v>3</v>
      </c>
      <c r="FA1" s="19">
        <f t="shared" si="2"/>
        <v>4</v>
      </c>
      <c r="FB1" s="19">
        <f t="shared" si="2"/>
        <v>5</v>
      </c>
      <c r="FC1" s="19">
        <f t="shared" si="2"/>
        <v>6</v>
      </c>
      <c r="FD1" s="19">
        <f t="shared" si="2"/>
        <v>7</v>
      </c>
      <c r="FE1" s="19">
        <f t="shared" si="2"/>
        <v>8</v>
      </c>
      <c r="FF1" s="19">
        <f t="shared" si="2"/>
        <v>2</v>
      </c>
      <c r="FG1" s="19">
        <f t="shared" si="2"/>
        <v>3</v>
      </c>
      <c r="FH1" s="19">
        <f t="shared" si="2"/>
        <v>4</v>
      </c>
      <c r="FI1" s="19">
        <f t="shared" si="2"/>
        <v>5</v>
      </c>
      <c r="FJ1" s="19">
        <f t="shared" si="2"/>
        <v>6</v>
      </c>
      <c r="FK1" s="19">
        <f t="shared" si="2"/>
        <v>7</v>
      </c>
      <c r="FL1" s="19">
        <f t="shared" si="2"/>
        <v>8</v>
      </c>
      <c r="FM1" s="19">
        <f t="shared" si="2"/>
        <v>2</v>
      </c>
      <c r="FN1" s="19">
        <f t="shared" si="2"/>
        <v>3</v>
      </c>
      <c r="FO1" s="19">
        <f t="shared" si="2"/>
        <v>4</v>
      </c>
      <c r="FP1" s="19">
        <f t="shared" si="2"/>
        <v>5</v>
      </c>
      <c r="FQ1" s="19">
        <f t="shared" si="2"/>
        <v>6</v>
      </c>
      <c r="FR1" s="19">
        <f t="shared" si="2"/>
        <v>7</v>
      </c>
      <c r="FS1" s="19">
        <f t="shared" si="2"/>
        <v>8</v>
      </c>
      <c r="FT1" s="19">
        <f t="shared" si="2"/>
        <v>2</v>
      </c>
      <c r="FU1" s="19">
        <f t="shared" si="2"/>
        <v>3</v>
      </c>
      <c r="FV1" s="19">
        <f t="shared" si="2"/>
        <v>4</v>
      </c>
      <c r="FW1" s="19">
        <f t="shared" si="2"/>
        <v>5</v>
      </c>
      <c r="FX1" s="19">
        <f t="shared" si="2"/>
        <v>6</v>
      </c>
      <c r="FY1" s="19">
        <f t="shared" si="2"/>
        <v>7</v>
      </c>
      <c r="FZ1" s="19">
        <f t="shared" si="2"/>
        <v>8</v>
      </c>
      <c r="GA1" s="19">
        <f t="shared" si="2"/>
        <v>2</v>
      </c>
      <c r="GB1" s="19">
        <f t="shared" si="2"/>
        <v>3</v>
      </c>
      <c r="GC1" s="19">
        <f t="shared" si="2"/>
        <v>4</v>
      </c>
      <c r="GD1" s="19">
        <f t="shared" si="2"/>
        <v>5</v>
      </c>
      <c r="GE1" s="19">
        <f t="shared" si="2"/>
        <v>6</v>
      </c>
      <c r="GF1" s="19">
        <f t="shared" si="2"/>
        <v>7</v>
      </c>
      <c r="GG1" s="19">
        <f t="shared" si="2"/>
        <v>8</v>
      </c>
      <c r="GH1" s="19">
        <f t="shared" si="2"/>
        <v>2</v>
      </c>
      <c r="GI1" s="19">
        <f t="shared" si="2"/>
        <v>3</v>
      </c>
      <c r="GJ1" s="19">
        <f t="shared" si="2"/>
        <v>4</v>
      </c>
      <c r="GK1" s="19">
        <f t="shared" si="2"/>
        <v>5</v>
      </c>
      <c r="GL1" s="19">
        <f t="shared" si="2"/>
        <v>6</v>
      </c>
      <c r="GM1" s="19">
        <f t="shared" si="2"/>
        <v>7</v>
      </c>
      <c r="GN1" s="19">
        <f t="shared" si="2"/>
        <v>8</v>
      </c>
      <c r="GO1" s="19">
        <f t="shared" si="2"/>
        <v>2</v>
      </c>
      <c r="GP1" s="19">
        <f t="shared" si="2"/>
        <v>3</v>
      </c>
      <c r="GQ1" s="19">
        <f t="shared" si="2"/>
        <v>4</v>
      </c>
      <c r="GR1" s="19">
        <f t="shared" si="2"/>
        <v>5</v>
      </c>
      <c r="GS1" s="19">
        <f t="shared" si="2"/>
        <v>6</v>
      </c>
      <c r="GT1" s="19">
        <f t="shared" ref="GT1:JE1" si="3">WEEKDAY(GT2,2)+1</f>
        <v>7</v>
      </c>
      <c r="GU1" s="19">
        <f t="shared" si="3"/>
        <v>8</v>
      </c>
      <c r="GV1" s="19">
        <f t="shared" si="3"/>
        <v>2</v>
      </c>
      <c r="GW1" s="19">
        <f t="shared" si="3"/>
        <v>3</v>
      </c>
      <c r="GX1" s="19">
        <f t="shared" si="3"/>
        <v>4</v>
      </c>
      <c r="GY1" s="19">
        <f t="shared" si="3"/>
        <v>5</v>
      </c>
      <c r="GZ1" s="19">
        <f t="shared" si="3"/>
        <v>6</v>
      </c>
      <c r="HA1" s="19">
        <f t="shared" si="3"/>
        <v>7</v>
      </c>
      <c r="HB1" s="19">
        <f t="shared" si="3"/>
        <v>8</v>
      </c>
      <c r="HC1" s="19">
        <f t="shared" si="3"/>
        <v>2</v>
      </c>
      <c r="HD1" s="19">
        <f t="shared" si="3"/>
        <v>3</v>
      </c>
      <c r="HE1" s="19">
        <f t="shared" si="3"/>
        <v>4</v>
      </c>
      <c r="HF1" s="19">
        <f t="shared" si="3"/>
        <v>5</v>
      </c>
      <c r="HG1" s="19">
        <f t="shared" si="3"/>
        <v>6</v>
      </c>
      <c r="HH1" s="19">
        <f t="shared" si="3"/>
        <v>7</v>
      </c>
      <c r="HI1" s="19">
        <f t="shared" si="3"/>
        <v>8</v>
      </c>
      <c r="HJ1" s="19">
        <f t="shared" si="3"/>
        <v>2</v>
      </c>
      <c r="HK1" s="19">
        <f t="shared" si="3"/>
        <v>3</v>
      </c>
      <c r="HL1" s="19">
        <f t="shared" si="3"/>
        <v>4</v>
      </c>
      <c r="HM1" s="19">
        <f t="shared" si="3"/>
        <v>5</v>
      </c>
      <c r="HN1" s="19">
        <f t="shared" si="3"/>
        <v>6</v>
      </c>
      <c r="HO1" s="19">
        <f t="shared" si="3"/>
        <v>7</v>
      </c>
      <c r="HP1" s="19">
        <f t="shared" si="3"/>
        <v>8</v>
      </c>
      <c r="HQ1" s="19">
        <f t="shared" si="3"/>
        <v>2</v>
      </c>
      <c r="HR1" s="19">
        <f t="shared" si="3"/>
        <v>3</v>
      </c>
      <c r="HS1" s="19">
        <f t="shared" si="3"/>
        <v>4</v>
      </c>
      <c r="HT1" s="19">
        <f t="shared" si="3"/>
        <v>5</v>
      </c>
      <c r="HU1" s="19">
        <f t="shared" si="3"/>
        <v>6</v>
      </c>
      <c r="HV1" s="19">
        <f t="shared" si="3"/>
        <v>7</v>
      </c>
      <c r="HW1" s="19">
        <f t="shared" si="3"/>
        <v>8</v>
      </c>
      <c r="HX1" s="19">
        <f t="shared" si="3"/>
        <v>2</v>
      </c>
      <c r="HY1" s="19">
        <f t="shared" si="3"/>
        <v>3</v>
      </c>
      <c r="HZ1" s="19">
        <f t="shared" si="3"/>
        <v>4</v>
      </c>
      <c r="IA1" s="19">
        <f t="shared" si="3"/>
        <v>5</v>
      </c>
      <c r="IB1" s="19">
        <f t="shared" si="3"/>
        <v>6</v>
      </c>
      <c r="IC1" s="19">
        <f t="shared" si="3"/>
        <v>7</v>
      </c>
      <c r="ID1" s="19">
        <f t="shared" si="3"/>
        <v>8</v>
      </c>
      <c r="IE1" s="19">
        <f t="shared" si="3"/>
        <v>2</v>
      </c>
      <c r="IF1" s="19">
        <f t="shared" si="3"/>
        <v>3</v>
      </c>
      <c r="IG1" s="19">
        <f t="shared" si="3"/>
        <v>4</v>
      </c>
      <c r="IH1" s="19">
        <f t="shared" si="3"/>
        <v>5</v>
      </c>
      <c r="II1" s="19">
        <f t="shared" si="3"/>
        <v>6</v>
      </c>
      <c r="IJ1" s="19">
        <f t="shared" si="3"/>
        <v>7</v>
      </c>
      <c r="IK1" s="19">
        <f t="shared" si="3"/>
        <v>8</v>
      </c>
      <c r="IL1" s="19">
        <f t="shared" si="3"/>
        <v>2</v>
      </c>
      <c r="IM1" s="19">
        <f t="shared" si="3"/>
        <v>3</v>
      </c>
      <c r="IN1" s="19">
        <f t="shared" si="3"/>
        <v>4</v>
      </c>
      <c r="IO1" s="19">
        <f t="shared" si="3"/>
        <v>5</v>
      </c>
      <c r="IP1" s="19">
        <f t="shared" si="3"/>
        <v>6</v>
      </c>
      <c r="IQ1" s="19">
        <f t="shared" si="3"/>
        <v>7</v>
      </c>
      <c r="IR1" s="19">
        <f t="shared" si="3"/>
        <v>8</v>
      </c>
      <c r="IS1" s="19">
        <f t="shared" si="3"/>
        <v>2</v>
      </c>
      <c r="IT1" s="19">
        <f t="shared" si="3"/>
        <v>3</v>
      </c>
      <c r="IU1" s="19">
        <f t="shared" si="3"/>
        <v>4</v>
      </c>
      <c r="IV1" s="19">
        <f t="shared" si="3"/>
        <v>5</v>
      </c>
      <c r="IW1" s="19">
        <f t="shared" si="3"/>
        <v>6</v>
      </c>
      <c r="IX1" s="19">
        <f t="shared" si="3"/>
        <v>7</v>
      </c>
      <c r="IY1" s="19">
        <f t="shared" si="3"/>
        <v>8</v>
      </c>
      <c r="IZ1" s="19">
        <f t="shared" si="3"/>
        <v>2</v>
      </c>
      <c r="JA1" s="19">
        <f t="shared" si="3"/>
        <v>3</v>
      </c>
      <c r="JB1" s="19">
        <f t="shared" si="3"/>
        <v>4</v>
      </c>
      <c r="JC1" s="19">
        <f t="shared" si="3"/>
        <v>5</v>
      </c>
      <c r="JD1" s="19">
        <f t="shared" si="3"/>
        <v>6</v>
      </c>
      <c r="JE1" s="19">
        <f t="shared" si="3"/>
        <v>7</v>
      </c>
      <c r="JF1" s="19">
        <f t="shared" ref="JF1:KG1" si="4">WEEKDAY(JF2,2)+1</f>
        <v>8</v>
      </c>
      <c r="JG1" s="19">
        <f t="shared" si="4"/>
        <v>2</v>
      </c>
      <c r="JH1" s="19">
        <f t="shared" si="4"/>
        <v>3</v>
      </c>
      <c r="JI1" s="19">
        <f t="shared" si="4"/>
        <v>4</v>
      </c>
      <c r="JJ1" s="19">
        <f t="shared" si="4"/>
        <v>5</v>
      </c>
      <c r="JK1" s="19">
        <f t="shared" si="4"/>
        <v>6</v>
      </c>
      <c r="JL1" s="19">
        <f t="shared" si="4"/>
        <v>7</v>
      </c>
      <c r="JM1" s="19">
        <f t="shared" si="4"/>
        <v>8</v>
      </c>
      <c r="JN1" s="19">
        <f t="shared" si="4"/>
        <v>2</v>
      </c>
      <c r="JO1" s="19">
        <f t="shared" si="4"/>
        <v>3</v>
      </c>
      <c r="JP1" s="19">
        <f t="shared" si="4"/>
        <v>4</v>
      </c>
      <c r="JQ1" s="19">
        <f t="shared" si="4"/>
        <v>5</v>
      </c>
      <c r="JR1" s="19">
        <f t="shared" si="4"/>
        <v>6</v>
      </c>
      <c r="JS1" s="19">
        <f t="shared" si="4"/>
        <v>7</v>
      </c>
      <c r="JT1" s="19">
        <f t="shared" si="4"/>
        <v>8</v>
      </c>
      <c r="JU1" s="19">
        <f t="shared" si="4"/>
        <v>2</v>
      </c>
      <c r="JV1" s="19">
        <f t="shared" si="4"/>
        <v>3</v>
      </c>
      <c r="JW1" s="19">
        <f t="shared" si="4"/>
        <v>4</v>
      </c>
      <c r="JX1" s="19">
        <f t="shared" si="4"/>
        <v>5</v>
      </c>
      <c r="JY1" s="19">
        <f t="shared" si="4"/>
        <v>6</v>
      </c>
      <c r="JZ1" s="19">
        <f t="shared" si="4"/>
        <v>7</v>
      </c>
      <c r="KA1" s="19">
        <f t="shared" si="4"/>
        <v>8</v>
      </c>
      <c r="KB1" s="19">
        <f t="shared" si="4"/>
        <v>2</v>
      </c>
      <c r="KC1" s="19">
        <f t="shared" si="4"/>
        <v>3</v>
      </c>
      <c r="KD1" s="19">
        <f t="shared" si="4"/>
        <v>4</v>
      </c>
      <c r="KE1" s="19">
        <f t="shared" si="4"/>
        <v>5</v>
      </c>
      <c r="KF1" s="19">
        <f t="shared" si="4"/>
        <v>6</v>
      </c>
      <c r="KG1" s="19">
        <f t="shared" si="4"/>
        <v>7</v>
      </c>
    </row>
    <row r="2" spans="1:293" s="17" customFormat="1" ht="40.5" x14ac:dyDescent="0.35">
      <c r="A2" s="170" t="s">
        <v>33</v>
      </c>
      <c r="B2" s="16" t="s">
        <v>39</v>
      </c>
      <c r="C2" s="163" t="s">
        <v>501</v>
      </c>
      <c r="D2" s="93"/>
      <c r="E2" s="52" t="s">
        <v>27</v>
      </c>
      <c r="F2" s="52" t="s">
        <v>503</v>
      </c>
      <c r="G2" s="93"/>
      <c r="H2" s="65" t="s">
        <v>0</v>
      </c>
      <c r="I2" s="18">
        <f>informe!J3</f>
        <v>45545</v>
      </c>
      <c r="J2" s="18">
        <f t="shared" ref="J2:O2" si="5">I2+1</f>
        <v>45546</v>
      </c>
      <c r="K2" s="18">
        <f t="shared" si="5"/>
        <v>45547</v>
      </c>
      <c r="L2" s="18">
        <f t="shared" si="5"/>
        <v>45548</v>
      </c>
      <c r="M2" s="18">
        <f t="shared" si="5"/>
        <v>45549</v>
      </c>
      <c r="N2" s="18">
        <f t="shared" si="5"/>
        <v>45550</v>
      </c>
      <c r="O2" s="18">
        <f t="shared" si="5"/>
        <v>45551</v>
      </c>
      <c r="P2" s="18">
        <f>O2+1</f>
        <v>45552</v>
      </c>
      <c r="Q2" s="18">
        <f t="shared" ref="Q2:CB2" si="6">P2+1</f>
        <v>45553</v>
      </c>
      <c r="R2" s="18">
        <f t="shared" si="6"/>
        <v>45554</v>
      </c>
      <c r="S2" s="18">
        <f t="shared" si="6"/>
        <v>45555</v>
      </c>
      <c r="T2" s="18">
        <f t="shared" si="6"/>
        <v>45556</v>
      </c>
      <c r="U2" s="18">
        <f t="shared" si="6"/>
        <v>45557</v>
      </c>
      <c r="V2" s="18">
        <f t="shared" si="6"/>
        <v>45558</v>
      </c>
      <c r="W2" s="18">
        <f t="shared" si="6"/>
        <v>45559</v>
      </c>
      <c r="X2" s="18">
        <f t="shared" si="6"/>
        <v>45560</v>
      </c>
      <c r="Y2" s="18">
        <f t="shared" si="6"/>
        <v>45561</v>
      </c>
      <c r="Z2" s="18">
        <f t="shared" si="6"/>
        <v>45562</v>
      </c>
      <c r="AA2" s="18">
        <f t="shared" si="6"/>
        <v>45563</v>
      </c>
      <c r="AB2" s="18">
        <f t="shared" si="6"/>
        <v>45564</v>
      </c>
      <c r="AC2" s="18">
        <f t="shared" si="6"/>
        <v>45565</v>
      </c>
      <c r="AD2" s="18">
        <f t="shared" si="6"/>
        <v>45566</v>
      </c>
      <c r="AE2" s="18">
        <f t="shared" si="6"/>
        <v>45567</v>
      </c>
      <c r="AF2" s="18">
        <f t="shared" si="6"/>
        <v>45568</v>
      </c>
      <c r="AG2" s="18">
        <f t="shared" si="6"/>
        <v>45569</v>
      </c>
      <c r="AH2" s="18">
        <f t="shared" si="6"/>
        <v>45570</v>
      </c>
      <c r="AI2" s="18">
        <f t="shared" si="6"/>
        <v>45571</v>
      </c>
      <c r="AJ2" s="18">
        <f t="shared" si="6"/>
        <v>45572</v>
      </c>
      <c r="AK2" s="18">
        <f t="shared" si="6"/>
        <v>45573</v>
      </c>
      <c r="AL2" s="18">
        <f t="shared" si="6"/>
        <v>45574</v>
      </c>
      <c r="AM2" s="18">
        <f t="shared" si="6"/>
        <v>45575</v>
      </c>
      <c r="AN2" s="18">
        <f t="shared" si="6"/>
        <v>45576</v>
      </c>
      <c r="AO2" s="18">
        <f t="shared" si="6"/>
        <v>45577</v>
      </c>
      <c r="AP2" s="18">
        <f t="shared" si="6"/>
        <v>45578</v>
      </c>
      <c r="AQ2" s="18">
        <f t="shared" si="6"/>
        <v>45579</v>
      </c>
      <c r="AR2" s="18">
        <f t="shared" si="6"/>
        <v>45580</v>
      </c>
      <c r="AS2" s="18">
        <f t="shared" si="6"/>
        <v>45581</v>
      </c>
      <c r="AT2" s="18">
        <f t="shared" si="6"/>
        <v>45582</v>
      </c>
      <c r="AU2" s="18">
        <f t="shared" si="6"/>
        <v>45583</v>
      </c>
      <c r="AV2" s="18">
        <f t="shared" si="6"/>
        <v>45584</v>
      </c>
      <c r="AW2" s="18">
        <f t="shared" si="6"/>
        <v>45585</v>
      </c>
      <c r="AX2" s="18">
        <f t="shared" si="6"/>
        <v>45586</v>
      </c>
      <c r="AY2" s="18">
        <f t="shared" si="6"/>
        <v>45587</v>
      </c>
      <c r="AZ2" s="18">
        <f t="shared" si="6"/>
        <v>45588</v>
      </c>
      <c r="BA2" s="18">
        <f t="shared" si="6"/>
        <v>45589</v>
      </c>
      <c r="BB2" s="18">
        <f t="shared" si="6"/>
        <v>45590</v>
      </c>
      <c r="BC2" s="18">
        <f t="shared" si="6"/>
        <v>45591</v>
      </c>
      <c r="BD2" s="18">
        <f t="shared" si="6"/>
        <v>45592</v>
      </c>
      <c r="BE2" s="18">
        <f t="shared" si="6"/>
        <v>45593</v>
      </c>
      <c r="BF2" s="18">
        <f t="shared" si="6"/>
        <v>45594</v>
      </c>
      <c r="BG2" s="18">
        <f t="shared" si="6"/>
        <v>45595</v>
      </c>
      <c r="BH2" s="18">
        <f t="shared" si="6"/>
        <v>45596</v>
      </c>
      <c r="BI2" s="18">
        <f t="shared" si="6"/>
        <v>45597</v>
      </c>
      <c r="BJ2" s="18">
        <f t="shared" si="6"/>
        <v>45598</v>
      </c>
      <c r="BK2" s="18">
        <f t="shared" si="6"/>
        <v>45599</v>
      </c>
      <c r="BL2" s="18">
        <f t="shared" si="6"/>
        <v>45600</v>
      </c>
      <c r="BM2" s="18">
        <f t="shared" si="6"/>
        <v>45601</v>
      </c>
      <c r="BN2" s="18">
        <f t="shared" si="6"/>
        <v>45602</v>
      </c>
      <c r="BO2" s="18">
        <f t="shared" si="6"/>
        <v>45603</v>
      </c>
      <c r="BP2" s="18">
        <f t="shared" si="6"/>
        <v>45604</v>
      </c>
      <c r="BQ2" s="18">
        <f t="shared" si="6"/>
        <v>45605</v>
      </c>
      <c r="BR2" s="18">
        <f t="shared" si="6"/>
        <v>45606</v>
      </c>
      <c r="BS2" s="18">
        <f t="shared" si="6"/>
        <v>45607</v>
      </c>
      <c r="BT2" s="18">
        <f t="shared" si="6"/>
        <v>45608</v>
      </c>
      <c r="BU2" s="18">
        <f t="shared" si="6"/>
        <v>45609</v>
      </c>
      <c r="BV2" s="18">
        <f t="shared" si="6"/>
        <v>45610</v>
      </c>
      <c r="BW2" s="168">
        <f t="shared" si="6"/>
        <v>45611</v>
      </c>
      <c r="BX2" s="168">
        <f t="shared" si="6"/>
        <v>45612</v>
      </c>
      <c r="BY2" s="168">
        <f t="shared" si="6"/>
        <v>45613</v>
      </c>
      <c r="BZ2" s="168">
        <f t="shared" si="6"/>
        <v>45614</v>
      </c>
      <c r="CA2" s="18">
        <f t="shared" si="6"/>
        <v>45615</v>
      </c>
      <c r="CB2" s="18">
        <f t="shared" si="6"/>
        <v>45616</v>
      </c>
      <c r="CC2" s="18">
        <f t="shared" ref="CC2:EN2" si="7">CB2+1</f>
        <v>45617</v>
      </c>
      <c r="CD2" s="18">
        <f t="shared" si="7"/>
        <v>45618</v>
      </c>
      <c r="CE2" s="18">
        <f t="shared" si="7"/>
        <v>45619</v>
      </c>
      <c r="CF2" s="18">
        <f t="shared" si="7"/>
        <v>45620</v>
      </c>
      <c r="CG2" s="18">
        <f t="shared" si="7"/>
        <v>45621</v>
      </c>
      <c r="CH2" s="18">
        <f t="shared" si="7"/>
        <v>45622</v>
      </c>
      <c r="CI2" s="18">
        <f t="shared" si="7"/>
        <v>45623</v>
      </c>
      <c r="CJ2" s="18">
        <f t="shared" si="7"/>
        <v>45624</v>
      </c>
      <c r="CK2" s="18">
        <f t="shared" si="7"/>
        <v>45625</v>
      </c>
      <c r="CL2" s="18">
        <f t="shared" si="7"/>
        <v>45626</v>
      </c>
      <c r="CM2" s="18">
        <f t="shared" si="7"/>
        <v>45627</v>
      </c>
      <c r="CN2" s="18">
        <f t="shared" si="7"/>
        <v>45628</v>
      </c>
      <c r="CO2" s="18">
        <f t="shared" si="7"/>
        <v>45629</v>
      </c>
      <c r="CP2" s="18">
        <f t="shared" si="7"/>
        <v>45630</v>
      </c>
      <c r="CQ2" s="18">
        <f t="shared" si="7"/>
        <v>45631</v>
      </c>
      <c r="CR2" s="18">
        <f t="shared" si="7"/>
        <v>45632</v>
      </c>
      <c r="CS2" s="18">
        <f t="shared" si="7"/>
        <v>45633</v>
      </c>
      <c r="CT2" s="18">
        <f t="shared" si="7"/>
        <v>45634</v>
      </c>
      <c r="CU2" s="18">
        <f t="shared" si="7"/>
        <v>45635</v>
      </c>
      <c r="CV2" s="18">
        <f t="shared" si="7"/>
        <v>45636</v>
      </c>
      <c r="CW2" s="18">
        <f t="shared" si="7"/>
        <v>45637</v>
      </c>
      <c r="CX2" s="18">
        <f t="shared" si="7"/>
        <v>45638</v>
      </c>
      <c r="CY2" s="18">
        <f t="shared" si="7"/>
        <v>45639</v>
      </c>
      <c r="CZ2" s="18">
        <f t="shared" si="7"/>
        <v>45640</v>
      </c>
      <c r="DA2" s="18">
        <f t="shared" si="7"/>
        <v>45641</v>
      </c>
      <c r="DB2" s="18">
        <f t="shared" si="7"/>
        <v>45642</v>
      </c>
      <c r="DC2" s="18">
        <f t="shared" si="7"/>
        <v>45643</v>
      </c>
      <c r="DD2" s="18">
        <f t="shared" si="7"/>
        <v>45644</v>
      </c>
      <c r="DE2" s="18">
        <f t="shared" si="7"/>
        <v>45645</v>
      </c>
      <c r="DF2" s="18">
        <f t="shared" si="7"/>
        <v>45646</v>
      </c>
      <c r="DG2" s="18">
        <f t="shared" si="7"/>
        <v>45647</v>
      </c>
      <c r="DH2" s="18">
        <f t="shared" si="7"/>
        <v>45648</v>
      </c>
      <c r="DI2" s="18">
        <f t="shared" si="7"/>
        <v>45649</v>
      </c>
      <c r="DJ2" s="18">
        <f t="shared" si="7"/>
        <v>45650</v>
      </c>
      <c r="DK2" s="18">
        <f t="shared" si="7"/>
        <v>45651</v>
      </c>
      <c r="DL2" s="18">
        <f t="shared" si="7"/>
        <v>45652</v>
      </c>
      <c r="DM2" s="18">
        <f t="shared" si="7"/>
        <v>45653</v>
      </c>
      <c r="DN2" s="18">
        <f t="shared" si="7"/>
        <v>45654</v>
      </c>
      <c r="DO2" s="18">
        <f t="shared" si="7"/>
        <v>45655</v>
      </c>
      <c r="DP2" s="18">
        <f t="shared" si="7"/>
        <v>45656</v>
      </c>
      <c r="DQ2" s="18">
        <f t="shared" si="7"/>
        <v>45657</v>
      </c>
      <c r="DR2" s="18">
        <f t="shared" si="7"/>
        <v>45658</v>
      </c>
      <c r="DS2" s="18">
        <f t="shared" si="7"/>
        <v>45659</v>
      </c>
      <c r="DT2" s="18">
        <f t="shared" si="7"/>
        <v>45660</v>
      </c>
      <c r="DU2" s="18">
        <f t="shared" si="7"/>
        <v>45661</v>
      </c>
      <c r="DV2" s="18">
        <f t="shared" si="7"/>
        <v>45662</v>
      </c>
      <c r="DW2" s="18">
        <f t="shared" si="7"/>
        <v>45663</v>
      </c>
      <c r="DX2" s="18">
        <f t="shared" si="7"/>
        <v>45664</v>
      </c>
      <c r="DY2" s="18">
        <f t="shared" si="7"/>
        <v>45665</v>
      </c>
      <c r="DZ2" s="18">
        <f t="shared" si="7"/>
        <v>45666</v>
      </c>
      <c r="EA2" s="18">
        <f t="shared" si="7"/>
        <v>45667</v>
      </c>
      <c r="EB2" s="18">
        <f t="shared" si="7"/>
        <v>45668</v>
      </c>
      <c r="EC2" s="18">
        <f t="shared" si="7"/>
        <v>45669</v>
      </c>
      <c r="ED2" s="18">
        <f t="shared" si="7"/>
        <v>45670</v>
      </c>
      <c r="EE2" s="18">
        <f t="shared" si="7"/>
        <v>45671</v>
      </c>
      <c r="EF2" s="18">
        <f t="shared" si="7"/>
        <v>45672</v>
      </c>
      <c r="EG2" s="18">
        <f t="shared" si="7"/>
        <v>45673</v>
      </c>
      <c r="EH2" s="18">
        <f t="shared" si="7"/>
        <v>45674</v>
      </c>
      <c r="EI2" s="18">
        <f t="shared" si="7"/>
        <v>45675</v>
      </c>
      <c r="EJ2" s="18">
        <f t="shared" si="7"/>
        <v>45676</v>
      </c>
      <c r="EK2" s="18">
        <f t="shared" si="7"/>
        <v>45677</v>
      </c>
      <c r="EL2" s="18">
        <f t="shared" si="7"/>
        <v>45678</v>
      </c>
      <c r="EM2" s="18">
        <f t="shared" si="7"/>
        <v>45679</v>
      </c>
      <c r="EN2" s="18">
        <f t="shared" si="7"/>
        <v>45680</v>
      </c>
      <c r="EO2" s="18">
        <f t="shared" ref="EO2:GZ2" si="8">EN2+1</f>
        <v>45681</v>
      </c>
      <c r="EP2" s="18">
        <f t="shared" si="8"/>
        <v>45682</v>
      </c>
      <c r="EQ2" s="18">
        <f t="shared" si="8"/>
        <v>45683</v>
      </c>
      <c r="ER2" s="18">
        <f t="shared" si="8"/>
        <v>45684</v>
      </c>
      <c r="ES2" s="18">
        <f t="shared" si="8"/>
        <v>45685</v>
      </c>
      <c r="ET2" s="18">
        <f t="shared" si="8"/>
        <v>45686</v>
      </c>
      <c r="EU2" s="18">
        <f t="shared" si="8"/>
        <v>45687</v>
      </c>
      <c r="EV2" s="18">
        <f t="shared" si="8"/>
        <v>45688</v>
      </c>
      <c r="EW2" s="18">
        <f t="shared" si="8"/>
        <v>45689</v>
      </c>
      <c r="EX2" s="18">
        <f t="shared" si="8"/>
        <v>45690</v>
      </c>
      <c r="EY2" s="18">
        <f t="shared" si="8"/>
        <v>45691</v>
      </c>
      <c r="EZ2" s="18">
        <f t="shared" si="8"/>
        <v>45692</v>
      </c>
      <c r="FA2" s="18">
        <f t="shared" si="8"/>
        <v>45693</v>
      </c>
      <c r="FB2" s="18">
        <f t="shared" si="8"/>
        <v>45694</v>
      </c>
      <c r="FC2" s="18">
        <f t="shared" si="8"/>
        <v>45695</v>
      </c>
      <c r="FD2" s="18">
        <f t="shared" si="8"/>
        <v>45696</v>
      </c>
      <c r="FE2" s="18">
        <f t="shared" si="8"/>
        <v>45697</v>
      </c>
      <c r="FF2" s="18">
        <f t="shared" si="8"/>
        <v>45698</v>
      </c>
      <c r="FG2" s="18">
        <f t="shared" si="8"/>
        <v>45699</v>
      </c>
      <c r="FH2" s="18">
        <f t="shared" si="8"/>
        <v>45700</v>
      </c>
      <c r="FI2" s="18">
        <f t="shared" si="8"/>
        <v>45701</v>
      </c>
      <c r="FJ2" s="18">
        <f t="shared" si="8"/>
        <v>45702</v>
      </c>
      <c r="FK2" s="18">
        <f t="shared" si="8"/>
        <v>45703</v>
      </c>
      <c r="FL2" s="18">
        <f t="shared" si="8"/>
        <v>45704</v>
      </c>
      <c r="FM2" s="18">
        <f t="shared" si="8"/>
        <v>45705</v>
      </c>
      <c r="FN2" s="18">
        <f t="shared" si="8"/>
        <v>45706</v>
      </c>
      <c r="FO2" s="18">
        <f t="shared" si="8"/>
        <v>45707</v>
      </c>
      <c r="FP2" s="18">
        <f t="shared" si="8"/>
        <v>45708</v>
      </c>
      <c r="FQ2" s="18">
        <f t="shared" si="8"/>
        <v>45709</v>
      </c>
      <c r="FR2" s="18">
        <f t="shared" si="8"/>
        <v>45710</v>
      </c>
      <c r="FS2" s="18">
        <f t="shared" si="8"/>
        <v>45711</v>
      </c>
      <c r="FT2" s="18">
        <f t="shared" si="8"/>
        <v>45712</v>
      </c>
      <c r="FU2" s="18">
        <f t="shared" si="8"/>
        <v>45713</v>
      </c>
      <c r="FV2" s="18">
        <f t="shared" si="8"/>
        <v>45714</v>
      </c>
      <c r="FW2" s="18">
        <f t="shared" si="8"/>
        <v>45715</v>
      </c>
      <c r="FX2" s="18">
        <f t="shared" si="8"/>
        <v>45716</v>
      </c>
      <c r="FY2" s="18">
        <f t="shared" si="8"/>
        <v>45717</v>
      </c>
      <c r="FZ2" s="18">
        <f t="shared" si="8"/>
        <v>45718</v>
      </c>
      <c r="GA2" s="18">
        <f t="shared" si="8"/>
        <v>45719</v>
      </c>
      <c r="GB2" s="18">
        <f t="shared" si="8"/>
        <v>45720</v>
      </c>
      <c r="GC2" s="18">
        <f t="shared" si="8"/>
        <v>45721</v>
      </c>
      <c r="GD2" s="18">
        <f t="shared" si="8"/>
        <v>45722</v>
      </c>
      <c r="GE2" s="18">
        <f t="shared" si="8"/>
        <v>45723</v>
      </c>
      <c r="GF2" s="18">
        <f t="shared" si="8"/>
        <v>45724</v>
      </c>
      <c r="GG2" s="18">
        <f t="shared" si="8"/>
        <v>45725</v>
      </c>
      <c r="GH2" s="18">
        <f t="shared" si="8"/>
        <v>45726</v>
      </c>
      <c r="GI2" s="18">
        <f t="shared" si="8"/>
        <v>45727</v>
      </c>
      <c r="GJ2" s="18">
        <f t="shared" si="8"/>
        <v>45728</v>
      </c>
      <c r="GK2" s="18">
        <f t="shared" si="8"/>
        <v>45729</v>
      </c>
      <c r="GL2" s="18">
        <f t="shared" si="8"/>
        <v>45730</v>
      </c>
      <c r="GM2" s="18">
        <f t="shared" si="8"/>
        <v>45731</v>
      </c>
      <c r="GN2" s="18">
        <f t="shared" si="8"/>
        <v>45732</v>
      </c>
      <c r="GO2" s="18">
        <f t="shared" si="8"/>
        <v>45733</v>
      </c>
      <c r="GP2" s="18">
        <f t="shared" si="8"/>
        <v>45734</v>
      </c>
      <c r="GQ2" s="18">
        <f t="shared" si="8"/>
        <v>45735</v>
      </c>
      <c r="GR2" s="18">
        <f t="shared" si="8"/>
        <v>45736</v>
      </c>
      <c r="GS2" s="18">
        <f t="shared" si="8"/>
        <v>45737</v>
      </c>
      <c r="GT2" s="18">
        <f t="shared" si="8"/>
        <v>45738</v>
      </c>
      <c r="GU2" s="18">
        <f t="shared" si="8"/>
        <v>45739</v>
      </c>
      <c r="GV2" s="18">
        <f t="shared" si="8"/>
        <v>45740</v>
      </c>
      <c r="GW2" s="18">
        <f t="shared" si="8"/>
        <v>45741</v>
      </c>
      <c r="GX2" s="18">
        <f t="shared" si="8"/>
        <v>45742</v>
      </c>
      <c r="GY2" s="18">
        <f t="shared" si="8"/>
        <v>45743</v>
      </c>
      <c r="GZ2" s="18">
        <f t="shared" si="8"/>
        <v>45744</v>
      </c>
      <c r="HA2" s="18">
        <f t="shared" ref="HA2:JL2" si="9">GZ2+1</f>
        <v>45745</v>
      </c>
      <c r="HB2" s="18">
        <f t="shared" si="9"/>
        <v>45746</v>
      </c>
      <c r="HC2" s="18">
        <f t="shared" si="9"/>
        <v>45747</v>
      </c>
      <c r="HD2" s="18">
        <f t="shared" si="9"/>
        <v>45748</v>
      </c>
      <c r="HE2" s="18">
        <f t="shared" si="9"/>
        <v>45749</v>
      </c>
      <c r="HF2" s="18">
        <f t="shared" si="9"/>
        <v>45750</v>
      </c>
      <c r="HG2" s="18">
        <f t="shared" si="9"/>
        <v>45751</v>
      </c>
      <c r="HH2" s="18">
        <f t="shared" si="9"/>
        <v>45752</v>
      </c>
      <c r="HI2" s="18">
        <f t="shared" si="9"/>
        <v>45753</v>
      </c>
      <c r="HJ2" s="18">
        <f t="shared" si="9"/>
        <v>45754</v>
      </c>
      <c r="HK2" s="18">
        <f t="shared" si="9"/>
        <v>45755</v>
      </c>
      <c r="HL2" s="18">
        <f t="shared" si="9"/>
        <v>45756</v>
      </c>
      <c r="HM2" s="18">
        <f t="shared" si="9"/>
        <v>45757</v>
      </c>
      <c r="HN2" s="18">
        <f t="shared" si="9"/>
        <v>45758</v>
      </c>
      <c r="HO2" s="18">
        <f t="shared" si="9"/>
        <v>45759</v>
      </c>
      <c r="HP2" s="18">
        <f t="shared" si="9"/>
        <v>45760</v>
      </c>
      <c r="HQ2" s="18">
        <f t="shared" si="9"/>
        <v>45761</v>
      </c>
      <c r="HR2" s="18">
        <f t="shared" si="9"/>
        <v>45762</v>
      </c>
      <c r="HS2" s="18">
        <f t="shared" si="9"/>
        <v>45763</v>
      </c>
      <c r="HT2" s="18">
        <f t="shared" si="9"/>
        <v>45764</v>
      </c>
      <c r="HU2" s="18">
        <f t="shared" si="9"/>
        <v>45765</v>
      </c>
      <c r="HV2" s="18">
        <f t="shared" si="9"/>
        <v>45766</v>
      </c>
      <c r="HW2" s="18">
        <f t="shared" si="9"/>
        <v>45767</v>
      </c>
      <c r="HX2" s="18">
        <f t="shared" si="9"/>
        <v>45768</v>
      </c>
      <c r="HY2" s="18">
        <f t="shared" si="9"/>
        <v>45769</v>
      </c>
      <c r="HZ2" s="18">
        <f t="shared" si="9"/>
        <v>45770</v>
      </c>
      <c r="IA2" s="18">
        <f t="shared" si="9"/>
        <v>45771</v>
      </c>
      <c r="IB2" s="18">
        <f t="shared" si="9"/>
        <v>45772</v>
      </c>
      <c r="IC2" s="18">
        <f t="shared" si="9"/>
        <v>45773</v>
      </c>
      <c r="ID2" s="18">
        <f t="shared" si="9"/>
        <v>45774</v>
      </c>
      <c r="IE2" s="18">
        <f t="shared" si="9"/>
        <v>45775</v>
      </c>
      <c r="IF2" s="18">
        <f t="shared" si="9"/>
        <v>45776</v>
      </c>
      <c r="IG2" s="18">
        <f t="shared" si="9"/>
        <v>45777</v>
      </c>
      <c r="IH2" s="18">
        <f t="shared" si="9"/>
        <v>45778</v>
      </c>
      <c r="II2" s="18">
        <f t="shared" si="9"/>
        <v>45779</v>
      </c>
      <c r="IJ2" s="18">
        <f t="shared" si="9"/>
        <v>45780</v>
      </c>
      <c r="IK2" s="18">
        <f t="shared" si="9"/>
        <v>45781</v>
      </c>
      <c r="IL2" s="18">
        <f t="shared" si="9"/>
        <v>45782</v>
      </c>
      <c r="IM2" s="18">
        <f t="shared" si="9"/>
        <v>45783</v>
      </c>
      <c r="IN2" s="18">
        <f t="shared" si="9"/>
        <v>45784</v>
      </c>
      <c r="IO2" s="18">
        <f t="shared" si="9"/>
        <v>45785</v>
      </c>
      <c r="IP2" s="18">
        <f t="shared" si="9"/>
        <v>45786</v>
      </c>
      <c r="IQ2" s="18">
        <f t="shared" si="9"/>
        <v>45787</v>
      </c>
      <c r="IR2" s="18">
        <f t="shared" si="9"/>
        <v>45788</v>
      </c>
      <c r="IS2" s="18">
        <f t="shared" si="9"/>
        <v>45789</v>
      </c>
      <c r="IT2" s="18">
        <f t="shared" si="9"/>
        <v>45790</v>
      </c>
      <c r="IU2" s="18">
        <f t="shared" si="9"/>
        <v>45791</v>
      </c>
      <c r="IV2" s="18">
        <f t="shared" si="9"/>
        <v>45792</v>
      </c>
      <c r="IW2" s="18">
        <f t="shared" si="9"/>
        <v>45793</v>
      </c>
      <c r="IX2" s="18">
        <f t="shared" si="9"/>
        <v>45794</v>
      </c>
      <c r="IY2" s="18">
        <f t="shared" si="9"/>
        <v>45795</v>
      </c>
      <c r="IZ2" s="18">
        <f t="shared" si="9"/>
        <v>45796</v>
      </c>
      <c r="JA2" s="18">
        <f t="shared" si="9"/>
        <v>45797</v>
      </c>
      <c r="JB2" s="18">
        <f t="shared" si="9"/>
        <v>45798</v>
      </c>
      <c r="JC2" s="18">
        <f t="shared" si="9"/>
        <v>45799</v>
      </c>
      <c r="JD2" s="18">
        <f t="shared" si="9"/>
        <v>45800</v>
      </c>
      <c r="JE2" s="18">
        <f t="shared" si="9"/>
        <v>45801</v>
      </c>
      <c r="JF2" s="18">
        <f t="shared" si="9"/>
        <v>45802</v>
      </c>
      <c r="JG2" s="18">
        <f t="shared" si="9"/>
        <v>45803</v>
      </c>
      <c r="JH2" s="18">
        <f t="shared" si="9"/>
        <v>45804</v>
      </c>
      <c r="JI2" s="18">
        <f t="shared" si="9"/>
        <v>45805</v>
      </c>
      <c r="JJ2" s="18">
        <f t="shared" si="9"/>
        <v>45806</v>
      </c>
      <c r="JK2" s="18">
        <f t="shared" si="9"/>
        <v>45807</v>
      </c>
      <c r="JL2" s="18">
        <f t="shared" si="9"/>
        <v>45808</v>
      </c>
      <c r="JM2" s="18">
        <f t="shared" ref="JM2:KG2" si="10">JL2+1</f>
        <v>45809</v>
      </c>
      <c r="JN2" s="18">
        <f t="shared" si="10"/>
        <v>45810</v>
      </c>
      <c r="JO2" s="18">
        <f t="shared" si="10"/>
        <v>45811</v>
      </c>
      <c r="JP2" s="18">
        <f t="shared" si="10"/>
        <v>45812</v>
      </c>
      <c r="JQ2" s="18">
        <f t="shared" si="10"/>
        <v>45813</v>
      </c>
      <c r="JR2" s="18">
        <f t="shared" si="10"/>
        <v>45814</v>
      </c>
      <c r="JS2" s="18">
        <f t="shared" si="10"/>
        <v>45815</v>
      </c>
      <c r="JT2" s="18">
        <f t="shared" si="10"/>
        <v>45816</v>
      </c>
      <c r="JU2" s="18">
        <f t="shared" si="10"/>
        <v>45817</v>
      </c>
      <c r="JV2" s="18">
        <f t="shared" si="10"/>
        <v>45818</v>
      </c>
      <c r="JW2" s="18">
        <f t="shared" si="10"/>
        <v>45819</v>
      </c>
      <c r="JX2" s="18">
        <f t="shared" si="10"/>
        <v>45820</v>
      </c>
      <c r="JY2" s="18">
        <f t="shared" si="10"/>
        <v>45821</v>
      </c>
      <c r="JZ2" s="18">
        <f t="shared" si="10"/>
        <v>45822</v>
      </c>
      <c r="KA2" s="18">
        <f t="shared" si="10"/>
        <v>45823</v>
      </c>
      <c r="KB2" s="18">
        <f t="shared" si="10"/>
        <v>45824</v>
      </c>
      <c r="KC2" s="18">
        <f t="shared" si="10"/>
        <v>45825</v>
      </c>
      <c r="KD2" s="18">
        <f t="shared" si="10"/>
        <v>45826</v>
      </c>
      <c r="KE2" s="18">
        <f t="shared" si="10"/>
        <v>45827</v>
      </c>
      <c r="KF2" s="18">
        <f t="shared" si="10"/>
        <v>45828</v>
      </c>
      <c r="KG2" s="18">
        <f t="shared" si="10"/>
        <v>45829</v>
      </c>
    </row>
    <row r="3" spans="1:293" ht="13" x14ac:dyDescent="0.25">
      <c r="A3" s="62">
        <f>SUM(A4:A516)</f>
        <v>0</v>
      </c>
      <c r="B3" s="53">
        <f>presupuesto!A3</f>
        <v>1</v>
      </c>
      <c r="C3" s="164">
        <f>presupuesto!B3</f>
        <v>0</v>
      </c>
      <c r="D3" s="6"/>
      <c r="E3" s="58">
        <f>IFERROR(VLOOKUP(C3,presupuesto!B:E,4,FALSE),0)</f>
        <v>0</v>
      </c>
      <c r="F3" s="60">
        <f t="shared" ref="F3:F6" si="11">SUM(I3:VV3)</f>
        <v>0</v>
      </c>
      <c r="G3" s="6"/>
      <c r="H3" s="53" t="str">
        <f>presupuesto!C3</f>
        <v>AMPLIACION SERVICIO SANITARIO RURAL DE COQUIAO, COMUNA DE ANCUD, REGIÓN DE LOS LAGOS</v>
      </c>
      <c r="I3" s="6"/>
      <c r="J3" s="6"/>
      <c r="K3" s="6"/>
      <c r="L3" s="6"/>
      <c r="AA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54"/>
      <c r="AV3" s="6"/>
      <c r="AW3" s="6"/>
      <c r="AX3" s="6"/>
      <c r="AY3" s="6"/>
      <c r="AZ3" s="6"/>
      <c r="BB3" s="6"/>
      <c r="BC3" s="6"/>
    </row>
    <row r="4" spans="1:293" s="57" customFormat="1" ht="13" x14ac:dyDescent="0.3">
      <c r="A4" s="171"/>
      <c r="B4" s="53" t="str">
        <f>presupuesto!A4</f>
        <v>1.1</v>
      </c>
      <c r="C4" s="164">
        <f>presupuesto!B4</f>
        <v>0</v>
      </c>
      <c r="D4" s="55"/>
      <c r="E4" s="58">
        <f>IFERROR(VLOOKUP(C4,presupuesto!B:E,4,FALSE),0)</f>
        <v>0</v>
      </c>
      <c r="F4" s="60">
        <f t="shared" si="11"/>
        <v>0</v>
      </c>
      <c r="G4" s="55"/>
      <c r="H4" s="53" t="str">
        <f>presupuesto!C4</f>
        <v xml:space="preserve">   CAPÍTULO I: OBRAS CAPTACIÓN</v>
      </c>
      <c r="I4" s="55"/>
      <c r="J4" s="55"/>
      <c r="K4" s="6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6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</row>
    <row r="5" spans="1:293" x14ac:dyDescent="0.25">
      <c r="A5" s="171" t="str">
        <f>IFERROR(IF(VLOOKUP(B5,presupuesto!A:K,8,FALSE)&gt;0,VLOOKUP(B5,presupuesto!A:K,8,FALSE),"-"),"-")</f>
        <v>lun 16-12-24</v>
      </c>
      <c r="B5" s="53" t="str">
        <f>presupuesto!A5</f>
        <v>1.1.1</v>
      </c>
      <c r="C5" s="164" t="str">
        <f>presupuesto!B5</f>
        <v>A.-</v>
      </c>
      <c r="D5" s="58"/>
      <c r="E5" s="58">
        <f>IFERROR(VLOOKUP(C5,presupuesto!B:E,4,FALSE),0)</f>
        <v>0</v>
      </c>
      <c r="F5" s="60">
        <f t="shared" si="11"/>
        <v>0</v>
      </c>
      <c r="G5" s="58"/>
      <c r="H5" s="53" t="str">
        <f>presupuesto!C5</f>
        <v xml:space="preserve">      CAPTACIÓN SUPERFICIAL Y DESARENADOR</v>
      </c>
      <c r="I5" s="58"/>
      <c r="J5" s="58"/>
      <c r="K5" s="6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9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</row>
    <row r="6" spans="1:293" ht="12.75" customHeight="1" x14ac:dyDescent="0.25">
      <c r="A6" s="171" t="str">
        <f>IFERROR(IF(VLOOKUP(B6,presupuesto!A:K,8,FALSE)&gt;0,VLOOKUP(B6,presupuesto!A:K,8,FALSE),"-"),"-")</f>
        <v>mar 04-03-25</v>
      </c>
      <c r="B6" s="53" t="str">
        <f>presupuesto!A6</f>
        <v>1.1.1.1</v>
      </c>
      <c r="C6" s="164" t="str">
        <f>presupuesto!B6</f>
        <v>A.1.-</v>
      </c>
      <c r="D6" s="60"/>
      <c r="E6" s="58">
        <f>IFERROR(VLOOKUP(C6,presupuesto!B:E,4,FALSE),0)</f>
        <v>0</v>
      </c>
      <c r="F6" s="60">
        <f t="shared" si="11"/>
        <v>0</v>
      </c>
      <c r="G6" s="60"/>
      <c r="H6" s="53" t="str">
        <f>presupuesto!C6</f>
        <v xml:space="preserve">         DEMOLICION</v>
      </c>
      <c r="I6" s="60"/>
      <c r="J6" s="60"/>
      <c r="K6" s="6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1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</row>
    <row r="7" spans="1:293" ht="12.75" customHeight="1" x14ac:dyDescent="0.25">
      <c r="A7" s="171" t="str">
        <f>IFERROR(IF(VLOOKUP(B7,presupuesto!A:K,8,FALSE)&gt;0,VLOOKUP(B7,presupuesto!A:K,8,FALSE),"-"),"-")</f>
        <v>mar 04-03-25</v>
      </c>
      <c r="B7" s="53" t="str">
        <f>presupuesto!A7</f>
        <v>1.1.1.1.1</v>
      </c>
      <c r="C7" s="164">
        <f>presupuesto!B7</f>
        <v>1</v>
      </c>
      <c r="D7" s="60"/>
      <c r="E7" s="58">
        <f>IFERROR(VLOOKUP(C7,presupuesto!B:E,4,FALSE),0)</f>
        <v>11</v>
      </c>
      <c r="F7" s="60">
        <f>SUM(I7:VV7)</f>
        <v>0</v>
      </c>
      <c r="G7" s="60"/>
      <c r="H7" s="53" t="str">
        <f>presupuesto!C7</f>
        <v xml:space="preserve">            Demoliciones</v>
      </c>
      <c r="I7" s="60"/>
      <c r="J7" s="60"/>
      <c r="K7" s="6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1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</row>
    <row r="8" spans="1:293" ht="12.75" customHeight="1" x14ac:dyDescent="0.25">
      <c r="A8" s="171" t="str">
        <f>IFERROR(IF(VLOOKUP(B8,presupuesto!A:K,8,FALSE)&gt;0,VLOOKUP(B8,presupuesto!A:K,8,FALSE),"-"),"-")</f>
        <v>mar 11-03-25</v>
      </c>
      <c r="B8" s="53" t="str">
        <f>presupuesto!A8</f>
        <v>1.1.1.2</v>
      </c>
      <c r="C8" s="164" t="str">
        <f>presupuesto!B8</f>
        <v>A.2.-</v>
      </c>
      <c r="D8" s="60"/>
      <c r="E8" s="58">
        <f>IFERROR(VLOOKUP(C8,presupuesto!B:E,4,FALSE),0)</f>
        <v>0</v>
      </c>
      <c r="F8" s="60">
        <f t="shared" ref="F8:F71" si="12">SUM(I8:VV8)</f>
        <v>0</v>
      </c>
      <c r="G8" s="60"/>
      <c r="H8" s="53" t="str">
        <f>presupuesto!C8</f>
        <v xml:space="preserve">         MOVIMIENTOS DE TIERRA</v>
      </c>
      <c r="I8" s="60"/>
      <c r="J8" s="60"/>
      <c r="K8" s="6"/>
      <c r="L8" s="60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1"/>
      <c r="AV8" s="60"/>
      <c r="AW8" s="60"/>
      <c r="AX8" s="60"/>
      <c r="AY8" s="60"/>
      <c r="AZ8" s="60"/>
      <c r="BA8" s="58"/>
      <c r="BB8" s="58"/>
      <c r="BC8" s="58"/>
      <c r="BD8" s="58"/>
      <c r="BE8" s="58"/>
      <c r="BF8" s="58"/>
      <c r="BG8" s="58"/>
      <c r="BH8" s="58"/>
      <c r="BI8" s="58"/>
    </row>
    <row r="9" spans="1:293" ht="12.75" customHeight="1" x14ac:dyDescent="0.25">
      <c r="A9" s="171" t="str">
        <f>IFERROR(IF(VLOOKUP(B9,presupuesto!A:K,8,FALSE)&gt;0,VLOOKUP(B9,presupuesto!A:K,8,FALSE),"-"),"-")</f>
        <v>mar 11-03-25</v>
      </c>
      <c r="B9" s="53" t="str">
        <f>presupuesto!A9</f>
        <v>1.1.1.2.1</v>
      </c>
      <c r="C9" s="164">
        <f>presupuesto!B9</f>
        <v>2</v>
      </c>
      <c r="D9" s="60"/>
      <c r="E9" s="58">
        <f>IFERROR(VLOOKUP(C9,presupuesto!B:E,4,FALSE),0)</f>
        <v>5.3</v>
      </c>
      <c r="F9" s="60">
        <f t="shared" si="12"/>
        <v>0</v>
      </c>
      <c r="G9" s="60"/>
      <c r="H9" s="53" t="str">
        <f>presupuesto!C9</f>
        <v xml:space="preserve">            Excavación para fundación</v>
      </c>
      <c r="I9" s="60"/>
      <c r="J9" s="60"/>
      <c r="K9" s="6"/>
      <c r="L9" s="60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1"/>
      <c r="AV9" s="60"/>
      <c r="AW9" s="60"/>
      <c r="AX9" s="60"/>
      <c r="AY9" s="60"/>
      <c r="AZ9" s="60"/>
      <c r="BA9" s="58"/>
      <c r="BB9" s="58"/>
      <c r="BC9" s="58"/>
      <c r="BD9" s="58"/>
      <c r="BE9" s="58"/>
      <c r="BF9" s="58"/>
      <c r="BG9" s="58"/>
      <c r="BH9" s="58"/>
      <c r="BI9" s="58"/>
    </row>
    <row r="10" spans="1:293" ht="12.75" customHeight="1" x14ac:dyDescent="0.25">
      <c r="A10" s="171" t="str">
        <f>IFERROR(IF(VLOOKUP(B10,presupuesto!A:K,8,FALSE)&gt;0,VLOOKUP(B10,presupuesto!A:K,8,FALSE),"-"),"-")</f>
        <v>sáb 15-03-25</v>
      </c>
      <c r="B10" s="53" t="str">
        <f>presupuesto!A10</f>
        <v>1.1.1.2.2</v>
      </c>
      <c r="C10" s="164">
        <f>presupuesto!B10</f>
        <v>3</v>
      </c>
      <c r="D10" s="60"/>
      <c r="E10" s="58">
        <f>IFERROR(VLOOKUP(C10,presupuesto!B:E,4,FALSE),0)</f>
        <v>3</v>
      </c>
      <c r="F10" s="60">
        <f t="shared" si="12"/>
        <v>0</v>
      </c>
      <c r="G10" s="60"/>
      <c r="H10" s="53" t="str">
        <f>presupuesto!C10</f>
        <v xml:space="preserve">            Relleno de Excavaciones</v>
      </c>
      <c r="I10" s="60"/>
      <c r="J10" s="60"/>
      <c r="K10" s="6"/>
      <c r="L10" s="60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60"/>
      <c r="AI10" s="60"/>
      <c r="AJ10" s="60"/>
      <c r="AK10" s="60"/>
      <c r="AL10" s="60"/>
      <c r="AM10" s="60"/>
      <c r="AN10" s="60"/>
      <c r="AO10" s="60"/>
      <c r="AP10" s="60"/>
      <c r="AQ10" s="58"/>
      <c r="AR10" s="60"/>
      <c r="AS10" s="60"/>
      <c r="AT10" s="60"/>
      <c r="AU10" s="61"/>
      <c r="AV10" s="60"/>
      <c r="AW10" s="60"/>
      <c r="AX10" s="60"/>
      <c r="AY10" s="60"/>
      <c r="AZ10" s="60"/>
      <c r="BA10" s="58"/>
      <c r="BB10" s="58"/>
      <c r="BC10" s="58"/>
      <c r="BD10" s="58"/>
      <c r="BE10" s="58"/>
      <c r="BF10" s="58"/>
      <c r="BG10" s="58"/>
      <c r="BH10" s="58"/>
      <c r="BI10" s="58"/>
    </row>
    <row r="11" spans="1:293" ht="12.75" customHeight="1" x14ac:dyDescent="0.25">
      <c r="A11" s="171" t="str">
        <f>IFERROR(IF(VLOOKUP(B11,presupuesto!A:K,8,FALSE)&gt;0,VLOOKUP(B11,presupuesto!A:K,8,FALSE),"-"),"-")</f>
        <v>sáb 15-03-25</v>
      </c>
      <c r="B11" s="53" t="str">
        <f>presupuesto!A11</f>
        <v>1.1.1.2.3</v>
      </c>
      <c r="C11" s="164">
        <f>presupuesto!B11</f>
        <v>4</v>
      </c>
      <c r="D11" s="60"/>
      <c r="E11" s="58">
        <f>IFERROR(VLOOKUP(C11,presupuesto!B:E,4,FALSE),0)</f>
        <v>5</v>
      </c>
      <c r="F11" s="60">
        <f t="shared" si="12"/>
        <v>0</v>
      </c>
      <c r="G11" s="60"/>
      <c r="H11" s="53" t="str">
        <f>presupuesto!C11</f>
        <v xml:space="preserve">            Retiro de excedentes</v>
      </c>
      <c r="I11" s="60"/>
      <c r="J11" s="60"/>
      <c r="K11" s="6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60"/>
      <c r="AP11" s="58"/>
      <c r="AQ11" s="58"/>
      <c r="AR11" s="58"/>
      <c r="AS11" s="58"/>
      <c r="AT11" s="58"/>
      <c r="AU11" s="59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</row>
    <row r="12" spans="1:293" ht="12.75" customHeight="1" x14ac:dyDescent="0.25">
      <c r="A12" s="171" t="str">
        <f>IFERROR(IF(VLOOKUP(B12,presupuesto!A:K,8,FALSE)&gt;0,VLOOKUP(B12,presupuesto!A:K,8,FALSE),"-"),"-")</f>
        <v>lun 17-03-25</v>
      </c>
      <c r="B12" s="53" t="str">
        <f>presupuesto!A12</f>
        <v>1.1.1.3</v>
      </c>
      <c r="C12" s="164" t="str">
        <f>presupuesto!B12</f>
        <v>A.3.-</v>
      </c>
      <c r="D12" s="60"/>
      <c r="E12" s="58">
        <f>IFERROR(VLOOKUP(C12,presupuesto!B:E,4,FALSE),0)</f>
        <v>0</v>
      </c>
      <c r="F12" s="60">
        <f t="shared" si="12"/>
        <v>0</v>
      </c>
      <c r="G12" s="60"/>
      <c r="H12" s="53" t="str">
        <f>presupuesto!C12</f>
        <v xml:space="preserve">         HORMIGÓN ARMADO</v>
      </c>
      <c r="I12" s="60"/>
      <c r="J12" s="60"/>
      <c r="K12" s="6"/>
      <c r="L12" s="60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1"/>
      <c r="AV12" s="60"/>
      <c r="AW12" s="60"/>
      <c r="AX12" s="60"/>
      <c r="AY12" s="60"/>
      <c r="AZ12" s="60"/>
      <c r="BA12" s="58"/>
      <c r="BB12" s="58"/>
      <c r="BC12" s="58"/>
      <c r="BD12" s="58"/>
      <c r="BE12" s="58"/>
      <c r="BF12" s="58"/>
      <c r="BG12" s="58"/>
      <c r="BH12" s="58"/>
      <c r="BI12" s="58"/>
    </row>
    <row r="13" spans="1:293" ht="12.75" customHeight="1" x14ac:dyDescent="0.25">
      <c r="A13" s="171" t="str">
        <f>IFERROR(IF(VLOOKUP(B13,presupuesto!A:K,8,FALSE)&gt;0,VLOOKUP(B13,presupuesto!A:K,8,FALSE),"-"),"-")</f>
        <v>lun 17-03-25</v>
      </c>
      <c r="B13" s="53" t="str">
        <f>presupuesto!A13</f>
        <v>1.1.1.3.1</v>
      </c>
      <c r="C13" s="164">
        <f>presupuesto!B13</f>
        <v>5</v>
      </c>
      <c r="D13" s="60"/>
      <c r="E13" s="58">
        <f>IFERROR(VLOOKUP(C13,presupuesto!B:E,4,FALSE),0)</f>
        <v>3</v>
      </c>
      <c r="F13" s="60">
        <f t="shared" si="12"/>
        <v>0</v>
      </c>
      <c r="G13" s="60"/>
      <c r="H13" s="53" t="str">
        <f>presupuesto!C13</f>
        <v xml:space="preserve">            Hormigón G-5 Emplantillado</v>
      </c>
      <c r="I13" s="60"/>
      <c r="J13" s="60"/>
      <c r="K13" s="6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9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</row>
    <row r="14" spans="1:293" ht="12.75" customHeight="1" x14ac:dyDescent="0.25">
      <c r="A14" s="171" t="str">
        <f>IFERROR(IF(VLOOKUP(B14,presupuesto!A:K,8,FALSE)&gt;0,VLOOKUP(B14,presupuesto!A:K,8,FALSE),"-"),"-")</f>
        <v>lun 24-03-25</v>
      </c>
      <c r="B14" s="53" t="str">
        <f>presupuesto!A14</f>
        <v>1.1.1.3.2</v>
      </c>
      <c r="C14" s="164">
        <f>presupuesto!B14</f>
        <v>6</v>
      </c>
      <c r="D14" s="60"/>
      <c r="E14" s="58">
        <f>IFERROR(VLOOKUP(C14,presupuesto!B:E,4,FALSE),0)</f>
        <v>9</v>
      </c>
      <c r="F14" s="60">
        <f t="shared" si="12"/>
        <v>0</v>
      </c>
      <c r="G14" s="60"/>
      <c r="H14" s="53" t="str">
        <f>presupuesto!C14</f>
        <v xml:space="preserve">            Hormigón G-25</v>
      </c>
      <c r="I14" s="60"/>
      <c r="J14" s="60"/>
      <c r="K14" s="6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9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</row>
    <row r="15" spans="1:293" ht="12.75" customHeight="1" x14ac:dyDescent="0.25">
      <c r="A15" s="171" t="str">
        <f>IFERROR(IF(VLOOKUP(B15,presupuesto!A:K,8,FALSE)&gt;0,VLOOKUP(B15,presupuesto!A:K,8,FALSE),"-"),"-")</f>
        <v>mié 19-03-25</v>
      </c>
      <c r="B15" s="53" t="str">
        <f>presupuesto!A15</f>
        <v>1.1.1.3.3</v>
      </c>
      <c r="C15" s="164">
        <f>presupuesto!B15</f>
        <v>7</v>
      </c>
      <c r="D15" s="60"/>
      <c r="E15" s="58">
        <f>IFERROR(VLOOKUP(C15,presupuesto!B:E,4,FALSE),0)</f>
        <v>160</v>
      </c>
      <c r="F15" s="60">
        <f t="shared" si="12"/>
        <v>0</v>
      </c>
      <c r="G15" s="60"/>
      <c r="H15" s="53" t="str">
        <f>presupuesto!C15</f>
        <v xml:space="preserve">            Acero de refuerzo A63-42H</v>
      </c>
      <c r="I15" s="60"/>
      <c r="J15" s="60"/>
      <c r="K15" s="6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9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</row>
    <row r="16" spans="1:293" ht="12.75" customHeight="1" x14ac:dyDescent="0.25">
      <c r="A16" s="171" t="str">
        <f>IFERROR(IF(VLOOKUP(B16,presupuesto!A:K,8,FALSE)&gt;0,VLOOKUP(B16,presupuesto!A:K,8,FALSE),"-"),"-")</f>
        <v>vie 02-05-25</v>
      </c>
      <c r="B16" s="53" t="str">
        <f>presupuesto!A16</f>
        <v>1.1.1.4</v>
      </c>
      <c r="C16" s="164" t="str">
        <f>presupuesto!B16</f>
        <v>A.4.-</v>
      </c>
      <c r="D16" s="60"/>
      <c r="E16" s="58">
        <f>IFERROR(VLOOKUP(C16,presupuesto!B:E,4,FALSE),0)</f>
        <v>0</v>
      </c>
      <c r="F16" s="60">
        <f t="shared" si="12"/>
        <v>0</v>
      </c>
      <c r="G16" s="60"/>
      <c r="H16" s="53" t="str">
        <f>presupuesto!C16</f>
        <v xml:space="preserve">         PASARELA ACERO GALVANIZADO</v>
      </c>
      <c r="I16" s="60"/>
      <c r="J16" s="60"/>
      <c r="K16" s="6"/>
      <c r="L16" s="60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1"/>
      <c r="AV16" s="60"/>
      <c r="AW16" s="60"/>
      <c r="AX16" s="60"/>
      <c r="AY16" s="60"/>
      <c r="AZ16" s="60"/>
      <c r="BA16" s="58"/>
      <c r="BB16" s="58"/>
      <c r="BC16" s="58"/>
      <c r="BD16" s="58"/>
      <c r="BE16" s="58"/>
      <c r="BF16" s="58"/>
      <c r="BG16" s="58"/>
      <c r="BH16" s="58"/>
      <c r="BI16" s="58"/>
    </row>
    <row r="17" spans="1:61" ht="12.75" customHeight="1" x14ac:dyDescent="0.25">
      <c r="A17" s="171" t="str">
        <f>IFERROR(IF(VLOOKUP(B17,presupuesto!A:K,8,FALSE)&gt;0,VLOOKUP(B17,presupuesto!A:K,8,FALSE),"-"),"-")</f>
        <v>vie 02-05-25</v>
      </c>
      <c r="B17" s="53" t="str">
        <f>presupuesto!A17</f>
        <v>1.1.1.4.1</v>
      </c>
      <c r="C17" s="164">
        <f>presupuesto!B17</f>
        <v>8</v>
      </c>
      <c r="D17" s="60"/>
      <c r="E17" s="58">
        <f>IFERROR(VLOOKUP(C17,presupuesto!B:E,4,FALSE),0)</f>
        <v>1</v>
      </c>
      <c r="F17" s="60">
        <f t="shared" si="12"/>
        <v>0</v>
      </c>
      <c r="G17" s="60"/>
      <c r="H17" s="53" t="str">
        <f>presupuesto!C17</f>
        <v xml:space="preserve">            Pasarela acero galvanizado</v>
      </c>
      <c r="I17" s="60"/>
      <c r="J17" s="60"/>
      <c r="K17" s="6"/>
      <c r="L17" s="60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60"/>
      <c r="AI17" s="60"/>
      <c r="AJ17" s="60"/>
      <c r="AK17" s="60"/>
      <c r="AL17" s="60"/>
      <c r="AM17" s="58"/>
      <c r="AN17" s="58"/>
      <c r="AO17" s="60"/>
      <c r="AP17" s="60"/>
      <c r="AQ17" s="60"/>
      <c r="AR17" s="60"/>
      <c r="AS17" s="60"/>
      <c r="AT17" s="60"/>
      <c r="AU17" s="61"/>
      <c r="AV17" s="60"/>
      <c r="AW17" s="60"/>
      <c r="AX17" s="60"/>
      <c r="AY17" s="60"/>
      <c r="AZ17" s="60"/>
      <c r="BA17" s="58"/>
      <c r="BB17" s="58"/>
      <c r="BC17" s="58"/>
      <c r="BD17" s="58"/>
      <c r="BE17" s="58"/>
      <c r="BF17" s="58"/>
      <c r="BG17" s="58"/>
      <c r="BH17" s="58"/>
      <c r="BI17" s="58"/>
    </row>
    <row r="18" spans="1:61" ht="12.75" customHeight="1" x14ac:dyDescent="0.25">
      <c r="A18" s="171" t="str">
        <f>IFERROR(IF(VLOOKUP(B18,presupuesto!A:K,8,FALSE)&gt;0,VLOOKUP(B18,presupuesto!A:K,8,FALSE),"-"),"-")</f>
        <v>lun 16-12-24</v>
      </c>
      <c r="B18" s="53" t="str">
        <f>presupuesto!A18</f>
        <v>1.1.1.5</v>
      </c>
      <c r="C18" s="164" t="str">
        <f>presupuesto!B18</f>
        <v>A.5.-</v>
      </c>
      <c r="D18" s="60"/>
      <c r="E18" s="58">
        <f>IFERROR(VLOOKUP(C18,presupuesto!B:E,4,FALSE),0)</f>
        <v>0</v>
      </c>
      <c r="F18" s="60">
        <f t="shared" si="12"/>
        <v>0</v>
      </c>
      <c r="G18" s="60"/>
      <c r="H18" s="53" t="str">
        <f>presupuesto!C18</f>
        <v xml:space="preserve">         OBRAS COMPLEMENTARIAS</v>
      </c>
      <c r="I18" s="60"/>
      <c r="J18" s="60"/>
      <c r="K18" s="6"/>
      <c r="L18" s="60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60"/>
      <c r="AI18" s="60"/>
      <c r="AJ18" s="60"/>
      <c r="AK18" s="60"/>
      <c r="AL18" s="60"/>
      <c r="AM18" s="58"/>
      <c r="AN18" s="58"/>
      <c r="AO18" s="60"/>
      <c r="AP18" s="60"/>
      <c r="AQ18" s="60"/>
      <c r="AR18" s="60"/>
      <c r="AS18" s="60"/>
      <c r="AT18" s="60"/>
      <c r="AU18" s="61"/>
      <c r="AV18" s="60"/>
      <c r="AW18" s="60"/>
      <c r="AX18" s="60"/>
      <c r="AY18" s="60"/>
      <c r="AZ18" s="60"/>
      <c r="BA18" s="58"/>
      <c r="BB18" s="58"/>
      <c r="BC18" s="58"/>
      <c r="BD18" s="58"/>
      <c r="BE18" s="58"/>
      <c r="BF18" s="58"/>
      <c r="BG18" s="58"/>
      <c r="BH18" s="58"/>
      <c r="BI18" s="58"/>
    </row>
    <row r="19" spans="1:61" ht="12.75" customHeight="1" x14ac:dyDescent="0.25">
      <c r="A19" s="171" t="str">
        <f>IFERROR(IF(VLOOKUP(B19,presupuesto!A:K,8,FALSE)&gt;0,VLOOKUP(B19,presupuesto!A:K,8,FALSE),"-"),"-")</f>
        <v>lun 16-12-24</v>
      </c>
      <c r="B19" s="53" t="str">
        <f>presupuesto!A19</f>
        <v>1.1.1.5.1</v>
      </c>
      <c r="C19" s="164">
        <f>presupuesto!B19</f>
        <v>9</v>
      </c>
      <c r="D19" s="60"/>
      <c r="E19" s="58">
        <f>IFERROR(VLOOKUP(C19,presupuesto!B:E,4,FALSE),0)</f>
        <v>2</v>
      </c>
      <c r="F19" s="60">
        <f t="shared" si="12"/>
        <v>0</v>
      </c>
      <c r="G19" s="60"/>
      <c r="H19" s="53" t="str">
        <f>presupuesto!C19</f>
        <v xml:space="preserve">            Suministro y montaje motobombas KSB UPAcrhom 150-16/10cc DN100 o equivalente</v>
      </c>
      <c r="I19" s="60"/>
      <c r="J19" s="60"/>
      <c r="K19" s="6"/>
      <c r="L19" s="60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60"/>
      <c r="AI19" s="60"/>
      <c r="AJ19" s="60"/>
      <c r="AK19" s="60"/>
      <c r="AL19" s="60"/>
      <c r="AM19" s="58"/>
      <c r="AN19" s="58"/>
      <c r="AO19" s="60"/>
      <c r="AP19" s="60"/>
      <c r="AQ19" s="60"/>
      <c r="AR19" s="60"/>
      <c r="AS19" s="60"/>
      <c r="AT19" s="60"/>
      <c r="AU19" s="61"/>
      <c r="AV19" s="60"/>
      <c r="AW19" s="60"/>
      <c r="AX19" s="60"/>
      <c r="AY19" s="60"/>
      <c r="AZ19" s="60"/>
      <c r="BA19" s="58"/>
      <c r="BB19" s="58"/>
      <c r="BC19" s="58"/>
      <c r="BD19" s="58"/>
      <c r="BE19" s="58"/>
      <c r="BF19" s="58"/>
      <c r="BG19" s="58"/>
      <c r="BH19" s="58"/>
      <c r="BI19" s="58"/>
    </row>
    <row r="20" spans="1:61" ht="12.75" customHeight="1" x14ac:dyDescent="0.25">
      <c r="A20" s="171" t="str">
        <f>IFERROR(IF(VLOOKUP(B20,presupuesto!A:K,8,FALSE)&gt;0,VLOOKUP(B20,presupuesto!A:K,8,FALSE),"-"),"-")</f>
        <v>lun 07-04-25</v>
      </c>
      <c r="B20" s="53" t="str">
        <f>presupuesto!A20</f>
        <v>1.1.2</v>
      </c>
      <c r="C20" s="164" t="str">
        <f>presupuesto!B20</f>
        <v>B</v>
      </c>
      <c r="D20" s="60"/>
      <c r="E20" s="58">
        <f>IFERROR(VLOOKUP(C20,presupuesto!B:E,4,FALSE),0)</f>
        <v>0</v>
      </c>
      <c r="F20" s="60">
        <f t="shared" si="12"/>
        <v>0</v>
      </c>
      <c r="G20" s="60"/>
      <c r="H20" s="53" t="str">
        <f>presupuesto!C20</f>
        <v xml:space="preserve">      OBRAS VARIAS</v>
      </c>
      <c r="I20" s="60"/>
      <c r="J20" s="60"/>
      <c r="K20" s="6"/>
      <c r="L20" s="60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60"/>
      <c r="AI20" s="60"/>
      <c r="AJ20" s="60"/>
      <c r="AK20" s="60"/>
      <c r="AL20" s="60"/>
      <c r="AM20" s="58"/>
      <c r="AN20" s="58"/>
      <c r="AO20" s="60"/>
      <c r="AP20" s="60"/>
      <c r="AQ20" s="60"/>
      <c r="AR20" s="60"/>
      <c r="AS20" s="60"/>
      <c r="AT20" s="60"/>
      <c r="AU20" s="61"/>
      <c r="AV20" s="60"/>
      <c r="AW20" s="60"/>
      <c r="AX20" s="60"/>
      <c r="AY20" s="60"/>
      <c r="AZ20" s="60"/>
      <c r="BA20" s="58"/>
      <c r="BB20" s="58"/>
      <c r="BC20" s="58"/>
      <c r="BD20" s="58"/>
      <c r="BE20" s="58"/>
      <c r="BF20" s="58"/>
      <c r="BG20" s="58"/>
      <c r="BH20" s="58"/>
      <c r="BI20" s="58"/>
    </row>
    <row r="21" spans="1:61" ht="12.75" customHeight="1" x14ac:dyDescent="0.25">
      <c r="A21" s="171" t="str">
        <f>IFERROR(IF(VLOOKUP(B21,presupuesto!A:K,8,FALSE)&gt;0,VLOOKUP(B21,presupuesto!A:K,8,FALSE),"-"),"-")</f>
        <v>lun 07-04-25</v>
      </c>
      <c r="B21" s="53" t="str">
        <f>presupuesto!A21</f>
        <v>1.1.2.1</v>
      </c>
      <c r="C21" s="164">
        <f>presupuesto!B21</f>
        <v>10</v>
      </c>
      <c r="D21" s="58"/>
      <c r="E21" s="58">
        <f>IFERROR(VLOOKUP(C21,presupuesto!B:E,4,FALSE),0)</f>
        <v>1</v>
      </c>
      <c r="F21" s="60">
        <f t="shared" si="12"/>
        <v>0</v>
      </c>
      <c r="G21" s="58"/>
      <c r="H21" s="53" t="str">
        <f>presupuesto!C21</f>
        <v xml:space="preserve">         Pedraplen</v>
      </c>
      <c r="I21" s="58"/>
      <c r="J21" s="58"/>
      <c r="K21" s="6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9"/>
      <c r="AV21" s="58"/>
      <c r="AW21" s="58"/>
      <c r="AX21" s="58"/>
      <c r="AY21" s="60"/>
      <c r="AZ21" s="58"/>
      <c r="BA21" s="58"/>
      <c r="BB21" s="58"/>
      <c r="BC21" s="58"/>
      <c r="BD21" s="58"/>
      <c r="BE21" s="58"/>
      <c r="BF21" s="58"/>
      <c r="BG21" s="58"/>
      <c r="BH21" s="58"/>
      <c r="BI21" s="58"/>
    </row>
    <row r="22" spans="1:61" ht="12.75" customHeight="1" x14ac:dyDescent="0.25">
      <c r="A22" s="171" t="str">
        <f>IFERROR(IF(VLOOKUP(B22,presupuesto!A:K,8,FALSE)&gt;0,VLOOKUP(B22,presupuesto!A:K,8,FALSE),"-"),"-")</f>
        <v>mar 15-04-25</v>
      </c>
      <c r="B22" s="53" t="str">
        <f>presupuesto!A22</f>
        <v>1.1.2.2</v>
      </c>
      <c r="C22" s="164">
        <f>presupuesto!B22</f>
        <v>11</v>
      </c>
      <c r="D22" s="58"/>
      <c r="E22" s="58">
        <f>IFERROR(VLOOKUP(C22,presupuesto!B:E,4,FALSE),0)</f>
        <v>1</v>
      </c>
      <c r="F22" s="60">
        <f t="shared" si="12"/>
        <v>0</v>
      </c>
      <c r="G22" s="58"/>
      <c r="H22" s="53" t="str">
        <f>presupuesto!C22</f>
        <v xml:space="preserve">         Compuerta Desripiadora</v>
      </c>
      <c r="I22" s="60"/>
      <c r="J22" s="60"/>
      <c r="K22" s="6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60"/>
      <c r="AJ22" s="60"/>
      <c r="AK22" s="60"/>
      <c r="AL22" s="60"/>
      <c r="AM22" s="58"/>
      <c r="AN22" s="58"/>
      <c r="AO22" s="58"/>
      <c r="AP22" s="60"/>
      <c r="AQ22" s="60"/>
      <c r="AR22" s="60"/>
      <c r="AS22" s="60"/>
      <c r="AT22" s="60"/>
      <c r="AU22" s="61"/>
      <c r="AV22" s="60"/>
      <c r="AW22" s="60"/>
      <c r="AX22" s="60"/>
      <c r="AY22" s="60"/>
      <c r="AZ22" s="58"/>
      <c r="BA22" s="58"/>
      <c r="BB22" s="58"/>
      <c r="BC22" s="58"/>
      <c r="BD22" s="58"/>
      <c r="BE22" s="58"/>
      <c r="BF22" s="58"/>
      <c r="BG22" s="58"/>
      <c r="BH22" s="58"/>
      <c r="BI22" s="58"/>
    </row>
    <row r="23" spans="1:61" ht="12.75" customHeight="1" x14ac:dyDescent="0.25">
      <c r="A23" s="171" t="str">
        <f>IFERROR(IF(VLOOKUP(B23,presupuesto!A:K,8,FALSE)&gt;0,VLOOKUP(B23,presupuesto!A:K,8,FALSE),"-"),"-")</f>
        <v>mar 15-04-25</v>
      </c>
      <c r="B23" s="53" t="str">
        <f>presupuesto!A23</f>
        <v>1.1.2.3</v>
      </c>
      <c r="C23" s="164">
        <f>presupuesto!B23</f>
        <v>12</v>
      </c>
      <c r="D23" s="58"/>
      <c r="E23" s="58">
        <f>IFERROR(VLOOKUP(C23,presupuesto!B:E,4,FALSE),0)</f>
        <v>2</v>
      </c>
      <c r="F23" s="60">
        <f t="shared" si="12"/>
        <v>0</v>
      </c>
      <c r="G23" s="58"/>
      <c r="H23" s="53" t="str">
        <f>presupuesto!C23</f>
        <v xml:space="preserve">         Machones Bombas</v>
      </c>
      <c r="I23" s="58"/>
      <c r="J23" s="58"/>
      <c r="K23" s="6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60"/>
      <c r="AM23" s="58"/>
      <c r="AN23" s="58"/>
      <c r="AO23" s="60"/>
      <c r="AP23" s="60"/>
      <c r="AQ23" s="60"/>
      <c r="AR23" s="60"/>
      <c r="AS23" s="60"/>
      <c r="AT23" s="60"/>
      <c r="AU23" s="61"/>
      <c r="AV23" s="60"/>
      <c r="AW23" s="60"/>
      <c r="AX23" s="60"/>
      <c r="AY23" s="60"/>
      <c r="AZ23" s="58"/>
      <c r="BA23" s="58"/>
      <c r="BB23" s="58"/>
      <c r="BC23" s="58"/>
      <c r="BD23" s="58"/>
      <c r="BE23" s="58"/>
      <c r="BF23" s="58"/>
      <c r="BG23" s="58"/>
      <c r="BH23" s="58"/>
      <c r="BI23" s="58"/>
    </row>
    <row r="24" spans="1:61" x14ac:dyDescent="0.25">
      <c r="A24" s="171" t="str">
        <f>IFERROR(IF(VLOOKUP(B24,presupuesto!A:K,8,FALSE)&gt;0,VLOOKUP(B24,presupuesto!A:K,8,FALSE),"-"),"-")</f>
        <v>lun 14-04-25</v>
      </c>
      <c r="B24" s="53" t="str">
        <f>presupuesto!A24</f>
        <v>1.1.2.4</v>
      </c>
      <c r="C24" s="164">
        <f>presupuesto!B24</f>
        <v>13</v>
      </c>
      <c r="D24" s="58"/>
      <c r="E24" s="58">
        <f>IFERROR(VLOOKUP(C24,presupuesto!B:E,4,FALSE),0)</f>
        <v>1</v>
      </c>
      <c r="F24" s="60">
        <f t="shared" si="12"/>
        <v>0</v>
      </c>
      <c r="G24" s="58"/>
      <c r="H24" s="53" t="str">
        <f>presupuesto!C24</f>
        <v xml:space="preserve">         Modificación Cierre Perimetral</v>
      </c>
      <c r="I24" s="60"/>
      <c r="J24" s="60"/>
      <c r="K24" s="6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60"/>
      <c r="AJ24" s="60"/>
      <c r="AK24" s="60"/>
      <c r="AL24" s="60"/>
      <c r="AM24" s="58"/>
      <c r="AN24" s="58"/>
      <c r="AO24" s="60"/>
      <c r="AP24" s="58"/>
      <c r="AQ24" s="60"/>
      <c r="AR24" s="60"/>
      <c r="AS24" s="60"/>
      <c r="AT24" s="60"/>
      <c r="AU24" s="61"/>
      <c r="AV24" s="60"/>
      <c r="AW24" s="60"/>
      <c r="AX24" s="60"/>
      <c r="AY24" s="60"/>
      <c r="AZ24" s="58"/>
      <c r="BA24" s="58"/>
      <c r="BB24" s="58"/>
      <c r="BC24" s="58"/>
      <c r="BD24" s="58"/>
      <c r="BE24" s="58"/>
      <c r="BF24" s="58"/>
      <c r="BG24" s="58"/>
      <c r="BH24" s="58"/>
      <c r="BI24" s="58"/>
    </row>
    <row r="25" spans="1:61" x14ac:dyDescent="0.25">
      <c r="A25" s="171" t="str">
        <f>IFERROR(IF(VLOOKUP(B25,presupuesto!A:K,8,FALSE)&gt;0,VLOOKUP(B25,presupuesto!A:K,8,FALSE),"-"),"-")</f>
        <v>dom 16-02-25</v>
      </c>
      <c r="B25" s="53" t="str">
        <f>presupuesto!A25</f>
        <v>1.2</v>
      </c>
      <c r="C25" s="164">
        <f>presupuesto!B25</f>
        <v>0</v>
      </c>
      <c r="D25" s="58"/>
      <c r="E25" s="58">
        <f>IFERROR(VLOOKUP(C25,presupuesto!B:E,4,FALSE),0)</f>
        <v>0</v>
      </c>
      <c r="F25" s="60">
        <f t="shared" si="12"/>
        <v>0</v>
      </c>
      <c r="G25" s="58"/>
      <c r="H25" s="53" t="str">
        <f>presupuesto!C25</f>
        <v xml:space="preserve">   CAPÍTULO II: OBRAS IMPULSIÓN A ESTANQUE</v>
      </c>
      <c r="I25" s="58"/>
      <c r="J25" s="58"/>
      <c r="K25" s="6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60"/>
      <c r="AG25" s="60"/>
      <c r="AH25" s="60"/>
      <c r="AI25" s="60"/>
      <c r="AJ25" s="60"/>
      <c r="AK25" s="60"/>
      <c r="AL25" s="60"/>
      <c r="AM25" s="60"/>
      <c r="AN25" s="60"/>
      <c r="AO25" s="58"/>
      <c r="AP25" s="58"/>
      <c r="AQ25" s="60"/>
      <c r="AR25" s="60"/>
      <c r="AS25" s="60"/>
      <c r="AT25" s="60"/>
      <c r="AU25" s="61"/>
      <c r="AV25" s="60"/>
      <c r="AW25" s="60"/>
      <c r="AX25" s="60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</row>
    <row r="26" spans="1:61" x14ac:dyDescent="0.25">
      <c r="A26" s="171" t="str">
        <f>IFERROR(IF(VLOOKUP(B26,presupuesto!A:K,8,FALSE)&gt;0,VLOOKUP(B26,presupuesto!A:K,8,FALSE),"-"),"-")</f>
        <v>dom 16-02-25</v>
      </c>
      <c r="B26" s="53" t="str">
        <f>presupuesto!A26</f>
        <v>1.2.1</v>
      </c>
      <c r="C26" s="164" t="str">
        <f>presupuesto!B26</f>
        <v>A.-</v>
      </c>
      <c r="D26" s="58"/>
      <c r="E26" s="58">
        <f>IFERROR(VLOOKUP(C26,presupuesto!B:E,4,FALSE),0)</f>
        <v>0</v>
      </c>
      <c r="F26" s="60">
        <f t="shared" si="12"/>
        <v>0</v>
      </c>
      <c r="G26" s="58"/>
      <c r="H26" s="53" t="str">
        <f>presupuesto!C26</f>
        <v xml:space="preserve">      MOVIMIENTO DE TIERRAS</v>
      </c>
      <c r="I26" s="58"/>
      <c r="J26" s="58"/>
      <c r="K26" s="6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60"/>
      <c r="AG26" s="60"/>
      <c r="AH26" s="60"/>
      <c r="AI26" s="60"/>
      <c r="AJ26" s="60"/>
      <c r="AK26" s="60"/>
      <c r="AL26" s="60"/>
      <c r="AM26" s="60"/>
      <c r="AN26" s="60"/>
      <c r="AO26" s="58"/>
      <c r="AP26" s="58"/>
      <c r="AQ26" s="60"/>
      <c r="AR26" s="60"/>
      <c r="AS26" s="60"/>
      <c r="AT26" s="60"/>
      <c r="AU26" s="61"/>
      <c r="AV26" s="60"/>
      <c r="AW26" s="60"/>
      <c r="AX26" s="60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</row>
    <row r="27" spans="1:61" x14ac:dyDescent="0.25">
      <c r="A27" s="171" t="str">
        <f>IFERROR(IF(VLOOKUP(B27,presupuesto!A:K,8,FALSE)&gt;0,VLOOKUP(B27,presupuesto!A:K,8,FALSE),"-"),"-")</f>
        <v>dom 16-02-25</v>
      </c>
      <c r="B27" s="53" t="str">
        <f>presupuesto!A27</f>
        <v>1.2.1.1</v>
      </c>
      <c r="C27" s="164">
        <f>presupuesto!B27</f>
        <v>14</v>
      </c>
      <c r="D27" s="58"/>
      <c r="E27" s="58">
        <f>IFERROR(VLOOKUP(C27,presupuesto!B:E,4,FALSE),0)</f>
        <v>860.14</v>
      </c>
      <c r="F27" s="60">
        <f t="shared" si="12"/>
        <v>0</v>
      </c>
      <c r="G27" s="58"/>
      <c r="H27" s="53" t="str">
        <f>presupuesto!C27</f>
        <v xml:space="preserve">         Excavación de zanja, terreno Tipo III</v>
      </c>
      <c r="I27" s="58"/>
      <c r="J27" s="58"/>
      <c r="K27" s="6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60"/>
      <c r="AG27" s="60"/>
      <c r="AH27" s="60"/>
      <c r="AI27" s="60"/>
      <c r="AJ27" s="60"/>
      <c r="AK27" s="60"/>
      <c r="AL27" s="60"/>
      <c r="AM27" s="60"/>
      <c r="AN27" s="60"/>
      <c r="AO27" s="58"/>
      <c r="AP27" s="58"/>
      <c r="AQ27" s="60"/>
      <c r="AR27" s="60"/>
      <c r="AS27" s="60"/>
      <c r="AT27" s="60"/>
      <c r="AU27" s="61"/>
      <c r="AV27" s="60"/>
      <c r="AW27" s="60"/>
      <c r="AX27" s="60"/>
      <c r="AY27" s="60"/>
      <c r="AZ27" s="58"/>
      <c r="BA27" s="58"/>
      <c r="BB27" s="58"/>
      <c r="BC27" s="58"/>
      <c r="BD27" s="58"/>
      <c r="BE27" s="58"/>
      <c r="BF27" s="58"/>
      <c r="BG27" s="58"/>
      <c r="BH27" s="58"/>
      <c r="BI27" s="58"/>
    </row>
    <row r="28" spans="1:61" x14ac:dyDescent="0.25">
      <c r="A28" s="171" t="str">
        <f>IFERROR(IF(VLOOKUP(B28,presupuesto!A:K,8,FALSE)&gt;0,VLOOKUP(B28,presupuesto!A:K,8,FALSE),"-"),"-")</f>
        <v>dom 16-02-25</v>
      </c>
      <c r="B28" s="53" t="str">
        <f>presupuesto!A28</f>
        <v>1.2.1.2</v>
      </c>
      <c r="C28" s="164">
        <f>presupuesto!B28</f>
        <v>15</v>
      </c>
      <c r="D28" s="58"/>
      <c r="E28" s="58">
        <f>IFERROR(VLOOKUP(C28,presupuesto!B:E,4,FALSE),0)</f>
        <v>99.2</v>
      </c>
      <c r="F28" s="60">
        <f t="shared" si="12"/>
        <v>0</v>
      </c>
      <c r="G28" s="58"/>
      <c r="H28" s="53" t="str">
        <f>presupuesto!C28</f>
        <v xml:space="preserve">         Base de apoyo</v>
      </c>
      <c r="I28" s="60"/>
      <c r="J28" s="58"/>
      <c r="K28" s="6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60"/>
      <c r="AG28" s="60"/>
      <c r="AH28" s="60"/>
      <c r="AI28" s="60"/>
      <c r="AJ28" s="60"/>
      <c r="AK28" s="60"/>
      <c r="AL28" s="60"/>
      <c r="AM28" s="60"/>
      <c r="AN28" s="60"/>
      <c r="AO28" s="58"/>
      <c r="AP28" s="60"/>
      <c r="AQ28" s="60"/>
      <c r="AR28" s="60"/>
      <c r="AS28" s="60"/>
      <c r="AT28" s="60"/>
      <c r="AU28" s="61"/>
      <c r="AV28" s="60"/>
      <c r="AW28" s="60"/>
      <c r="AX28" s="60"/>
      <c r="AY28" s="60"/>
      <c r="AZ28" s="58"/>
      <c r="BA28" s="58"/>
      <c r="BB28" s="58"/>
      <c r="BC28" s="58"/>
      <c r="BD28" s="58"/>
      <c r="BE28" s="58"/>
      <c r="BF28" s="58"/>
      <c r="BG28" s="58"/>
      <c r="BH28" s="58"/>
      <c r="BI28" s="58"/>
    </row>
    <row r="29" spans="1:61" x14ac:dyDescent="0.25">
      <c r="A29" s="171" t="str">
        <f>IFERROR(IF(VLOOKUP(B29,presupuesto!A:K,8,FALSE)&gt;0,VLOOKUP(B29,presupuesto!A:K,8,FALSE),"-"),"-")</f>
        <v>dom 16-02-25</v>
      </c>
      <c r="B29" s="53" t="str">
        <f>presupuesto!A29</f>
        <v>1.2.1.3</v>
      </c>
      <c r="C29" s="164">
        <f>presupuesto!B29</f>
        <v>16</v>
      </c>
      <c r="D29" s="58"/>
      <c r="E29" s="58">
        <f>IFERROR(VLOOKUP(C29,presupuesto!B:E,4,FALSE),0)</f>
        <v>754.44</v>
      </c>
      <c r="F29" s="60">
        <f t="shared" si="12"/>
        <v>0</v>
      </c>
      <c r="G29" s="58"/>
      <c r="H29" s="53" t="str">
        <f>presupuesto!C29</f>
        <v xml:space="preserve">         Relleno de zanja</v>
      </c>
      <c r="I29" s="58"/>
      <c r="J29" s="58"/>
      <c r="K29" s="6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60"/>
      <c r="AG29" s="60"/>
      <c r="AH29" s="60"/>
      <c r="AI29" s="60"/>
      <c r="AJ29" s="60"/>
      <c r="AK29" s="60"/>
      <c r="AL29" s="60"/>
      <c r="AM29" s="60"/>
      <c r="AN29" s="60"/>
      <c r="AO29" s="58"/>
      <c r="AP29" s="58"/>
      <c r="AQ29" s="60"/>
      <c r="AR29" s="60"/>
      <c r="AS29" s="60"/>
      <c r="AT29" s="60"/>
      <c r="AU29" s="61"/>
      <c r="AV29" s="60"/>
      <c r="AW29" s="60"/>
      <c r="AX29" s="60"/>
      <c r="AY29" s="60"/>
      <c r="AZ29" s="58"/>
      <c r="BA29" s="58"/>
      <c r="BB29" s="58"/>
      <c r="BC29" s="58"/>
      <c r="BD29" s="58"/>
      <c r="BE29" s="58"/>
      <c r="BF29" s="58"/>
      <c r="BG29" s="58"/>
      <c r="BH29" s="58"/>
      <c r="BI29" s="58"/>
    </row>
    <row r="30" spans="1:61" x14ac:dyDescent="0.25">
      <c r="A30" s="171" t="str">
        <f>IFERROR(IF(VLOOKUP(B30,presupuesto!A:K,8,FALSE)&gt;0,VLOOKUP(B30,presupuesto!A:K,8,FALSE),"-"),"-")</f>
        <v>dom 16-02-25</v>
      </c>
      <c r="B30" s="53" t="str">
        <f>presupuesto!A30</f>
        <v>1.2.1.4</v>
      </c>
      <c r="C30" s="164">
        <f>presupuesto!B30</f>
        <v>17</v>
      </c>
      <c r="D30" s="58"/>
      <c r="E30" s="58">
        <f>IFERROR(VLOOKUP(C30,presupuesto!B:E,4,FALSE),0)</f>
        <v>288.31</v>
      </c>
      <c r="F30" s="60">
        <f t="shared" si="12"/>
        <v>0</v>
      </c>
      <c r="G30" s="58"/>
      <c r="H30" s="53" t="str">
        <f>presupuesto!C30</f>
        <v xml:space="preserve">         Retiro de excedentes</v>
      </c>
      <c r="I30" s="58"/>
      <c r="J30" s="58"/>
      <c r="K30" s="6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60"/>
      <c r="AG30" s="60"/>
      <c r="AH30" s="60"/>
      <c r="AI30" s="60"/>
      <c r="AJ30" s="60"/>
      <c r="AK30" s="60"/>
      <c r="AL30" s="60"/>
      <c r="AM30" s="60"/>
      <c r="AN30" s="60"/>
      <c r="AO30" s="58"/>
      <c r="AP30" s="58"/>
      <c r="AQ30" s="60"/>
      <c r="AR30" s="60"/>
      <c r="AS30" s="60"/>
      <c r="AT30" s="60"/>
      <c r="AU30" s="61"/>
      <c r="AV30" s="60"/>
      <c r="AW30" s="60"/>
      <c r="AX30" s="60"/>
      <c r="AY30" s="3"/>
      <c r="AZ30" s="58"/>
      <c r="BA30" s="58"/>
      <c r="BB30" s="58"/>
      <c r="BC30" s="58"/>
      <c r="BD30" s="58"/>
      <c r="BE30" s="58"/>
      <c r="BF30" s="58"/>
      <c r="BG30" s="58"/>
      <c r="BH30" s="58"/>
      <c r="BI30" s="58"/>
    </row>
    <row r="31" spans="1:61" x14ac:dyDescent="0.25">
      <c r="A31" s="171" t="str">
        <f>IFERROR(IF(VLOOKUP(B31,presupuesto!A:K,8,FALSE)&gt;0,VLOOKUP(B31,presupuesto!A:K,8,FALSE),"-"),"-")</f>
        <v>dom 16-02-25</v>
      </c>
      <c r="B31" s="53" t="str">
        <f>presupuesto!A31</f>
        <v>1.2.2</v>
      </c>
      <c r="C31" s="164" t="str">
        <f>presupuesto!B31</f>
        <v>B.-</v>
      </c>
      <c r="D31" s="58"/>
      <c r="E31" s="58">
        <f>IFERROR(VLOOKUP(C31,presupuesto!B:E,4,FALSE),0)</f>
        <v>0</v>
      </c>
      <c r="F31" s="60">
        <f t="shared" si="12"/>
        <v>0</v>
      </c>
      <c r="G31" s="58"/>
      <c r="H31" s="53" t="str">
        <f>presupuesto!C31</f>
        <v xml:space="preserve">      INTERCONEXIONES HIDRÁULICAS</v>
      </c>
      <c r="I31" s="58"/>
      <c r="J31" s="58"/>
      <c r="K31" s="6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60"/>
      <c r="AG31" s="60"/>
      <c r="AH31" s="60"/>
      <c r="AI31" s="60"/>
      <c r="AJ31" s="60"/>
      <c r="AK31" s="60"/>
      <c r="AL31" s="60"/>
      <c r="AM31" s="60"/>
      <c r="AN31" s="60"/>
      <c r="AO31" s="58"/>
      <c r="AP31" s="58"/>
      <c r="AQ31" s="60"/>
      <c r="AR31" s="60"/>
      <c r="AS31" s="60"/>
      <c r="AT31" s="60"/>
      <c r="AU31" s="61"/>
      <c r="AV31" s="60"/>
      <c r="AW31" s="60"/>
      <c r="AX31" s="60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</row>
    <row r="32" spans="1:61" x14ac:dyDescent="0.25">
      <c r="A32" s="171" t="str">
        <f>IFERROR(IF(VLOOKUP(B32,presupuesto!A:K,8,FALSE)&gt;0,VLOOKUP(B32,presupuesto!A:K,8,FALSE),"-"),"-")</f>
        <v>dom 16-02-25</v>
      </c>
      <c r="B32" s="53" t="str">
        <f>presupuesto!A32</f>
        <v>1.2.2.1</v>
      </c>
      <c r="C32" s="164" t="str">
        <f>presupuesto!B32</f>
        <v>B.1.-</v>
      </c>
      <c r="D32" s="58"/>
      <c r="E32" s="58">
        <f>IFERROR(VLOOKUP(C32,presupuesto!B:E,4,FALSE),0)</f>
        <v>0</v>
      </c>
      <c r="F32" s="60">
        <f t="shared" si="12"/>
        <v>0</v>
      </c>
      <c r="G32" s="58"/>
      <c r="H32" s="53" t="str">
        <f>presupuesto!C32</f>
        <v xml:space="preserve">         Suministro, transporte, transporte interno, colocación y prueba de Tuberías de HDPE</v>
      </c>
      <c r="I32" s="58"/>
      <c r="J32" s="58"/>
      <c r="K32" s="6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60"/>
      <c r="AG32" s="60"/>
      <c r="AH32" s="60"/>
      <c r="AI32" s="60"/>
      <c r="AJ32" s="60"/>
      <c r="AK32" s="60"/>
      <c r="AL32" s="60"/>
      <c r="AM32" s="60"/>
      <c r="AN32" s="60"/>
      <c r="AO32" s="58"/>
      <c r="AP32" s="58"/>
      <c r="AQ32" s="60"/>
      <c r="AR32" s="60"/>
      <c r="AS32" s="60"/>
      <c r="AT32" s="60"/>
      <c r="AU32" s="61"/>
      <c r="AV32" s="60"/>
      <c r="AW32" s="60"/>
      <c r="AX32" s="60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</row>
    <row r="33" spans="1:61" x14ac:dyDescent="0.25">
      <c r="A33" s="171" t="str">
        <f>IFERROR(IF(VLOOKUP(B33,presupuesto!A:K,8,FALSE)&gt;0,VLOOKUP(B33,presupuesto!A:K,8,FALSE),"-"),"-")</f>
        <v>dom 16-02-25</v>
      </c>
      <c r="B33" s="53" t="str">
        <f>presupuesto!A33</f>
        <v>1.2.2.1.1</v>
      </c>
      <c r="C33" s="164">
        <f>presupuesto!B33</f>
        <v>18</v>
      </c>
      <c r="D33" s="58"/>
      <c r="E33" s="58">
        <f>IFERROR(VLOOKUP(C33,presupuesto!B:E,4,FALSE),0)</f>
        <v>1470</v>
      </c>
      <c r="F33" s="60">
        <f t="shared" si="12"/>
        <v>0</v>
      </c>
      <c r="G33" s="58"/>
      <c r="H33" s="53" t="str">
        <f>presupuesto!C33</f>
        <v xml:space="preserve">            Cañería de HDPE PN 16 D = 75 mm</v>
      </c>
      <c r="I33" s="58"/>
      <c r="J33" s="58"/>
      <c r="K33" s="6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60"/>
      <c r="AG33" s="60"/>
      <c r="AH33" s="60"/>
      <c r="AI33" s="60"/>
      <c r="AJ33" s="60"/>
      <c r="AK33" s="60"/>
      <c r="AL33" s="60"/>
      <c r="AM33" s="60"/>
      <c r="AN33" s="60"/>
      <c r="AO33" s="58"/>
      <c r="AP33" s="58"/>
      <c r="AQ33" s="60"/>
      <c r="AR33" s="60"/>
      <c r="AS33" s="60"/>
      <c r="AT33" s="60"/>
      <c r="AU33" s="61"/>
      <c r="AV33" s="60"/>
      <c r="AW33" s="60"/>
      <c r="AX33" s="60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</row>
    <row r="34" spans="1:61" x14ac:dyDescent="0.25">
      <c r="A34" s="171" t="str">
        <f>IFERROR(IF(VLOOKUP(B34,presupuesto!A:K,8,FALSE)&gt;0,VLOOKUP(B34,presupuesto!A:K,8,FALSE),"-"),"-")</f>
        <v>mié 26-03-25</v>
      </c>
      <c r="B34" s="53" t="str">
        <f>presupuesto!A34</f>
        <v>1.2.2.2</v>
      </c>
      <c r="C34" s="164" t="str">
        <f>presupuesto!B34</f>
        <v>B.2.-</v>
      </c>
      <c r="D34" s="58"/>
      <c r="E34" s="58">
        <f>IFERROR(VLOOKUP(C34,presupuesto!B:E,4,FALSE),0)</f>
        <v>0</v>
      </c>
      <c r="F34" s="60">
        <f t="shared" si="12"/>
        <v>0</v>
      </c>
      <c r="G34" s="58"/>
      <c r="H34" s="53" t="str">
        <f>presupuesto!C34</f>
        <v xml:space="preserve">         Suministro, transporte, transporte interno, colocación y prueba de Tuberías de Acero Galvanizado</v>
      </c>
      <c r="I34" s="58"/>
      <c r="J34" s="58"/>
      <c r="K34" s="6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60"/>
      <c r="AG34" s="60"/>
      <c r="AH34" s="60"/>
      <c r="AI34" s="60"/>
      <c r="AJ34" s="60"/>
      <c r="AK34" s="60"/>
      <c r="AL34" s="60"/>
      <c r="AM34" s="60"/>
      <c r="AN34" s="60"/>
      <c r="AO34" s="58"/>
      <c r="AP34" s="58"/>
      <c r="AQ34" s="60"/>
      <c r="AR34" s="60"/>
      <c r="AS34" s="60"/>
      <c r="AT34" s="60"/>
      <c r="AU34" s="61"/>
      <c r="AV34" s="60"/>
      <c r="AW34" s="60"/>
      <c r="AX34" s="60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</row>
    <row r="35" spans="1:61" x14ac:dyDescent="0.25">
      <c r="A35" s="171" t="str">
        <f>IFERROR(IF(VLOOKUP(B35,presupuesto!A:K,8,FALSE)&gt;0,VLOOKUP(B35,presupuesto!A:K,8,FALSE),"-"),"-")</f>
        <v>mié 26-03-25</v>
      </c>
      <c r="B35" s="53" t="str">
        <f>presupuesto!A35</f>
        <v>1.2.2.2.1</v>
      </c>
      <c r="C35" s="164">
        <f>presupuesto!B35</f>
        <v>19</v>
      </c>
      <c r="D35" s="58"/>
      <c r="E35" s="58">
        <f>IFERROR(VLOOKUP(C35,presupuesto!B:E,4,FALSE),0)</f>
        <v>23</v>
      </c>
      <c r="F35" s="60">
        <f t="shared" si="12"/>
        <v>0</v>
      </c>
      <c r="G35" s="58"/>
      <c r="H35" s="53" t="str">
        <f>presupuesto!C35</f>
        <v xml:space="preserve">            Cañeria de acero galvanizadp D=6"</v>
      </c>
      <c r="I35" s="58"/>
      <c r="J35" s="58"/>
      <c r="K35" s="6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9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</row>
    <row r="36" spans="1:61" x14ac:dyDescent="0.25">
      <c r="A36" s="171" t="str">
        <f>IFERROR(IF(VLOOKUP(B36,presupuesto!A:K,8,FALSE)&gt;0,VLOOKUP(B36,presupuesto!A:K,8,FALSE),"-"),"-")</f>
        <v>lun 10-03-25</v>
      </c>
      <c r="B36" s="53" t="str">
        <f>presupuesto!A36</f>
        <v>1.2.2.3</v>
      </c>
      <c r="C36" s="164" t="str">
        <f>presupuesto!B36</f>
        <v>B.3.-</v>
      </c>
      <c r="D36" s="58"/>
      <c r="E36" s="58">
        <f>IFERROR(VLOOKUP(C36,presupuesto!B:E,4,FALSE),0)</f>
        <v>0</v>
      </c>
      <c r="F36" s="60">
        <f t="shared" si="12"/>
        <v>0</v>
      </c>
      <c r="G36" s="58"/>
      <c r="H36" s="53" t="str">
        <f>presupuesto!C36</f>
        <v xml:space="preserve">         Suministro, transporte, transporte interno, colocación y prueba de Piezas Especiales con/sin mecanismo</v>
      </c>
      <c r="I36" s="58"/>
      <c r="J36" s="58"/>
      <c r="K36" s="6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60"/>
      <c r="AH36" s="60"/>
      <c r="AI36" s="60"/>
      <c r="AJ36" s="60"/>
      <c r="AK36" s="60"/>
      <c r="AL36" s="60"/>
      <c r="AM36" s="60"/>
      <c r="AN36" s="60"/>
      <c r="AO36" s="58"/>
      <c r="AP36" s="58"/>
      <c r="AQ36" s="58"/>
      <c r="AR36" s="58"/>
      <c r="AS36" s="58"/>
      <c r="AT36" s="58"/>
      <c r="AU36" s="59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</row>
    <row r="37" spans="1:61" x14ac:dyDescent="0.25">
      <c r="A37" s="171" t="str">
        <f>IFERROR(IF(VLOOKUP(B37,presupuesto!A:K,8,FALSE)&gt;0,VLOOKUP(B37,presupuesto!A:K,8,FALSE),"-"),"-")</f>
        <v>dom 23-03-25</v>
      </c>
      <c r="B37" s="53" t="str">
        <f>presupuesto!A37</f>
        <v>1.2.2.3.1</v>
      </c>
      <c r="C37" s="164">
        <f>presupuesto!B37</f>
        <v>20</v>
      </c>
      <c r="D37" s="58"/>
      <c r="E37" s="58">
        <f>IFERROR(VLOOKUP(C37,presupuesto!B:E,4,FALSE),0)</f>
        <v>9.3000000000000007</v>
      </c>
      <c r="F37" s="60">
        <f t="shared" si="12"/>
        <v>0</v>
      </c>
      <c r="G37" s="58"/>
      <c r="H37" s="53" t="str">
        <f>presupuesto!C37</f>
        <v xml:space="preserve">            Piezas especiales de HDPE</v>
      </c>
      <c r="I37" s="58"/>
      <c r="J37" s="58"/>
      <c r="K37" s="6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60"/>
      <c r="AH37" s="60"/>
      <c r="AI37" s="60"/>
      <c r="AJ37" s="60"/>
      <c r="AK37" s="60"/>
      <c r="AL37" s="60"/>
      <c r="AM37" s="60"/>
      <c r="AN37" s="60"/>
      <c r="AO37" s="58"/>
      <c r="AP37" s="58"/>
      <c r="AQ37" s="58"/>
      <c r="AR37" s="58"/>
      <c r="AS37" s="58"/>
      <c r="AT37" s="58"/>
      <c r="AU37" s="59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</row>
    <row r="38" spans="1:61" x14ac:dyDescent="0.25">
      <c r="A38" s="171" t="str">
        <f>IFERROR(IF(VLOOKUP(B38,presupuesto!A:K,8,FALSE)&gt;0,VLOOKUP(B38,presupuesto!A:K,8,FALSE),"-"),"-")</f>
        <v>lun 10-03-25</v>
      </c>
      <c r="B38" s="53" t="str">
        <f>presupuesto!A38</f>
        <v>1.2.2.3.2</v>
      </c>
      <c r="C38" s="164">
        <f>presupuesto!B38</f>
        <v>21</v>
      </c>
      <c r="D38" s="58"/>
      <c r="E38" s="58">
        <f>IFERROR(VLOOKUP(C38,presupuesto!B:E,4,FALSE),0)</f>
        <v>118.6</v>
      </c>
      <c r="F38" s="60">
        <f t="shared" si="12"/>
        <v>0</v>
      </c>
      <c r="G38" s="58"/>
      <c r="H38" s="53" t="str">
        <f>presupuesto!C38</f>
        <v xml:space="preserve">            Piezas especiales de Fierro Fundido</v>
      </c>
      <c r="I38" s="58"/>
      <c r="J38" s="58"/>
      <c r="K38" s="6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60"/>
      <c r="AH38" s="60"/>
      <c r="AI38" s="60"/>
      <c r="AJ38" s="60"/>
      <c r="AK38" s="60"/>
      <c r="AL38" s="60"/>
      <c r="AM38" s="60"/>
      <c r="AN38" s="60"/>
      <c r="AO38" s="58"/>
      <c r="AP38" s="58"/>
      <c r="AQ38" s="58"/>
      <c r="AR38" s="58"/>
      <c r="AS38" s="58"/>
      <c r="AT38" s="58"/>
      <c r="AU38" s="59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</row>
    <row r="39" spans="1:61" ht="12.75" customHeight="1" x14ac:dyDescent="0.25">
      <c r="A39" s="171" t="str">
        <f>IFERROR(IF(VLOOKUP(B39,presupuesto!A:K,8,FALSE)&gt;0,VLOOKUP(B39,presupuesto!A:K,8,FALSE),"-"),"-")</f>
        <v>lun 10-03-25</v>
      </c>
      <c r="B39" s="53" t="str">
        <f>presupuesto!A39</f>
        <v>1.2.2.3.3</v>
      </c>
      <c r="C39" s="164">
        <f>presupuesto!B39</f>
        <v>22</v>
      </c>
      <c r="D39" s="58"/>
      <c r="E39" s="58">
        <f>IFERROR(VLOOKUP(C39,presupuesto!B:E,4,FALSE),0)</f>
        <v>11.6</v>
      </c>
      <c r="F39" s="60">
        <f t="shared" si="12"/>
        <v>0</v>
      </c>
      <c r="G39" s="58"/>
      <c r="H39" s="53" t="str">
        <f>presupuesto!C39</f>
        <v xml:space="preserve">            Piezas especiales de Acero</v>
      </c>
      <c r="I39" s="58"/>
      <c r="J39" s="58"/>
      <c r="K39" s="6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60"/>
      <c r="AH39" s="60"/>
      <c r="AI39" s="60"/>
      <c r="AJ39" s="60"/>
      <c r="AK39" s="60"/>
      <c r="AL39" s="60"/>
      <c r="AM39" s="60"/>
      <c r="AN39" s="60"/>
      <c r="AO39" s="58"/>
      <c r="AP39" s="58"/>
      <c r="AQ39" s="58"/>
      <c r="AR39" s="58"/>
      <c r="AS39" s="58"/>
      <c r="AT39" s="58"/>
      <c r="AU39" s="59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</row>
    <row r="40" spans="1:61" ht="12.75" customHeight="1" x14ac:dyDescent="0.25">
      <c r="A40" s="171" t="str">
        <f>IFERROR(IF(VLOOKUP(B40,presupuesto!A:K,8,FALSE)&gt;0,VLOOKUP(B40,presupuesto!A:K,8,FALSE),"-"),"-")</f>
        <v>vie 04-04-25</v>
      </c>
      <c r="B40" s="53" t="str">
        <f>presupuesto!A40</f>
        <v>1.2.2.3.4</v>
      </c>
      <c r="C40" s="164">
        <f>presupuesto!B40</f>
        <v>23</v>
      </c>
      <c r="D40" s="58"/>
      <c r="E40" s="58">
        <f>IFERROR(VLOOKUP(C40,presupuesto!B:E,4,FALSE),0)</f>
        <v>38</v>
      </c>
      <c r="F40" s="60">
        <f t="shared" si="12"/>
        <v>0</v>
      </c>
      <c r="G40" s="58"/>
      <c r="H40" s="53" t="str">
        <f>presupuesto!C40</f>
        <v xml:space="preserve">            Piezas especiales con mecanismo</v>
      </c>
      <c r="I40" s="58"/>
      <c r="J40" s="58"/>
      <c r="K40" s="6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60"/>
      <c r="AH40" s="60"/>
      <c r="AI40" s="60"/>
      <c r="AJ40" s="60"/>
      <c r="AK40" s="60"/>
      <c r="AL40" s="60"/>
      <c r="AM40" s="60"/>
      <c r="AN40" s="60"/>
      <c r="AO40" s="58"/>
      <c r="AP40" s="58"/>
      <c r="AQ40" s="58"/>
      <c r="AR40" s="58"/>
      <c r="AS40" s="58"/>
      <c r="AT40" s="58"/>
      <c r="AU40" s="59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</row>
    <row r="41" spans="1:61" x14ac:dyDescent="0.25">
      <c r="A41" s="171" t="str">
        <f>IFERROR(IF(VLOOKUP(B41,presupuesto!A:K,8,FALSE)&gt;0,VLOOKUP(B41,presupuesto!A:K,8,FALSE),"-"),"-")</f>
        <v>dom 23-03-25</v>
      </c>
      <c r="B41" s="53" t="str">
        <f>presupuesto!A41</f>
        <v>1.2.2.4</v>
      </c>
      <c r="C41" s="164" t="str">
        <f>presupuesto!B41</f>
        <v>B.4.-</v>
      </c>
      <c r="D41" s="58"/>
      <c r="E41" s="58">
        <f>IFERROR(VLOOKUP(C41,presupuesto!B:E,4,FALSE),0)</f>
        <v>0</v>
      </c>
      <c r="F41" s="60">
        <f t="shared" si="12"/>
        <v>0</v>
      </c>
      <c r="G41" s="58"/>
      <c r="H41" s="53" t="str">
        <f>presupuesto!C41</f>
        <v xml:space="preserve">         Junturas</v>
      </c>
      <c r="I41" s="58"/>
      <c r="J41" s="58"/>
      <c r="K41" s="6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60"/>
      <c r="AH41" s="60"/>
      <c r="AI41" s="60"/>
      <c r="AJ41" s="60"/>
      <c r="AK41" s="60"/>
      <c r="AL41" s="60"/>
      <c r="AM41" s="60"/>
      <c r="AN41" s="60"/>
      <c r="AO41" s="58"/>
      <c r="AP41" s="58"/>
      <c r="AQ41" s="58"/>
      <c r="AR41" s="58"/>
      <c r="AS41" s="58"/>
      <c r="AT41" s="58"/>
      <c r="AU41" s="59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</row>
    <row r="42" spans="1:61" x14ac:dyDescent="0.25">
      <c r="A42" s="171" t="str">
        <f>IFERROR(IF(VLOOKUP(B42,presupuesto!A:K,8,FALSE)&gt;0,VLOOKUP(B42,presupuesto!A:K,8,FALSE),"-"),"-")</f>
        <v>dom 23-03-25</v>
      </c>
      <c r="B42" s="53" t="str">
        <f>presupuesto!A42</f>
        <v>1.2.2.4.1</v>
      </c>
      <c r="C42" s="164">
        <f>presupuesto!B42</f>
        <v>24</v>
      </c>
      <c r="D42" s="58"/>
      <c r="E42" s="58">
        <f>IFERROR(VLOOKUP(C42,presupuesto!B:E,4,FALSE),0)</f>
        <v>12</v>
      </c>
      <c r="F42" s="60">
        <f t="shared" si="12"/>
        <v>0</v>
      </c>
      <c r="G42" s="58"/>
      <c r="H42" s="53" t="str">
        <f>presupuesto!C42</f>
        <v xml:space="preserve">            Termofusión 75 mm</v>
      </c>
      <c r="I42" s="58"/>
      <c r="J42" s="58"/>
      <c r="K42" s="6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60"/>
      <c r="AH42" s="60"/>
      <c r="AI42" s="60"/>
      <c r="AJ42" s="60"/>
      <c r="AK42" s="60"/>
      <c r="AL42" s="60"/>
      <c r="AM42" s="60"/>
      <c r="AN42" s="60"/>
      <c r="AO42" s="58"/>
      <c r="AP42" s="58"/>
      <c r="AQ42" s="58"/>
      <c r="AR42" s="58"/>
      <c r="AS42" s="58"/>
      <c r="AT42" s="58"/>
      <c r="AU42" s="59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</row>
    <row r="43" spans="1:61" x14ac:dyDescent="0.25">
      <c r="A43" s="171" t="str">
        <f>IFERROR(IF(VLOOKUP(B43,presupuesto!A:K,8,FALSE)&gt;0,VLOOKUP(B43,presupuesto!A:K,8,FALSE),"-"),"-")</f>
        <v>jue 03-04-25</v>
      </c>
      <c r="B43" s="53" t="str">
        <f>presupuesto!A43</f>
        <v>1.2.2.4.2</v>
      </c>
      <c r="C43" s="164">
        <f>presupuesto!B43</f>
        <v>25</v>
      </c>
      <c r="D43" s="58"/>
      <c r="E43" s="58">
        <f>IFERROR(VLOOKUP(C43,presupuesto!B:E,4,FALSE),0)</f>
        <v>12</v>
      </c>
      <c r="F43" s="60">
        <f t="shared" si="12"/>
        <v>0</v>
      </c>
      <c r="G43" s="58"/>
      <c r="H43" s="53" t="str">
        <f>presupuesto!C43</f>
        <v xml:space="preserve">            Brida, D=3"</v>
      </c>
      <c r="I43" s="58"/>
      <c r="J43" s="58"/>
      <c r="K43" s="6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60"/>
      <c r="AH43" s="60"/>
      <c r="AI43" s="60"/>
      <c r="AJ43" s="60"/>
      <c r="AK43" s="60"/>
      <c r="AL43" s="60"/>
      <c r="AM43" s="60"/>
      <c r="AN43" s="60"/>
      <c r="AO43" s="58"/>
      <c r="AP43" s="58"/>
      <c r="AQ43" s="58"/>
      <c r="AR43" s="58"/>
      <c r="AS43" s="58"/>
      <c r="AT43" s="58"/>
      <c r="AU43" s="59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</row>
    <row r="44" spans="1:61" x14ac:dyDescent="0.25">
      <c r="A44" s="171" t="str">
        <f>IFERROR(IF(VLOOKUP(B44,presupuesto!A:K,8,FALSE)&gt;0,VLOOKUP(B44,presupuesto!A:K,8,FALSE),"-"),"-")</f>
        <v>vie 04-04-25</v>
      </c>
      <c r="B44" s="53" t="str">
        <f>presupuesto!A44</f>
        <v>1.2.2.4.3</v>
      </c>
      <c r="C44" s="164">
        <f>presupuesto!B44</f>
        <v>26</v>
      </c>
      <c r="D44" s="58"/>
      <c r="E44" s="58">
        <f>IFERROR(VLOOKUP(C44,presupuesto!B:E,4,FALSE),0)</f>
        <v>2</v>
      </c>
      <c r="F44" s="60">
        <f t="shared" si="12"/>
        <v>0</v>
      </c>
      <c r="G44" s="58"/>
      <c r="H44" s="53" t="str">
        <f>presupuesto!C44</f>
        <v xml:space="preserve">            Autobloqueante D=3"</v>
      </c>
      <c r="I44" s="58"/>
      <c r="J44" s="58"/>
      <c r="K44" s="6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60"/>
      <c r="AH44" s="60"/>
      <c r="AI44" s="60"/>
      <c r="AJ44" s="60"/>
      <c r="AK44" s="60"/>
      <c r="AL44" s="60"/>
      <c r="AM44" s="60"/>
      <c r="AN44" s="60"/>
      <c r="AO44" s="58"/>
      <c r="AP44" s="58"/>
      <c r="AQ44" s="58"/>
      <c r="AR44" s="58"/>
      <c r="AS44" s="58"/>
      <c r="AT44" s="58"/>
      <c r="AU44" s="59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58"/>
    </row>
    <row r="45" spans="1:61" x14ac:dyDescent="0.25">
      <c r="A45" s="171" t="str">
        <f>IFERROR(IF(VLOOKUP(B45,presupuesto!A:K,8,FALSE)&gt;0,VLOOKUP(B45,presupuesto!A:K,8,FALSE),"-"),"-")</f>
        <v>lun 10-03-25</v>
      </c>
      <c r="B45" s="53" t="str">
        <f>presupuesto!A45</f>
        <v>1.2.3</v>
      </c>
      <c r="C45" s="164" t="str">
        <f>presupuesto!B45</f>
        <v>C.-</v>
      </c>
      <c r="D45" s="58"/>
      <c r="E45" s="58">
        <f>IFERROR(VLOOKUP(C45,presupuesto!B:E,4,FALSE),0)</f>
        <v>0</v>
      </c>
      <c r="F45" s="60">
        <f t="shared" si="12"/>
        <v>0</v>
      </c>
      <c r="G45" s="58"/>
      <c r="H45" s="53" t="str">
        <f>presupuesto!C45</f>
        <v xml:space="preserve">      OBRAS VARIAS</v>
      </c>
      <c r="I45" s="58"/>
      <c r="J45" s="58"/>
      <c r="K45" s="6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9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</row>
    <row r="46" spans="1:61" x14ac:dyDescent="0.25">
      <c r="A46" s="171" t="str">
        <f>IFERROR(IF(VLOOKUP(B46,presupuesto!A:K,8,FALSE)&gt;0,VLOOKUP(B46,presupuesto!A:K,8,FALSE),"-"),"-")</f>
        <v>mié 09-04-25</v>
      </c>
      <c r="B46" s="53" t="str">
        <f>presupuesto!A46</f>
        <v>1.2.3.1</v>
      </c>
      <c r="C46" s="164">
        <f>presupuesto!B46</f>
        <v>27</v>
      </c>
      <c r="D46" s="58"/>
      <c r="E46" s="58">
        <f>IFERROR(VLOOKUP(C46,presupuesto!B:E,4,FALSE),0)</f>
        <v>6</v>
      </c>
      <c r="F46" s="60">
        <f t="shared" si="12"/>
        <v>0</v>
      </c>
      <c r="G46" s="58"/>
      <c r="H46" s="53" t="str">
        <f>presupuesto!C46</f>
        <v xml:space="preserve">         Machones de apoyo</v>
      </c>
      <c r="I46" s="58"/>
      <c r="J46" s="58"/>
      <c r="K46" s="6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9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</row>
    <row r="47" spans="1:61" x14ac:dyDescent="0.25">
      <c r="A47" s="171" t="str">
        <f>IFERROR(IF(VLOOKUP(B47,presupuesto!A:K,8,FALSE)&gt;0,VLOOKUP(B47,presupuesto!A:K,8,FALSE),"-"),"-")</f>
        <v>lun 10-03-25</v>
      </c>
      <c r="B47" s="53" t="str">
        <f>presupuesto!A47</f>
        <v>1.2.3.2</v>
      </c>
      <c r="C47" s="164">
        <f>presupuesto!B47</f>
        <v>28</v>
      </c>
      <c r="D47" s="58"/>
      <c r="E47" s="58">
        <f>IFERROR(VLOOKUP(C47,presupuesto!B:E,4,FALSE),0)</f>
        <v>2</v>
      </c>
      <c r="F47" s="60">
        <f t="shared" si="12"/>
        <v>0</v>
      </c>
      <c r="G47" s="58"/>
      <c r="H47" s="53" t="str">
        <f>presupuesto!C47</f>
        <v xml:space="preserve">         Camaras de Valvulas</v>
      </c>
      <c r="I47" s="58"/>
      <c r="J47" s="58"/>
      <c r="K47" s="6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9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</row>
    <row r="48" spans="1:61" ht="12.75" customHeight="1" x14ac:dyDescent="0.25">
      <c r="A48" s="171" t="str">
        <f>IFERROR(IF(VLOOKUP(B48,presupuesto!A:K,8,FALSE)&gt;0,VLOOKUP(B48,presupuesto!A:K,8,FALSE),"-"),"-")</f>
        <v>mar 03-12-24</v>
      </c>
      <c r="B48" s="53" t="str">
        <f>presupuesto!A48</f>
        <v>1.3</v>
      </c>
      <c r="C48" s="164">
        <f>presupuesto!B48</f>
        <v>0</v>
      </c>
      <c r="D48" s="58"/>
      <c r="E48" s="58">
        <f>IFERROR(VLOOKUP(C48,presupuesto!B:E,4,FALSE),0)</f>
        <v>0</v>
      </c>
      <c r="F48" s="60">
        <f t="shared" si="12"/>
        <v>0</v>
      </c>
      <c r="G48" s="58"/>
      <c r="H48" s="53" t="str">
        <f>presupuesto!C48</f>
        <v xml:space="preserve">   CAPÍTULO III: SISTEMA DE TRATAMIENTO</v>
      </c>
      <c r="I48" s="58"/>
      <c r="J48" s="58"/>
      <c r="K48" s="6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9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</row>
    <row r="49" spans="1:61" ht="12.75" customHeight="1" x14ac:dyDescent="0.25">
      <c r="A49" s="171" t="str">
        <f>IFERROR(IF(VLOOKUP(B49,presupuesto!A:K,8,FALSE)&gt;0,VLOOKUP(B49,presupuesto!A:K,8,FALSE),"-"),"-")</f>
        <v>mar 03-12-24</v>
      </c>
      <c r="B49" s="53" t="str">
        <f>presupuesto!A49</f>
        <v>1.3.1</v>
      </c>
      <c r="C49" s="164" t="str">
        <f>presupuesto!B49</f>
        <v>A.-</v>
      </c>
      <c r="D49" s="58"/>
      <c r="E49" s="58">
        <f>IFERROR(VLOOKUP(C49,presupuesto!B:E,4,FALSE),0)</f>
        <v>0</v>
      </c>
      <c r="F49" s="60">
        <f t="shared" si="12"/>
        <v>0</v>
      </c>
      <c r="G49" s="58"/>
      <c r="H49" s="53" t="str">
        <f>presupuesto!C49</f>
        <v xml:space="preserve">      SUMINISTRO E INSTALACIÓN DE MATERIALES Y EQUIPOS DE FILTRACIÓN</v>
      </c>
      <c r="I49" s="58"/>
      <c r="J49" s="58"/>
      <c r="K49" s="6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60"/>
      <c r="AI49" s="60"/>
      <c r="AJ49" s="60"/>
      <c r="AK49" s="60"/>
      <c r="AL49" s="60"/>
      <c r="AM49" s="60"/>
      <c r="AN49" s="58"/>
      <c r="AO49" s="58"/>
      <c r="AP49" s="58"/>
      <c r="AQ49" s="58"/>
      <c r="AR49" s="58"/>
      <c r="AS49" s="58"/>
      <c r="AT49" s="58"/>
      <c r="AU49" s="59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</row>
    <row r="50" spans="1:61" ht="12.75" customHeight="1" x14ac:dyDescent="0.25">
      <c r="A50" s="171" t="str">
        <f>IFERROR(IF(VLOOKUP(B50,presupuesto!A:K,8,FALSE)&gt;0,VLOOKUP(B50,presupuesto!A:K,8,FALSE),"-"),"-")</f>
        <v>mar 03-12-24</v>
      </c>
      <c r="B50" s="53" t="str">
        <f>presupuesto!A50</f>
        <v>1.3.1.1</v>
      </c>
      <c r="C50" s="164">
        <f>presupuesto!B50</f>
        <v>29</v>
      </c>
      <c r="D50" s="58"/>
      <c r="E50" s="58">
        <f>IFERROR(VLOOKUP(C50,presupuesto!B:E,4,FALSE),0)</f>
        <v>1</v>
      </c>
      <c r="F50" s="60">
        <f t="shared" si="12"/>
        <v>0</v>
      </c>
      <c r="G50" s="58"/>
      <c r="H50" s="53" t="str">
        <f>presupuesto!C50</f>
        <v xml:space="preserve">         Filtro Floculador Multicapa en Profundidad AQP 1350AB</v>
      </c>
      <c r="I50" s="58"/>
      <c r="J50" s="58"/>
      <c r="K50" s="6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60"/>
      <c r="AI50" s="60"/>
      <c r="AJ50" s="60"/>
      <c r="AK50" s="60"/>
      <c r="AL50" s="60"/>
      <c r="AM50" s="60"/>
      <c r="AN50" s="58"/>
      <c r="AO50" s="58"/>
      <c r="AP50" s="58"/>
      <c r="AQ50" s="58"/>
      <c r="AR50" s="58"/>
      <c r="AS50" s="58"/>
      <c r="AT50" s="58"/>
      <c r="AU50" s="59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</row>
    <row r="51" spans="1:61" ht="12.75" customHeight="1" x14ac:dyDescent="0.25">
      <c r="A51" s="171" t="str">
        <f>IFERROR(IF(VLOOKUP(B51,presupuesto!A:K,8,FALSE)&gt;0,VLOOKUP(B51,presupuesto!A:K,8,FALSE),"-"),"-")</f>
        <v>jue 19-12-24</v>
      </c>
      <c r="B51" s="53" t="str">
        <f>presupuesto!A51</f>
        <v>1.3.1.2</v>
      </c>
      <c r="C51" s="164">
        <f>presupuesto!B51</f>
        <v>30</v>
      </c>
      <c r="D51" s="58"/>
      <c r="E51" s="58">
        <f>IFERROR(VLOOKUP(C51,presupuesto!B:E,4,FALSE),0)</f>
        <v>1</v>
      </c>
      <c r="F51" s="60">
        <f t="shared" si="12"/>
        <v>0</v>
      </c>
      <c r="G51" s="58"/>
      <c r="H51" s="53" t="str">
        <f>presupuesto!C51</f>
        <v xml:space="preserve">         Filtro Carbón Activado AQP 1350CA</v>
      </c>
      <c r="I51" s="58"/>
      <c r="J51" s="58"/>
      <c r="K51" s="6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60"/>
      <c r="AI51" s="60"/>
      <c r="AJ51" s="60"/>
      <c r="AK51" s="60"/>
      <c r="AL51" s="60"/>
      <c r="AM51" s="60"/>
      <c r="AN51" s="58"/>
      <c r="AO51" s="58"/>
      <c r="AP51" s="58"/>
      <c r="AQ51" s="58"/>
      <c r="AR51" s="58"/>
      <c r="AS51" s="58"/>
      <c r="AT51" s="58"/>
      <c r="AU51" s="59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</row>
    <row r="52" spans="1:61" ht="12.75" customHeight="1" x14ac:dyDescent="0.25">
      <c r="A52" s="171" t="str">
        <f>IFERROR(IF(VLOOKUP(B52,presupuesto!A:K,8,FALSE)&gt;0,VLOOKUP(B52,presupuesto!A:K,8,FALSE),"-"),"-")</f>
        <v>mar 04-03-25</v>
      </c>
      <c r="B52" s="53" t="str">
        <f>presupuesto!A52</f>
        <v>1.3.1.3</v>
      </c>
      <c r="C52" s="164">
        <f>presupuesto!B52</f>
        <v>31</v>
      </c>
      <c r="D52" s="58"/>
      <c r="E52" s="58">
        <f>IFERROR(VLOOKUP(C52,presupuesto!B:E,4,FALSE),0)</f>
        <v>5</v>
      </c>
      <c r="F52" s="60">
        <f t="shared" si="12"/>
        <v>0</v>
      </c>
      <c r="G52" s="58"/>
      <c r="H52" s="53" t="str">
        <f>presupuesto!C52</f>
        <v xml:space="preserve">         Sistema Dosificación Tratamiento</v>
      </c>
      <c r="I52" s="58"/>
      <c r="J52" s="58"/>
      <c r="K52" s="6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60"/>
      <c r="AI52" s="60"/>
      <c r="AJ52" s="60"/>
      <c r="AK52" s="60"/>
      <c r="AL52" s="60"/>
      <c r="AM52" s="60"/>
      <c r="AN52" s="58"/>
      <c r="AO52" s="58"/>
      <c r="AP52" s="58"/>
      <c r="AQ52" s="58"/>
      <c r="AR52" s="58"/>
      <c r="AS52" s="58"/>
      <c r="AT52" s="58"/>
      <c r="AU52" s="59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</row>
    <row r="53" spans="1:61" ht="12.75" customHeight="1" x14ac:dyDescent="0.25">
      <c r="A53" s="171" t="str">
        <f>IFERROR(IF(VLOOKUP(B53,presupuesto!A:K,8,FALSE)&gt;0,VLOOKUP(B53,presupuesto!A:K,8,FALSE),"-"),"-")</f>
        <v>mar 04-03-25</v>
      </c>
      <c r="B53" s="53" t="str">
        <f>presupuesto!A53</f>
        <v>1.3.2</v>
      </c>
      <c r="C53" s="164" t="str">
        <f>presupuesto!B53</f>
        <v>B.-</v>
      </c>
      <c r="D53" s="58"/>
      <c r="E53" s="58">
        <f>IFERROR(VLOOKUP(C53,presupuesto!B:E,4,FALSE),0)</f>
        <v>0</v>
      </c>
      <c r="F53" s="60">
        <f t="shared" si="12"/>
        <v>0</v>
      </c>
      <c r="G53" s="58"/>
      <c r="H53" s="53" t="str">
        <f>presupuesto!C53</f>
        <v xml:space="preserve">      OBRAS CIVILES</v>
      </c>
      <c r="I53" s="58"/>
      <c r="J53" s="58"/>
      <c r="K53" s="6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60"/>
      <c r="AI53" s="60"/>
      <c r="AJ53" s="60"/>
      <c r="AK53" s="60"/>
      <c r="AL53" s="60"/>
      <c r="AM53" s="60"/>
      <c r="AN53" s="58"/>
      <c r="AO53" s="58"/>
      <c r="AP53" s="58"/>
      <c r="AQ53" s="58"/>
      <c r="AR53" s="58"/>
      <c r="AS53" s="58"/>
      <c r="AT53" s="58"/>
      <c r="AU53" s="59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</row>
    <row r="54" spans="1:61" ht="12.75" customHeight="1" x14ac:dyDescent="0.25">
      <c r="A54" s="171" t="str">
        <f>IFERROR(IF(VLOOKUP(B54,presupuesto!A:K,8,FALSE)&gt;0,VLOOKUP(B54,presupuesto!A:K,8,FALSE),"-"),"-")</f>
        <v>mar 04-03-25</v>
      </c>
      <c r="B54" s="53" t="str">
        <f>presupuesto!A54</f>
        <v>1.3.2.1</v>
      </c>
      <c r="C54" s="164" t="str">
        <f>presupuesto!B54</f>
        <v>B.1.-</v>
      </c>
      <c r="D54" s="58"/>
      <c r="E54" s="58">
        <f>IFERROR(VLOOKUP(C54,presupuesto!B:E,4,FALSE),0)</f>
        <v>0</v>
      </c>
      <c r="F54" s="60">
        <f t="shared" si="12"/>
        <v>0</v>
      </c>
      <c r="G54" s="58"/>
      <c r="H54" s="53" t="str">
        <f>presupuesto!C54</f>
        <v xml:space="preserve">         Caseta de Tratamiento</v>
      </c>
      <c r="I54" s="58"/>
      <c r="J54" s="58"/>
      <c r="K54" s="6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60"/>
      <c r="AI54" s="60"/>
      <c r="AJ54" s="60"/>
      <c r="AK54" s="60"/>
      <c r="AL54" s="60"/>
      <c r="AM54" s="60"/>
      <c r="AN54" s="58"/>
      <c r="AO54" s="58"/>
      <c r="AP54" s="58"/>
      <c r="AQ54" s="58"/>
      <c r="AR54" s="58"/>
      <c r="AS54" s="58"/>
      <c r="AT54" s="58"/>
      <c r="AU54" s="59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</row>
    <row r="55" spans="1:61" ht="12.75" customHeight="1" x14ac:dyDescent="0.25">
      <c r="A55" s="171" t="str">
        <f>IFERROR(IF(VLOOKUP(B55,presupuesto!A:K,8,FALSE)&gt;0,VLOOKUP(B55,presupuesto!A:K,8,FALSE),"-"),"-")</f>
        <v>mar 04-03-25</v>
      </c>
      <c r="B55" s="53" t="str">
        <f>presupuesto!A55</f>
        <v>1.3.2.1.1</v>
      </c>
      <c r="C55" s="164">
        <f>presupuesto!B55</f>
        <v>32</v>
      </c>
      <c r="D55" s="58"/>
      <c r="E55" s="58">
        <f>IFERROR(VLOOKUP(C55,presupuesto!B:E,4,FALSE),0)</f>
        <v>1</v>
      </c>
      <c r="F55" s="60">
        <f t="shared" si="12"/>
        <v>0</v>
      </c>
      <c r="G55" s="58"/>
      <c r="H55" s="53" t="str">
        <f>presupuesto!C55</f>
        <v xml:space="preserve">            Mejoramiento Caseta</v>
      </c>
      <c r="I55" s="58"/>
      <c r="J55" s="58"/>
      <c r="K55" s="6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60"/>
      <c r="AI55" s="60"/>
      <c r="AJ55" s="60"/>
      <c r="AK55" s="60"/>
      <c r="AL55" s="60"/>
      <c r="AM55" s="60"/>
      <c r="AN55" s="58"/>
      <c r="AO55" s="58"/>
      <c r="AP55" s="58"/>
      <c r="AQ55" s="58"/>
      <c r="AR55" s="58"/>
      <c r="AS55" s="58"/>
      <c r="AT55" s="58"/>
      <c r="AU55" s="59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</row>
    <row r="56" spans="1:61" ht="12.75" customHeight="1" x14ac:dyDescent="0.25">
      <c r="A56" s="171" t="str">
        <f>IFERROR(IF(VLOOKUP(B56,presupuesto!A:K,8,FALSE)&gt;0,VLOOKUP(B56,presupuesto!A:K,8,FALSE),"-"),"-")</f>
        <v>vie 18-04-25</v>
      </c>
      <c r="B56" s="53" t="str">
        <f>presupuesto!A56</f>
        <v>1.3.3</v>
      </c>
      <c r="C56" s="164" t="str">
        <f>presupuesto!B56</f>
        <v>C.-</v>
      </c>
      <c r="D56" s="58"/>
      <c r="E56" s="58">
        <f>IFERROR(VLOOKUP(C56,presupuesto!B:E,4,FALSE),0)</f>
        <v>0</v>
      </c>
      <c r="F56" s="60">
        <f t="shared" si="12"/>
        <v>0</v>
      </c>
      <c r="G56" s="58"/>
      <c r="H56" s="53" t="str">
        <f>presupuesto!C56</f>
        <v xml:space="preserve">      INTERCONEXIONES HIDRÁULICAS</v>
      </c>
      <c r="I56" s="58"/>
      <c r="J56" s="58"/>
      <c r="K56" s="6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9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</row>
    <row r="57" spans="1:61" ht="12.75" customHeight="1" x14ac:dyDescent="0.25">
      <c r="A57" s="171" t="str">
        <f>IFERROR(IF(VLOOKUP(B57,presupuesto!A:K,8,FALSE)&gt;0,VLOOKUP(B57,presupuesto!A:K,8,FALSE),"-"),"-")</f>
        <v>vie 18-04-25</v>
      </c>
      <c r="B57" s="53" t="str">
        <f>presupuesto!A57</f>
        <v>1.3.3.1</v>
      </c>
      <c r="C57" s="164" t="str">
        <f>presupuesto!B57</f>
        <v>C.1.-</v>
      </c>
      <c r="D57" s="58"/>
      <c r="E57" s="58">
        <f>IFERROR(VLOOKUP(C57,presupuesto!B:E,4,FALSE),0)</f>
        <v>0</v>
      </c>
      <c r="F57" s="60">
        <f t="shared" si="12"/>
        <v>0</v>
      </c>
      <c r="G57" s="58"/>
      <c r="H57" s="53" t="str">
        <f>presupuesto!C57</f>
        <v xml:space="preserve">         Suministro, transporte, transporte interno, colocación y prueba de Cañerias de Acero Sch 40</v>
      </c>
      <c r="I57" s="58"/>
      <c r="J57" s="58"/>
      <c r="K57" s="6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9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</row>
    <row r="58" spans="1:61" ht="12.75" customHeight="1" x14ac:dyDescent="0.25">
      <c r="A58" s="171" t="str">
        <f>IFERROR(IF(VLOOKUP(B58,presupuesto!A:K,8,FALSE)&gt;0,VLOOKUP(B58,presupuesto!A:K,8,FALSE),"-"),"-")</f>
        <v>vie 18-04-25</v>
      </c>
      <c r="B58" s="53" t="str">
        <f>presupuesto!A58</f>
        <v>1.3.3.1.1</v>
      </c>
      <c r="C58" s="164">
        <f>presupuesto!B58</f>
        <v>33</v>
      </c>
      <c r="D58" s="58"/>
      <c r="E58" s="58">
        <f>IFERROR(VLOOKUP(C58,presupuesto!B:E,4,FALSE),0)</f>
        <v>19.5</v>
      </c>
      <c r="F58" s="60">
        <f t="shared" si="12"/>
        <v>0</v>
      </c>
      <c r="G58" s="58"/>
      <c r="H58" s="53" t="str">
        <f>presupuesto!C58</f>
        <v xml:space="preserve">            Cañería de acero galvanizado Sch 40 D=3”</v>
      </c>
      <c r="I58" s="58"/>
      <c r="J58" s="58"/>
      <c r="K58" s="6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9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</row>
    <row r="59" spans="1:61" ht="12.75" customHeight="1" x14ac:dyDescent="0.25">
      <c r="A59" s="171" t="str">
        <f>IFERROR(IF(VLOOKUP(B59,presupuesto!A:K,8,FALSE)&gt;0,VLOOKUP(B59,presupuesto!A:K,8,FALSE),"-"),"-")</f>
        <v>vie 18-04-25</v>
      </c>
      <c r="B59" s="53" t="str">
        <f>presupuesto!A59</f>
        <v>1.3.3.2</v>
      </c>
      <c r="C59" s="164" t="str">
        <f>presupuesto!B59</f>
        <v>C.2.-</v>
      </c>
      <c r="D59" s="58"/>
      <c r="E59" s="58">
        <f>IFERROR(VLOOKUP(C59,presupuesto!B:E,4,FALSE),0)</f>
        <v>0</v>
      </c>
      <c r="F59" s="60">
        <f t="shared" si="12"/>
        <v>0</v>
      </c>
      <c r="G59" s="58"/>
      <c r="H59" s="53" t="str">
        <f>presupuesto!C59</f>
        <v xml:space="preserve">         Suministro, transporte, transporte interno, colocación y prueba de Tuberías Conduit</v>
      </c>
      <c r="I59" s="58"/>
      <c r="J59" s="58"/>
      <c r="K59" s="6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9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</row>
    <row r="60" spans="1:61" ht="12.75" customHeight="1" x14ac:dyDescent="0.25">
      <c r="A60" s="171" t="str">
        <f>IFERROR(IF(VLOOKUP(B60,presupuesto!A:K,8,FALSE)&gt;0,VLOOKUP(B60,presupuesto!A:K,8,FALSE),"-"),"-")</f>
        <v>vie 18-04-25</v>
      </c>
      <c r="B60" s="53" t="str">
        <f>presupuesto!A60</f>
        <v>1.3.3.2.1</v>
      </c>
      <c r="C60" s="164">
        <f>presupuesto!B60</f>
        <v>34</v>
      </c>
      <c r="D60" s="58"/>
      <c r="E60" s="58">
        <f>IFERROR(VLOOKUP(C60,presupuesto!B:E,4,FALSE),0)</f>
        <v>12</v>
      </c>
      <c r="F60" s="60">
        <f t="shared" si="12"/>
        <v>0</v>
      </c>
      <c r="G60" s="58"/>
      <c r="H60" s="53" t="str">
        <f>presupuesto!C60</f>
        <v xml:space="preserve">            Suministro, Transporte y Transporte Interno, colocación y prueba de tuberías Conduit 3/4"</v>
      </c>
      <c r="I60" s="58"/>
      <c r="J60" s="58"/>
      <c r="K60" s="6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9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58"/>
    </row>
    <row r="61" spans="1:61" ht="12.75" customHeight="1" x14ac:dyDescent="0.25">
      <c r="A61" s="171" t="str">
        <f>IFERROR(IF(VLOOKUP(B61,presupuesto!A:K,8,FALSE)&gt;0,VLOOKUP(B61,presupuesto!A:K,8,FALSE),"-"),"-")</f>
        <v>sáb 03-05-25</v>
      </c>
      <c r="B61" s="53" t="str">
        <f>presupuesto!A61</f>
        <v>1.3.3.3</v>
      </c>
      <c r="C61" s="164" t="str">
        <f>presupuesto!B61</f>
        <v>C.3.-</v>
      </c>
      <c r="D61" s="58"/>
      <c r="E61" s="58">
        <f>IFERROR(VLOOKUP(C61,presupuesto!B:E,4,FALSE),0)</f>
        <v>0</v>
      </c>
      <c r="F61" s="60">
        <f t="shared" si="12"/>
        <v>0</v>
      </c>
      <c r="G61" s="58"/>
      <c r="H61" s="53" t="str">
        <f>presupuesto!C61</f>
        <v xml:space="preserve">         Suministro, transporte, transporte interno, colocación y prueba de Tuberías de pvc</v>
      </c>
      <c r="I61" s="58"/>
      <c r="J61" s="58"/>
      <c r="K61" s="6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9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58"/>
    </row>
    <row r="62" spans="1:61" ht="12.75" customHeight="1" x14ac:dyDescent="0.25">
      <c r="A62" s="171" t="str">
        <f>IFERROR(IF(VLOOKUP(B62,presupuesto!A:K,8,FALSE)&gt;0,VLOOKUP(B62,presupuesto!A:K,8,FALSE),"-"),"-")</f>
        <v>sáb 03-05-25</v>
      </c>
      <c r="B62" s="53" t="str">
        <f>presupuesto!A62</f>
        <v>1.3.3.3.1</v>
      </c>
      <c r="C62" s="164">
        <f>presupuesto!B62</f>
        <v>35</v>
      </c>
      <c r="D62" s="58"/>
      <c r="E62" s="58">
        <f>IFERROR(VLOOKUP(C62,presupuesto!B:E,4,FALSE),0)</f>
        <v>24.2</v>
      </c>
      <c r="F62" s="60">
        <f t="shared" si="12"/>
        <v>0</v>
      </c>
      <c r="G62" s="58"/>
      <c r="H62" s="53" t="str">
        <f>presupuesto!C62</f>
        <v xml:space="preserve">            Suministro, Transporte y Transporte Interno, colocación y prueba de tuberías PVC C-6 75 mm</v>
      </c>
      <c r="I62" s="58"/>
      <c r="J62" s="58"/>
      <c r="K62" s="6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9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</row>
    <row r="63" spans="1:61" ht="12.75" customHeight="1" x14ac:dyDescent="0.25">
      <c r="A63" s="171" t="str">
        <f>IFERROR(IF(VLOOKUP(B63,presupuesto!A:K,8,FALSE)&gt;0,VLOOKUP(B63,presupuesto!A:K,8,FALSE),"-"),"-")</f>
        <v>sáb 03-05-25</v>
      </c>
      <c r="B63" s="53" t="str">
        <f>presupuesto!A63</f>
        <v>1.3.3.4</v>
      </c>
      <c r="C63" s="164" t="str">
        <f>presupuesto!B63</f>
        <v>C.4.-</v>
      </c>
      <c r="D63" s="58"/>
      <c r="E63" s="58">
        <f>IFERROR(VLOOKUP(C63,presupuesto!B:E,4,FALSE),0)</f>
        <v>0</v>
      </c>
      <c r="F63" s="60">
        <f t="shared" si="12"/>
        <v>0</v>
      </c>
      <c r="G63" s="58"/>
      <c r="H63" s="53" t="str">
        <f>presupuesto!C63</f>
        <v xml:space="preserve">         Suministro, transporte, transporte interno, colocación y prueba de Cañería de Cobre 3/4"</v>
      </c>
      <c r="I63" s="58"/>
      <c r="J63" s="58"/>
      <c r="K63" s="6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9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58"/>
    </row>
    <row r="64" spans="1:61" ht="12.75" customHeight="1" x14ac:dyDescent="0.25">
      <c r="A64" s="171" t="str">
        <f>IFERROR(IF(VLOOKUP(B64,presupuesto!A:K,8,FALSE)&gt;0,VLOOKUP(B64,presupuesto!A:K,8,FALSE),"-"),"-")</f>
        <v>sáb 03-05-25</v>
      </c>
      <c r="B64" s="53" t="str">
        <f>presupuesto!A64</f>
        <v>1.3.3.4.1</v>
      </c>
      <c r="C64" s="164">
        <f>presupuesto!B64</f>
        <v>36</v>
      </c>
      <c r="D64" s="58"/>
      <c r="E64" s="58">
        <f>IFERROR(VLOOKUP(C64,presupuesto!B:E,4,FALSE),0)</f>
        <v>1</v>
      </c>
      <c r="F64" s="60">
        <f t="shared" si="12"/>
        <v>0</v>
      </c>
      <c r="G64" s="58"/>
      <c r="H64" s="53" t="str">
        <f>presupuesto!C64</f>
        <v xml:space="preserve">            Suministro, Transporte y Transporte Interno, colocación y prueba de tuberías Cobre 3/4"</v>
      </c>
      <c r="I64" s="58"/>
      <c r="J64" s="58"/>
      <c r="K64" s="6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9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</row>
    <row r="65" spans="1:61" ht="12.75" customHeight="1" x14ac:dyDescent="0.25">
      <c r="A65" s="171" t="str">
        <f>IFERROR(IF(VLOOKUP(B65,presupuesto!A:K,8,FALSE)&gt;0,VLOOKUP(B65,presupuesto!A:K,8,FALSE),"-"),"-")</f>
        <v>mié 23-04-25</v>
      </c>
      <c r="B65" s="53" t="str">
        <f>presupuesto!A65</f>
        <v>1.3.3.5</v>
      </c>
      <c r="C65" s="164" t="str">
        <f>presupuesto!B65</f>
        <v>C.5.-</v>
      </c>
      <c r="D65" s="58"/>
      <c r="E65" s="58">
        <f>IFERROR(VLOOKUP(C65,presupuesto!B:E,4,FALSE),0)</f>
        <v>0</v>
      </c>
      <c r="F65" s="60">
        <f t="shared" si="12"/>
        <v>0</v>
      </c>
      <c r="G65" s="58"/>
      <c r="H65" s="53" t="str">
        <f>presupuesto!C65</f>
        <v xml:space="preserve">         Suministro, transporte, transporte interno, colocación y prueba de Piezas Especiales con/sin mecanismo</v>
      </c>
      <c r="I65" s="58"/>
      <c r="J65" s="58"/>
      <c r="K65" s="6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9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</row>
    <row r="66" spans="1:61" ht="12.75" customHeight="1" x14ac:dyDescent="0.25">
      <c r="A66" s="171" t="str">
        <f>IFERROR(IF(VLOOKUP(B66,presupuesto!A:K,8,FALSE)&gt;0,VLOOKUP(B66,presupuesto!A:K,8,FALSE),"-"),"-")</f>
        <v>sáb 03-05-25</v>
      </c>
      <c r="B66" s="53" t="str">
        <f>presupuesto!A66</f>
        <v>1.3.3.5.1</v>
      </c>
      <c r="C66" s="164">
        <f>presupuesto!B66</f>
        <v>37</v>
      </c>
      <c r="D66" s="58"/>
      <c r="E66" s="58">
        <f>IFERROR(VLOOKUP(C66,presupuesto!B:E,4,FALSE),0)</f>
        <v>1</v>
      </c>
      <c r="F66" s="60">
        <f t="shared" si="12"/>
        <v>0</v>
      </c>
      <c r="G66" s="58"/>
      <c r="H66" s="53" t="str">
        <f>presupuesto!C66</f>
        <v xml:space="preserve">            Piezas especiales de HDPE</v>
      </c>
      <c r="I66" s="58"/>
      <c r="J66" s="58"/>
      <c r="K66" s="6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9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58"/>
    </row>
    <row r="67" spans="1:61" ht="12.75" customHeight="1" x14ac:dyDescent="0.25">
      <c r="A67" s="171" t="str">
        <f>IFERROR(IF(VLOOKUP(B67,presupuesto!A:K,8,FALSE)&gt;0,VLOOKUP(B67,presupuesto!A:K,8,FALSE),"-"),"-")</f>
        <v>lun 28-04-25</v>
      </c>
      <c r="B67" s="53" t="str">
        <f>presupuesto!A67</f>
        <v>1.3.3.5.2</v>
      </c>
      <c r="C67" s="164">
        <f>presupuesto!B67</f>
        <v>38</v>
      </c>
      <c r="D67" s="58"/>
      <c r="E67" s="58">
        <f>IFERROR(VLOOKUP(C67,presupuesto!B:E,4,FALSE),0)</f>
        <v>279.7</v>
      </c>
      <c r="F67" s="60">
        <f t="shared" si="12"/>
        <v>0</v>
      </c>
      <c r="G67" s="58"/>
      <c r="H67" s="53" t="str">
        <f>presupuesto!C67</f>
        <v xml:space="preserve">            Piezas especiales de Fierro Fundido</v>
      </c>
      <c r="I67" s="58"/>
      <c r="J67" s="58"/>
      <c r="K67" s="6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9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</row>
    <row r="68" spans="1:61" ht="12.75" customHeight="1" x14ac:dyDescent="0.25">
      <c r="A68" s="171" t="str">
        <f>IFERROR(IF(VLOOKUP(B68,presupuesto!A:K,8,FALSE)&gt;0,VLOOKUP(B68,presupuesto!A:K,8,FALSE),"-"),"-")</f>
        <v>sáb 03-05-25</v>
      </c>
      <c r="B68" s="53" t="str">
        <f>presupuesto!A68</f>
        <v>1.3.3.5.3</v>
      </c>
      <c r="C68" s="164">
        <f>presupuesto!B68</f>
        <v>39</v>
      </c>
      <c r="D68" s="58"/>
      <c r="E68" s="58">
        <f>IFERROR(VLOOKUP(C68,presupuesto!B:E,4,FALSE),0)</f>
        <v>2.5</v>
      </c>
      <c r="F68" s="60">
        <f t="shared" si="12"/>
        <v>0</v>
      </c>
      <c r="G68" s="58"/>
      <c r="H68" s="53" t="str">
        <f>presupuesto!C68</f>
        <v xml:space="preserve">            Piezas especiales de Acero</v>
      </c>
      <c r="I68" s="58"/>
      <c r="J68" s="58"/>
      <c r="K68" s="6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9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</row>
    <row r="69" spans="1:61" ht="12.75" customHeight="1" x14ac:dyDescent="0.25">
      <c r="A69" s="171" t="str">
        <f>IFERROR(IF(VLOOKUP(B69,presupuesto!A:K,8,FALSE)&gt;0,VLOOKUP(B69,presupuesto!A:K,8,FALSE),"-"),"-")</f>
        <v>vie 02-05-25</v>
      </c>
      <c r="B69" s="53" t="str">
        <f>presupuesto!A69</f>
        <v>1.3.3.5.4</v>
      </c>
      <c r="C69" s="164">
        <f>presupuesto!B69</f>
        <v>40</v>
      </c>
      <c r="D69" s="58"/>
      <c r="E69" s="58">
        <f>IFERROR(VLOOKUP(C69,presupuesto!B:E,4,FALSE),0)</f>
        <v>2</v>
      </c>
      <c r="F69" s="60">
        <f t="shared" si="12"/>
        <v>0</v>
      </c>
      <c r="G69" s="58"/>
      <c r="H69" s="53" t="str">
        <f>presupuesto!C69</f>
        <v xml:space="preserve">            Piezas especiales de Bronce</v>
      </c>
      <c r="I69" s="58"/>
      <c r="J69" s="58"/>
      <c r="K69" s="6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9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</row>
    <row r="70" spans="1:61" ht="12.75" customHeight="1" x14ac:dyDescent="0.25">
      <c r="A70" s="171" t="str">
        <f>IFERROR(IF(VLOOKUP(B70,presupuesto!A:K,8,FALSE)&gt;0,VLOOKUP(B70,presupuesto!A:K,8,FALSE),"-"),"-")</f>
        <v>mié 23-04-25</v>
      </c>
      <c r="B70" s="53" t="str">
        <f>presupuesto!A70</f>
        <v>1.3.3.5.5</v>
      </c>
      <c r="C70" s="164">
        <f>presupuesto!B70</f>
        <v>41</v>
      </c>
      <c r="D70" s="58"/>
      <c r="E70" s="58">
        <f>IFERROR(VLOOKUP(C70,presupuesto!B:E,4,FALSE),0)</f>
        <v>6</v>
      </c>
      <c r="F70" s="60">
        <f t="shared" si="12"/>
        <v>0</v>
      </c>
      <c r="G70" s="58"/>
      <c r="H70" s="53" t="str">
        <f>presupuesto!C70</f>
        <v xml:space="preserve">            Piezas especiales de Conduit</v>
      </c>
      <c r="I70" s="58"/>
      <c r="J70" s="58"/>
      <c r="K70" s="6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9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</row>
    <row r="71" spans="1:61" ht="12.75" customHeight="1" x14ac:dyDescent="0.25">
      <c r="A71" s="171" t="str">
        <f>IFERROR(IF(VLOOKUP(B71,presupuesto!A:K,8,FALSE)&gt;0,VLOOKUP(B71,presupuesto!A:K,8,FALSE),"-"),"-")</f>
        <v>lun 28-04-25</v>
      </c>
      <c r="B71" s="53" t="str">
        <f>presupuesto!A71</f>
        <v>1.3.3.5.6</v>
      </c>
      <c r="C71" s="164">
        <f>presupuesto!B71</f>
        <v>42</v>
      </c>
      <c r="D71" s="58"/>
      <c r="E71" s="58">
        <f>IFERROR(VLOOKUP(C71,presupuesto!B:E,4,FALSE),0)</f>
        <v>48</v>
      </c>
      <c r="F71" s="60">
        <f t="shared" si="12"/>
        <v>0</v>
      </c>
      <c r="G71" s="58"/>
      <c r="H71" s="53" t="str">
        <f>presupuesto!C71</f>
        <v xml:space="preserve">            Piezas Especiales con mecanismo</v>
      </c>
      <c r="I71" s="58"/>
      <c r="J71" s="58"/>
      <c r="K71" s="6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9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</row>
    <row r="72" spans="1:61" ht="12.75" customHeight="1" x14ac:dyDescent="0.25">
      <c r="A72" s="171" t="str">
        <f>IFERROR(IF(VLOOKUP(B72,presupuesto!A:K,8,FALSE)&gt;0,VLOOKUP(B72,presupuesto!A:K,8,FALSE),"-"),"-")</f>
        <v>jue 01-05-25</v>
      </c>
      <c r="B72" s="53" t="str">
        <f>presupuesto!A72</f>
        <v>1.3.3.5.7</v>
      </c>
      <c r="C72" s="164">
        <f>presupuesto!B72</f>
        <v>43</v>
      </c>
      <c r="D72" s="58"/>
      <c r="E72" s="58">
        <f>IFERROR(VLOOKUP(C72,presupuesto!B:E,4,FALSE),0)</f>
        <v>1</v>
      </c>
      <c r="F72" s="60">
        <f t="shared" ref="F72:F135" si="13">SUM(I72:VV72)</f>
        <v>0</v>
      </c>
      <c r="G72" s="58"/>
      <c r="H72" s="53" t="str">
        <f>presupuesto!C72</f>
        <v xml:space="preserve">            Macromedidor con camara de protección</v>
      </c>
      <c r="I72" s="58"/>
      <c r="J72" s="58"/>
      <c r="K72" s="6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9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</row>
    <row r="73" spans="1:61" ht="12.75" customHeight="1" x14ac:dyDescent="0.25">
      <c r="A73" s="171" t="str">
        <f>IFERROR(IF(VLOOKUP(B73,presupuesto!A:K,8,FALSE)&gt;0,VLOOKUP(B73,presupuesto!A:K,8,FALSE),"-"),"-")</f>
        <v>jue 06-03-25</v>
      </c>
      <c r="B73" s="53" t="str">
        <f>presupuesto!A73</f>
        <v>1.3.4</v>
      </c>
      <c r="C73" s="164" t="str">
        <f>presupuesto!B73</f>
        <v>D.-</v>
      </c>
      <c r="D73" s="58"/>
      <c r="E73" s="58">
        <f>IFERROR(VLOOKUP(C73,presupuesto!B:E,4,FALSE),0)</f>
        <v>0</v>
      </c>
      <c r="F73" s="60">
        <f t="shared" si="13"/>
        <v>0</v>
      </c>
      <c r="G73" s="58"/>
      <c r="H73" s="53" t="str">
        <f>presupuesto!C73</f>
        <v xml:space="preserve">      OBRAS DE HORMIGÓN</v>
      </c>
      <c r="I73" s="58"/>
      <c r="J73" s="58"/>
      <c r="K73" s="6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9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</row>
    <row r="74" spans="1:61" ht="12.75" customHeight="1" x14ac:dyDescent="0.25">
      <c r="A74" s="171" t="str">
        <f>IFERROR(IF(VLOOKUP(B74,presupuesto!A:K,8,FALSE)&gt;0,VLOOKUP(B74,presupuesto!A:K,8,FALSE),"-"),"-")</f>
        <v>jue 08-05-25</v>
      </c>
      <c r="B74" s="53" t="str">
        <f>presupuesto!A74</f>
        <v>1.3.4.1</v>
      </c>
      <c r="C74" s="164">
        <f>presupuesto!B74</f>
        <v>44</v>
      </c>
      <c r="D74" s="58"/>
      <c r="E74" s="58">
        <f>IFERROR(VLOOKUP(C74,presupuesto!B:E,4,FALSE),0)</f>
        <v>15</v>
      </c>
      <c r="F74" s="60">
        <f t="shared" si="13"/>
        <v>0</v>
      </c>
      <c r="G74" s="58"/>
      <c r="H74" s="53" t="str">
        <f>presupuesto!C74</f>
        <v xml:space="preserve">         Machones de anclaje y apoyo</v>
      </c>
      <c r="I74" s="58"/>
      <c r="J74" s="58"/>
      <c r="K74" s="6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9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</row>
    <row r="75" spans="1:61" ht="12.75" customHeight="1" x14ac:dyDescent="0.25">
      <c r="A75" s="171" t="str">
        <f>IFERROR(IF(VLOOKUP(B75,presupuesto!A:K,8,FALSE)&gt;0,VLOOKUP(B75,presupuesto!A:K,8,FALSE),"-"),"-")</f>
        <v>jue 06-03-25</v>
      </c>
      <c r="B75" s="53" t="str">
        <f>presupuesto!A75</f>
        <v>1.3.4.2</v>
      </c>
      <c r="C75" s="164">
        <f>presupuesto!B75</f>
        <v>45</v>
      </c>
      <c r="D75" s="58"/>
      <c r="E75" s="58">
        <f>IFERROR(VLOOKUP(C75,presupuesto!B:E,4,FALSE),0)</f>
        <v>2</v>
      </c>
      <c r="F75" s="60">
        <f t="shared" si="13"/>
        <v>0</v>
      </c>
      <c r="G75" s="58"/>
      <c r="H75" s="53" t="str">
        <f>presupuesto!C75</f>
        <v xml:space="preserve">         Radier para equipos</v>
      </c>
      <c r="I75" s="58"/>
      <c r="J75" s="58"/>
      <c r="K75" s="6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9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</row>
    <row r="76" spans="1:61" ht="12.75" customHeight="1" x14ac:dyDescent="0.25">
      <c r="A76" s="171" t="str">
        <f>IFERROR(IF(VLOOKUP(B76,presupuesto!A:K,8,FALSE)&gt;0,VLOOKUP(B76,presupuesto!A:K,8,FALSE),"-"),"-")</f>
        <v>mié 04-12-24</v>
      </c>
      <c r="B76" s="53" t="str">
        <f>presupuesto!A76</f>
        <v>1.4</v>
      </c>
      <c r="C76" s="164">
        <f>presupuesto!B76</f>
        <v>0</v>
      </c>
      <c r="D76" s="58"/>
      <c r="E76" s="58">
        <f>IFERROR(VLOOKUP(C76,presupuesto!B:E,4,FALSE),0)</f>
        <v>0</v>
      </c>
      <c r="F76" s="60">
        <f t="shared" si="13"/>
        <v>0</v>
      </c>
      <c r="G76" s="58"/>
      <c r="H76" s="53" t="str">
        <f>presupuesto!C76</f>
        <v xml:space="preserve">   CAPÍTULO IV: SISTEMA DE REGULACIÓN ESTANQUE METALICO ELEVADO</v>
      </c>
      <c r="I76" s="58"/>
      <c r="J76" s="58"/>
      <c r="K76" s="6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9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</row>
    <row r="77" spans="1:61" ht="12.75" customHeight="1" x14ac:dyDescent="0.25">
      <c r="A77" s="171" t="str">
        <f>IFERROR(IF(VLOOKUP(B77,presupuesto!A:K,8,FALSE)&gt;0,VLOOKUP(B77,presupuesto!A:K,8,FALSE),"-"),"-")</f>
        <v>mié 13-08-25</v>
      </c>
      <c r="B77" s="53" t="str">
        <f>presupuesto!A77</f>
        <v>1.4.1</v>
      </c>
      <c r="C77" s="164">
        <f>presupuesto!B77</f>
        <v>46</v>
      </c>
      <c r="D77" s="58"/>
      <c r="E77" s="58">
        <f>IFERROR(VLOOKUP(C77,presupuesto!B:E,4,FALSE),0)</f>
        <v>1</v>
      </c>
      <c r="F77" s="60">
        <f t="shared" si="13"/>
        <v>0</v>
      </c>
      <c r="G77" s="58"/>
      <c r="H77" s="53" t="str">
        <f>presupuesto!C77</f>
        <v xml:space="preserve">      Demolición estanque existente</v>
      </c>
      <c r="I77" s="58"/>
      <c r="J77" s="58"/>
      <c r="K77" s="6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9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</row>
    <row r="78" spans="1:61" ht="12.75" customHeight="1" x14ac:dyDescent="0.25">
      <c r="A78" s="171" t="str">
        <f>IFERROR(IF(VLOOKUP(B78,presupuesto!A:K,8,FALSE)&gt;0,VLOOKUP(B78,presupuesto!A:K,8,FALSE),"-"),"-")</f>
        <v>mié 04-12-24</v>
      </c>
      <c r="B78" s="53" t="str">
        <f>presupuesto!A78</f>
        <v>1.4.2</v>
      </c>
      <c r="C78" s="164" t="str">
        <f>presupuesto!B78</f>
        <v>A.-</v>
      </c>
      <c r="D78" s="58"/>
      <c r="E78" s="58">
        <f>IFERROR(VLOOKUP(C78,presupuesto!B:E,4,FALSE),0)</f>
        <v>0</v>
      </c>
      <c r="F78" s="60">
        <f t="shared" si="13"/>
        <v>0</v>
      </c>
      <c r="G78" s="58"/>
      <c r="H78" s="53" t="str">
        <f>presupuesto!C78</f>
        <v xml:space="preserve">      MOVIMIENTO DE TIERRAS</v>
      </c>
      <c r="I78" s="58"/>
      <c r="J78" s="58"/>
      <c r="K78" s="6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9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</row>
    <row r="79" spans="1:61" ht="12.75" customHeight="1" x14ac:dyDescent="0.25">
      <c r="A79" s="171" t="str">
        <f>IFERROR(IF(VLOOKUP(B79,presupuesto!A:K,8,FALSE)&gt;0,VLOOKUP(B79,presupuesto!A:K,8,FALSE),"-"),"-")</f>
        <v>mié 04-12-24</v>
      </c>
      <c r="B79" s="53" t="str">
        <f>presupuesto!A79</f>
        <v>1.4.2.1</v>
      </c>
      <c r="C79" s="164">
        <f>presupuesto!B79</f>
        <v>47</v>
      </c>
      <c r="D79" s="58"/>
      <c r="E79" s="58">
        <f>IFERROR(VLOOKUP(C79,presupuesto!B:E,4,FALSE),0)</f>
        <v>663</v>
      </c>
      <c r="F79" s="60">
        <f t="shared" si="13"/>
        <v>0</v>
      </c>
      <c r="G79" s="58"/>
      <c r="H79" s="53" t="str">
        <f>presupuesto!C79</f>
        <v xml:space="preserve">         Excavación para fundación</v>
      </c>
      <c r="I79" s="58"/>
      <c r="J79" s="58"/>
      <c r="K79" s="6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9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</row>
    <row r="80" spans="1:61" ht="12.75" customHeight="1" x14ac:dyDescent="0.25">
      <c r="A80" s="171" t="str">
        <f>IFERROR(IF(VLOOKUP(B80,presupuesto!A:K,8,FALSE)&gt;0,VLOOKUP(B80,presupuesto!A:K,8,FALSE),"-"),"-")</f>
        <v>mar 07-01-25</v>
      </c>
      <c r="B80" s="53" t="str">
        <f>presupuesto!A80</f>
        <v>1.4.2.2</v>
      </c>
      <c r="C80" s="164">
        <f>presupuesto!B80</f>
        <v>48</v>
      </c>
      <c r="D80" s="58"/>
      <c r="E80" s="58">
        <f>IFERROR(VLOOKUP(C80,presupuesto!B:E,4,FALSE),0)</f>
        <v>270.8</v>
      </c>
      <c r="F80" s="60">
        <f t="shared" si="13"/>
        <v>0</v>
      </c>
      <c r="G80" s="58"/>
      <c r="H80" s="53" t="str">
        <f>presupuesto!C80</f>
        <v xml:space="preserve">         Relleno Estructural para mejoramiento suelo de fundación</v>
      </c>
      <c r="I80" s="58"/>
      <c r="J80" s="58"/>
      <c r="K80" s="6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9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</row>
    <row r="81" spans="1:61" ht="12.75" customHeight="1" x14ac:dyDescent="0.25">
      <c r="A81" s="171" t="str">
        <f>IFERROR(IF(VLOOKUP(B81,presupuesto!A:K,8,FALSE)&gt;0,VLOOKUP(B81,presupuesto!A:K,8,FALSE),"-"),"-")</f>
        <v>mié 19-03-25</v>
      </c>
      <c r="B81" s="53" t="str">
        <f>presupuesto!A81</f>
        <v>1.4.2.3</v>
      </c>
      <c r="C81" s="164">
        <f>presupuesto!B81</f>
        <v>49</v>
      </c>
      <c r="D81" s="58"/>
      <c r="E81" s="58">
        <f>IFERROR(VLOOKUP(C81,presupuesto!B:E,4,FALSE),0)</f>
        <v>141.5</v>
      </c>
      <c r="F81" s="60">
        <f t="shared" si="13"/>
        <v>0</v>
      </c>
      <c r="G81" s="58"/>
      <c r="H81" s="53" t="str">
        <f>presupuesto!C81</f>
        <v xml:space="preserve">         Relleno de Confinamiento</v>
      </c>
      <c r="I81" s="58"/>
      <c r="J81" s="58"/>
      <c r="K81" s="6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9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</row>
    <row r="82" spans="1:61" ht="12.75" customHeight="1" x14ac:dyDescent="0.25">
      <c r="A82" s="171" t="str">
        <f>IFERROR(IF(VLOOKUP(B82,presupuesto!A:K,8,FALSE)&gt;0,VLOOKUP(B82,presupuesto!A:K,8,FALSE),"-"),"-")</f>
        <v>dom 15-12-24</v>
      </c>
      <c r="B82" s="53" t="str">
        <f>presupuesto!A82</f>
        <v>1.4.2.4</v>
      </c>
      <c r="C82" s="164">
        <f>presupuesto!B82</f>
        <v>50</v>
      </c>
      <c r="D82" s="58"/>
      <c r="E82" s="58">
        <f>IFERROR(VLOOKUP(C82,presupuesto!B:E,4,FALSE),0)</f>
        <v>507.5</v>
      </c>
      <c r="F82" s="60">
        <f t="shared" si="13"/>
        <v>0</v>
      </c>
      <c r="G82" s="58"/>
      <c r="H82" s="53" t="str">
        <f>presupuesto!C82</f>
        <v xml:space="preserve">         Retiro de excedentes</v>
      </c>
      <c r="I82" s="58"/>
      <c r="J82" s="58"/>
      <c r="K82" s="6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9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</row>
    <row r="83" spans="1:61" ht="12.75" customHeight="1" x14ac:dyDescent="0.25">
      <c r="A83" s="171" t="str">
        <f>IFERROR(IF(VLOOKUP(B83,presupuesto!A:K,8,FALSE)&gt;0,VLOOKUP(B83,presupuesto!A:K,8,FALSE),"-"),"-")</f>
        <v>sáb 25-01-25</v>
      </c>
      <c r="B83" s="53" t="str">
        <f>presupuesto!A83</f>
        <v>1.4.3</v>
      </c>
      <c r="C83" s="164" t="str">
        <f>presupuesto!B83</f>
        <v>B.-</v>
      </c>
      <c r="D83" s="58"/>
      <c r="E83" s="58">
        <f>IFERROR(VLOOKUP(C83,presupuesto!B:E,4,FALSE),0)</f>
        <v>0</v>
      </c>
      <c r="F83" s="60">
        <f t="shared" si="13"/>
        <v>0</v>
      </c>
      <c r="G83" s="58"/>
      <c r="H83" s="53" t="str">
        <f>presupuesto!C83</f>
        <v xml:space="preserve">      FUNDACIONES</v>
      </c>
      <c r="I83" s="58"/>
      <c r="J83" s="58"/>
      <c r="K83" s="6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9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</row>
    <row r="84" spans="1:61" ht="12.75" customHeight="1" x14ac:dyDescent="0.25">
      <c r="A84" s="171" t="str">
        <f>IFERROR(IF(VLOOKUP(B84,presupuesto!A:K,8,FALSE)&gt;0,VLOOKUP(B84,presupuesto!A:K,8,FALSE),"-"),"-")</f>
        <v>sáb 25-01-25</v>
      </c>
      <c r="B84" s="53" t="str">
        <f>presupuesto!A84</f>
        <v>1.4.3.1</v>
      </c>
      <c r="C84" s="164">
        <f>presupuesto!B84</f>
        <v>51</v>
      </c>
      <c r="D84" s="58"/>
      <c r="E84" s="58">
        <f>IFERROR(VLOOKUP(C84,presupuesto!B:E,4,FALSE),0)</f>
        <v>1.06</v>
      </c>
      <c r="F84" s="60">
        <f t="shared" si="13"/>
        <v>0</v>
      </c>
      <c r="G84" s="58"/>
      <c r="H84" s="53" t="str">
        <f>presupuesto!C84</f>
        <v xml:space="preserve">         Hormigón tipo G-5</v>
      </c>
      <c r="I84" s="58"/>
      <c r="J84" s="58"/>
      <c r="K84" s="6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9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</row>
    <row r="85" spans="1:61" ht="12.75" customHeight="1" x14ac:dyDescent="0.25">
      <c r="A85" s="171" t="str">
        <f>IFERROR(IF(VLOOKUP(B85,presupuesto!A:K,8,FALSE)&gt;0,VLOOKUP(B85,presupuesto!A:K,8,FALSE),"-"),"-")</f>
        <v>dom 02-02-25</v>
      </c>
      <c r="B85" s="53" t="str">
        <f>presupuesto!A85</f>
        <v>1.4.3.2</v>
      </c>
      <c r="C85" s="164">
        <f>presupuesto!B85</f>
        <v>52</v>
      </c>
      <c r="D85" s="58"/>
      <c r="E85" s="58">
        <f>IFERROR(VLOOKUP(C85,presupuesto!B:E,4,FALSE),0)</f>
        <v>22.74</v>
      </c>
      <c r="F85" s="60">
        <f t="shared" si="13"/>
        <v>0</v>
      </c>
      <c r="G85" s="58"/>
      <c r="H85" s="53" t="str">
        <f>presupuesto!C85</f>
        <v xml:space="preserve">         Hormigón tipo G-25</v>
      </c>
      <c r="I85" s="58"/>
      <c r="J85" s="58"/>
      <c r="K85" s="6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9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</row>
    <row r="86" spans="1:61" ht="12.75" customHeight="1" x14ac:dyDescent="0.25">
      <c r="A86" s="171" t="str">
        <f>IFERROR(IF(VLOOKUP(B86,presupuesto!A:K,8,FALSE)&gt;0,VLOOKUP(B86,presupuesto!A:K,8,FALSE),"-"),"-")</f>
        <v>mar 28-01-25</v>
      </c>
      <c r="B86" s="53" t="str">
        <f>presupuesto!A86</f>
        <v>1.4.3.3</v>
      </c>
      <c r="C86" s="164">
        <f>presupuesto!B86</f>
        <v>53</v>
      </c>
      <c r="D86" s="58"/>
      <c r="E86" s="58">
        <f>IFERROR(VLOOKUP(C86,presupuesto!B:E,4,FALSE),0)</f>
        <v>2062</v>
      </c>
      <c r="F86" s="60">
        <f t="shared" si="13"/>
        <v>0</v>
      </c>
      <c r="G86" s="58"/>
      <c r="H86" s="53" t="str">
        <f>presupuesto!C86</f>
        <v xml:space="preserve">         Acero de refuerzo A63-42H</v>
      </c>
      <c r="I86" s="58"/>
      <c r="J86" s="58"/>
      <c r="K86" s="6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9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</row>
    <row r="87" spans="1:61" ht="12.75" customHeight="1" x14ac:dyDescent="0.25">
      <c r="A87" s="171" t="str">
        <f>IFERROR(IF(VLOOKUP(B87,presupuesto!A:K,8,FALSE)&gt;0,VLOOKUP(B87,presupuesto!A:K,8,FALSE),"-"),"-")</f>
        <v>vie 17-01-25</v>
      </c>
      <c r="B87" s="53" t="str">
        <f>presupuesto!A87</f>
        <v>1.4.4</v>
      </c>
      <c r="C87" s="164" t="str">
        <f>presupuesto!B87</f>
        <v>C.-</v>
      </c>
      <c r="D87" s="58"/>
      <c r="E87" s="58">
        <f>IFERROR(VLOOKUP(C87,presupuesto!B:E,4,FALSE),0)</f>
        <v>0</v>
      </c>
      <c r="F87" s="60">
        <f t="shared" si="13"/>
        <v>0</v>
      </c>
      <c r="G87" s="58"/>
      <c r="H87" s="53" t="str">
        <f>presupuesto!C87</f>
        <v xml:space="preserve">      ESTRUCTURA DE ESTANQUE (SUMINISTRO TRANSPORTE Y MONTAJE DE LAS ESTRUCTURAS)</v>
      </c>
      <c r="I87" s="58"/>
      <c r="J87" s="58"/>
      <c r="K87" s="6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9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</row>
    <row r="88" spans="1:61" x14ac:dyDescent="0.25">
      <c r="A88" s="171" t="str">
        <f>IFERROR(IF(VLOOKUP(B88,presupuesto!A:K,8,FALSE)&gt;0,VLOOKUP(B88,presupuesto!A:K,8,FALSE),"-"),"-")</f>
        <v>jue 27-02-25</v>
      </c>
      <c r="B88" s="53" t="str">
        <f>presupuesto!A88</f>
        <v>1.4.4.1</v>
      </c>
      <c r="C88" s="164">
        <f>presupuesto!B88</f>
        <v>54</v>
      </c>
      <c r="D88" s="58"/>
      <c r="E88" s="58">
        <f>IFERROR(VLOOKUP(C88,presupuesto!B:E,4,FALSE),0)</f>
        <v>32</v>
      </c>
      <c r="F88" s="60">
        <f t="shared" si="13"/>
        <v>0</v>
      </c>
      <c r="G88" s="58"/>
      <c r="H88" s="53" t="str">
        <f>presupuesto!C88</f>
        <v xml:space="preserve">         Pernos de anclaje de 1 " x 1400 mm</v>
      </c>
      <c r="I88" s="58"/>
      <c r="J88" s="58"/>
      <c r="K88" s="6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9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</row>
    <row r="89" spans="1:61" x14ac:dyDescent="0.25">
      <c r="A89" s="171" t="str">
        <f>IFERROR(IF(VLOOKUP(B89,presupuesto!A:K,8,FALSE)&gt;0,VLOOKUP(B89,presupuesto!A:K,8,FALSE),"-"),"-")</f>
        <v>jue 10-04-25</v>
      </c>
      <c r="B89" s="53" t="str">
        <f>presupuesto!A89</f>
        <v>1.4.4.2</v>
      </c>
      <c r="C89" s="164">
        <f>presupuesto!B89</f>
        <v>55</v>
      </c>
      <c r="D89" s="58"/>
      <c r="E89" s="58">
        <f>IFERROR(VLOOKUP(C89,presupuesto!B:E,4,FALSE),0)</f>
        <v>4</v>
      </c>
      <c r="F89" s="60">
        <f t="shared" si="13"/>
        <v>0</v>
      </c>
      <c r="G89" s="58"/>
      <c r="H89" s="53" t="str">
        <f>presupuesto!C89</f>
        <v xml:space="preserve">         Placas de anclaje 540 x 540 x 25 mm de acero calidad A 37 – 24 ES</v>
      </c>
      <c r="I89" s="58"/>
      <c r="J89" s="58"/>
      <c r="K89" s="6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9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</row>
    <row r="90" spans="1:61" x14ac:dyDescent="0.25">
      <c r="A90" s="171" t="str">
        <f>IFERROR(IF(VLOOKUP(B90,presupuesto!A:K,8,FALSE)&gt;0,VLOOKUP(B90,presupuesto!A:K,8,FALSE),"-"),"-")</f>
        <v>vie 17-01-25</v>
      </c>
      <c r="B90" s="53" t="str">
        <f>presupuesto!A90</f>
        <v>1.4.4.3</v>
      </c>
      <c r="C90" s="164">
        <f>presupuesto!B90</f>
        <v>56</v>
      </c>
      <c r="D90" s="58"/>
      <c r="E90" s="58">
        <f>IFERROR(VLOOKUP(C90,presupuesto!B:E,4,FALSE),0)</f>
        <v>5986</v>
      </c>
      <c r="F90" s="60">
        <f t="shared" si="13"/>
        <v>0</v>
      </c>
      <c r="G90" s="58"/>
      <c r="H90" s="53" t="str">
        <f>presupuesto!C90</f>
        <v xml:space="preserve">         Torre metalica 15 m de altura</v>
      </c>
      <c r="I90" s="58"/>
      <c r="J90" s="58"/>
      <c r="K90" s="6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9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</row>
    <row r="91" spans="1:61" x14ac:dyDescent="0.25">
      <c r="A91" s="171" t="str">
        <f>IFERROR(IF(VLOOKUP(B91,presupuesto!A:K,8,FALSE)&gt;0,VLOOKUP(B91,presupuesto!A:K,8,FALSE),"-"),"-")</f>
        <v>vie 17-01-25</v>
      </c>
      <c r="B91" s="53" t="str">
        <f>presupuesto!A91</f>
        <v>1.4.4.4</v>
      </c>
      <c r="C91" s="164">
        <f>presupuesto!B91</f>
        <v>57</v>
      </c>
      <c r="D91" s="58"/>
      <c r="E91" s="58">
        <f>IFERROR(VLOOKUP(C91,presupuesto!B:E,4,FALSE),0)</f>
        <v>1273.5</v>
      </c>
      <c r="F91" s="60">
        <f t="shared" si="13"/>
        <v>0</v>
      </c>
      <c r="G91" s="58"/>
      <c r="H91" s="53" t="str">
        <f>presupuesto!C91</f>
        <v xml:space="preserve">         Plataforma</v>
      </c>
      <c r="I91" s="58"/>
      <c r="J91" s="58"/>
      <c r="K91" s="6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9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</row>
    <row r="92" spans="1:61" x14ac:dyDescent="0.25">
      <c r="A92" s="171" t="str">
        <f>IFERROR(IF(VLOOKUP(B92,presupuesto!A:K,8,FALSE)&gt;0,VLOOKUP(B92,presupuesto!A:K,8,FALSE),"-"),"-")</f>
        <v>vie 17-01-25</v>
      </c>
      <c r="B92" s="53" t="str">
        <f>presupuesto!A92</f>
        <v>1.4.4.5</v>
      </c>
      <c r="C92" s="164">
        <f>presupuesto!B92</f>
        <v>58</v>
      </c>
      <c r="D92" s="58"/>
      <c r="E92" s="58">
        <f>IFERROR(VLOOKUP(C92,presupuesto!B:E,4,FALSE),0)</f>
        <v>3324.4</v>
      </c>
      <c r="F92" s="60">
        <f t="shared" si="13"/>
        <v>0</v>
      </c>
      <c r="G92" s="58"/>
      <c r="H92" s="53" t="str">
        <f>presupuesto!C92</f>
        <v xml:space="preserve">         Cuba</v>
      </c>
      <c r="I92" s="58"/>
      <c r="J92" s="58"/>
      <c r="K92" s="6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9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</row>
    <row r="93" spans="1:61" x14ac:dyDescent="0.25">
      <c r="A93" s="171" t="str">
        <f>IFERROR(IF(VLOOKUP(B93,presupuesto!A:K,8,FALSE)&gt;0,VLOOKUP(B93,presupuesto!A:K,8,FALSE),"-"),"-")</f>
        <v>lun 03-03-25</v>
      </c>
      <c r="B93" s="53" t="str">
        <f>presupuesto!A93</f>
        <v>1.4.4.6</v>
      </c>
      <c r="C93" s="164">
        <f>presupuesto!B93</f>
        <v>59</v>
      </c>
      <c r="D93" s="58"/>
      <c r="E93" s="58">
        <f>IFERROR(VLOOKUP(C93,presupuesto!B:E,4,FALSE),0)</f>
        <v>18</v>
      </c>
      <c r="F93" s="60">
        <f t="shared" si="13"/>
        <v>0</v>
      </c>
      <c r="G93" s="58"/>
      <c r="H93" s="53" t="str">
        <f>presupuesto!C93</f>
        <v xml:space="preserve">         Escotilla, Tapa Ventilación</v>
      </c>
      <c r="I93" s="58"/>
      <c r="J93" s="58"/>
      <c r="K93" s="6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9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</row>
    <row r="94" spans="1:61" x14ac:dyDescent="0.25">
      <c r="A94" s="171" t="str">
        <f>IFERROR(IF(VLOOKUP(B94,presupuesto!A:K,8,FALSE)&gt;0,VLOOKUP(B94,presupuesto!A:K,8,FALSE),"-"),"-")</f>
        <v>lun 03-03-25</v>
      </c>
      <c r="B94" s="53" t="str">
        <f>presupuesto!A94</f>
        <v>1.4.4.7</v>
      </c>
      <c r="C94" s="164">
        <f>presupuesto!B94</f>
        <v>60</v>
      </c>
      <c r="D94" s="58"/>
      <c r="E94" s="58">
        <f>IFERROR(VLOOKUP(C94,presupuesto!B:E,4,FALSE),0)</f>
        <v>325.39999999999998</v>
      </c>
      <c r="F94" s="60">
        <f t="shared" si="13"/>
        <v>0</v>
      </c>
      <c r="G94" s="58"/>
      <c r="H94" s="53" t="str">
        <f>presupuesto!C94</f>
        <v xml:space="preserve">         Escalas de acceso y Barandas</v>
      </c>
      <c r="I94" s="58"/>
      <c r="J94" s="58"/>
      <c r="K94" s="6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9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</row>
    <row r="95" spans="1:61" x14ac:dyDescent="0.25">
      <c r="A95" s="171" t="str">
        <f>IFERROR(IF(VLOOKUP(B95,presupuesto!A:K,8,FALSE)&gt;0,VLOOKUP(B95,presupuesto!A:K,8,FALSE),"-"),"-")</f>
        <v>mar 18-03-25</v>
      </c>
      <c r="B95" s="53" t="str">
        <f>presupuesto!A95</f>
        <v>1.4.4.8</v>
      </c>
      <c r="C95" s="164">
        <f>presupuesto!B95</f>
        <v>61</v>
      </c>
      <c r="D95" s="58"/>
      <c r="E95" s="58">
        <f>IFERROR(VLOOKUP(C95,presupuesto!B:E,4,FALSE),0)</f>
        <v>1</v>
      </c>
      <c r="F95" s="60">
        <f t="shared" si="13"/>
        <v>0</v>
      </c>
      <c r="G95" s="58"/>
      <c r="H95" s="53" t="str">
        <f>presupuesto!C95</f>
        <v xml:space="preserve">         Escala de Aproximacion</v>
      </c>
      <c r="I95" s="58"/>
      <c r="J95" s="58"/>
      <c r="K95" s="6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9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</row>
    <row r="96" spans="1:61" x14ac:dyDescent="0.25">
      <c r="A96" s="171" t="str">
        <f>IFERROR(IF(VLOOKUP(B96,presupuesto!A:K,8,FALSE)&gt;0,VLOOKUP(B96,presupuesto!A:K,8,FALSE),"-"),"-")</f>
        <v>mar 18-03-25</v>
      </c>
      <c r="B96" s="53" t="str">
        <f>presupuesto!A96</f>
        <v>1.4.4.9</v>
      </c>
      <c r="C96" s="164">
        <f>presupuesto!B96</f>
        <v>62</v>
      </c>
      <c r="D96" s="58"/>
      <c r="E96" s="58">
        <f>IFERROR(VLOOKUP(C96,presupuesto!B:E,4,FALSE),0)</f>
        <v>1</v>
      </c>
      <c r="F96" s="60">
        <f t="shared" si="13"/>
        <v>0</v>
      </c>
      <c r="G96" s="58"/>
      <c r="H96" s="53" t="str">
        <f>presupuesto!C96</f>
        <v xml:space="preserve">         Pintura interior del estanque</v>
      </c>
      <c r="I96" s="58"/>
      <c r="J96" s="58"/>
      <c r="K96" s="6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9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</row>
    <row r="97" spans="1:61" x14ac:dyDescent="0.25">
      <c r="A97" s="171" t="str">
        <f>IFERROR(IF(VLOOKUP(B97,presupuesto!A:K,8,FALSE)&gt;0,VLOOKUP(B97,presupuesto!A:K,8,FALSE),"-"),"-")</f>
        <v>mar 25-03-25</v>
      </c>
      <c r="B97" s="53" t="str">
        <f>presupuesto!A97</f>
        <v>1.4.4.10</v>
      </c>
      <c r="C97" s="164">
        <f>presupuesto!B97</f>
        <v>63</v>
      </c>
      <c r="D97" s="58"/>
      <c r="E97" s="58">
        <f>IFERROR(VLOOKUP(C97,presupuesto!B:E,4,FALSE),0)</f>
        <v>1</v>
      </c>
      <c r="F97" s="60">
        <f t="shared" si="13"/>
        <v>0</v>
      </c>
      <c r="G97" s="58"/>
      <c r="H97" s="53" t="str">
        <f>presupuesto!C97</f>
        <v xml:space="preserve">         Pintura Exterior del estanque y Estructura</v>
      </c>
      <c r="I97" s="58"/>
      <c r="J97" s="58"/>
      <c r="K97" s="6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9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</row>
    <row r="98" spans="1:61" x14ac:dyDescent="0.25">
      <c r="A98" s="171" t="str">
        <f>IFERROR(IF(VLOOKUP(B98,presupuesto!A:K,8,FALSE)&gt;0,VLOOKUP(B98,presupuesto!A:K,8,FALSE),"-"),"-")</f>
        <v>jue 24-04-25</v>
      </c>
      <c r="B98" s="53" t="str">
        <f>presupuesto!A98</f>
        <v>1.4.5</v>
      </c>
      <c r="C98" s="164" t="str">
        <f>presupuesto!B98</f>
        <v>D.-</v>
      </c>
      <c r="D98" s="58"/>
      <c r="E98" s="58">
        <f>IFERROR(VLOOKUP(C98,presupuesto!B:E,4,FALSE),0)</f>
        <v>0</v>
      </c>
      <c r="F98" s="60">
        <f t="shared" si="13"/>
        <v>0</v>
      </c>
      <c r="G98" s="58"/>
      <c r="H98" s="53" t="str">
        <f>presupuesto!C98</f>
        <v xml:space="preserve">      INTERCONEXIONES HIDRÁULICAS</v>
      </c>
      <c r="I98" s="58"/>
      <c r="J98" s="58"/>
      <c r="K98" s="6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9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</row>
    <row r="99" spans="1:61" x14ac:dyDescent="0.25">
      <c r="A99" s="171" t="str">
        <f>IFERROR(IF(VLOOKUP(B99,presupuesto!A:K,8,FALSE)&gt;0,VLOOKUP(B99,presupuesto!A:K,8,FALSE),"-"),"-")</f>
        <v>sáb 24-05-25</v>
      </c>
      <c r="B99" s="53" t="str">
        <f>presupuesto!A99</f>
        <v>1.4.5.1</v>
      </c>
      <c r="C99" s="164" t="str">
        <f>presupuesto!B99</f>
        <v>D.1.-</v>
      </c>
      <c r="D99" s="58"/>
      <c r="E99" s="58">
        <f>IFERROR(VLOOKUP(C99,presupuesto!B:E,4,FALSE),0)</f>
        <v>0</v>
      </c>
      <c r="F99" s="60">
        <f t="shared" si="13"/>
        <v>0</v>
      </c>
      <c r="G99" s="58"/>
      <c r="H99" s="53" t="str">
        <f>presupuesto!C99</f>
        <v xml:space="preserve">         Suministro, transporte, transporte interno, colocación y prueba de Tuberías de pvc</v>
      </c>
      <c r="I99" s="58"/>
      <c r="J99" s="58"/>
      <c r="K99" s="6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9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</row>
    <row r="100" spans="1:61" x14ac:dyDescent="0.25">
      <c r="A100" s="171" t="str">
        <f>IFERROR(IF(VLOOKUP(B100,presupuesto!A:K,8,FALSE)&gt;0,VLOOKUP(B100,presupuesto!A:K,8,FALSE),"-"),"-")</f>
        <v>sáb 24-05-25</v>
      </c>
      <c r="B100" s="53" t="str">
        <f>presupuesto!A100</f>
        <v>1.4.5.1.1</v>
      </c>
      <c r="C100" s="164">
        <f>presupuesto!B100</f>
        <v>64</v>
      </c>
      <c r="D100" s="58"/>
      <c r="E100" s="58">
        <f>IFERROR(VLOOKUP(C100,presupuesto!B:E,4,FALSE),0)</f>
        <v>4.2</v>
      </c>
      <c r="F100" s="60">
        <f t="shared" si="13"/>
        <v>0</v>
      </c>
      <c r="G100" s="58"/>
      <c r="H100" s="53" t="str">
        <f>presupuesto!C100</f>
        <v xml:space="preserve">            Suministro, Transporte y Transporte Interno, colocación y prueba de tuberías PVC C-6 75 mm</v>
      </c>
      <c r="I100" s="58"/>
      <c r="J100" s="58"/>
      <c r="K100" s="6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9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</row>
    <row r="101" spans="1:61" x14ac:dyDescent="0.25">
      <c r="A101" s="171" t="str">
        <f>IFERROR(IF(VLOOKUP(B101,presupuesto!A:K,8,FALSE)&gt;0,VLOOKUP(B101,presupuesto!A:K,8,FALSE),"-"),"-")</f>
        <v>jue 24-04-25</v>
      </c>
      <c r="B101" s="53" t="str">
        <f>presupuesto!A101</f>
        <v>1.4.5.2</v>
      </c>
      <c r="C101" s="164" t="str">
        <f>presupuesto!B101</f>
        <v>D.2.-</v>
      </c>
      <c r="D101" s="58"/>
      <c r="E101" s="58">
        <f>IFERROR(VLOOKUP(C101,presupuesto!B:E,4,FALSE),0)</f>
        <v>0</v>
      </c>
      <c r="F101" s="60">
        <f t="shared" si="13"/>
        <v>0</v>
      </c>
      <c r="G101" s="58"/>
      <c r="H101" s="53" t="str">
        <f>presupuesto!C101</f>
        <v xml:space="preserve">         Suministro, transporte, transporte interno, colocación y prueba de Tuberías de Acero Galvanizado</v>
      </c>
      <c r="I101" s="58"/>
      <c r="J101" s="58"/>
      <c r="K101" s="6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9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</row>
    <row r="102" spans="1:61" x14ac:dyDescent="0.25">
      <c r="A102" s="171" t="str">
        <f>IFERROR(IF(VLOOKUP(B102,presupuesto!A:K,8,FALSE)&gt;0,VLOOKUP(B102,presupuesto!A:K,8,FALSE),"-"),"-")</f>
        <v>jue 24-04-25</v>
      </c>
      <c r="B102" s="53" t="str">
        <f>presupuesto!A102</f>
        <v>1.4.5.2.1</v>
      </c>
      <c r="C102" s="164">
        <f>presupuesto!B102</f>
        <v>65</v>
      </c>
      <c r="D102" s="58"/>
      <c r="E102" s="58">
        <f>IFERROR(VLOOKUP(C102,presupuesto!B:E,4,FALSE),0)</f>
        <v>54.9</v>
      </c>
      <c r="F102" s="60">
        <f t="shared" si="13"/>
        <v>0</v>
      </c>
      <c r="G102" s="58"/>
      <c r="H102" s="53" t="str">
        <f>presupuesto!C102</f>
        <v xml:space="preserve">            Acero Galvanizado D=3”</v>
      </c>
      <c r="I102" s="58"/>
      <c r="J102" s="58"/>
      <c r="K102" s="6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9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</row>
    <row r="103" spans="1:61" x14ac:dyDescent="0.25">
      <c r="A103" s="171" t="str">
        <f>IFERROR(IF(VLOOKUP(B103,presupuesto!A:K,8,FALSE)&gt;0,VLOOKUP(B103,presupuesto!A:K,8,FALSE),"-"),"-")</f>
        <v>jue 24-04-25</v>
      </c>
      <c r="B103" s="53" t="str">
        <f>presupuesto!A103</f>
        <v>1.4.5.3</v>
      </c>
      <c r="C103" s="164" t="str">
        <f>presupuesto!B103</f>
        <v>D.3.-</v>
      </c>
      <c r="D103" s="58"/>
      <c r="E103" s="58">
        <f>IFERROR(VLOOKUP(C103,presupuesto!B:E,4,FALSE),0)</f>
        <v>0</v>
      </c>
      <c r="F103" s="60">
        <f t="shared" si="13"/>
        <v>0</v>
      </c>
      <c r="G103" s="58"/>
      <c r="H103" s="53" t="str">
        <f>presupuesto!C103</f>
        <v xml:space="preserve">         Suministro, transporte, transporte interno, colocación y prueba de Piezas Especiales con/sin mecanismo</v>
      </c>
      <c r="I103" s="58"/>
      <c r="J103" s="58"/>
      <c r="K103" s="6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9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</row>
    <row r="104" spans="1:61" x14ac:dyDescent="0.25">
      <c r="A104" s="171" t="str">
        <f>IFERROR(IF(VLOOKUP(B104,presupuesto!A:K,8,FALSE)&gt;0,VLOOKUP(B104,presupuesto!A:K,8,FALSE),"-"),"-")</f>
        <v>jue 24-04-25</v>
      </c>
      <c r="B104" s="53" t="str">
        <f>presupuesto!A104</f>
        <v>1.4.5.3.1</v>
      </c>
      <c r="C104" s="164">
        <f>presupuesto!B104</f>
        <v>66</v>
      </c>
      <c r="D104" s="58"/>
      <c r="E104" s="58">
        <f>IFERROR(VLOOKUP(C104,presupuesto!B:E,4,FALSE),0)</f>
        <v>619</v>
      </c>
      <c r="F104" s="60">
        <f t="shared" si="13"/>
        <v>0</v>
      </c>
      <c r="G104" s="58"/>
      <c r="H104" s="53" t="str">
        <f>presupuesto!C104</f>
        <v xml:space="preserve">            Piezas especiales de Fierro Fundido</v>
      </c>
      <c r="I104" s="58"/>
      <c r="J104" s="58"/>
      <c r="K104" s="6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9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</row>
    <row r="105" spans="1:61" x14ac:dyDescent="0.25">
      <c r="A105" s="171" t="str">
        <f>IFERROR(IF(VLOOKUP(B105,presupuesto!A:K,8,FALSE)&gt;0,VLOOKUP(B105,presupuesto!A:K,8,FALSE),"-"),"-")</f>
        <v>vie 09-05-25</v>
      </c>
      <c r="B105" s="53" t="str">
        <f>presupuesto!A105</f>
        <v>1.4.5.3.2</v>
      </c>
      <c r="C105" s="164">
        <f>presupuesto!B105</f>
        <v>67</v>
      </c>
      <c r="D105" s="58"/>
      <c r="E105" s="58">
        <f>IFERROR(VLOOKUP(C105,presupuesto!B:E,4,FALSE),0)</f>
        <v>74.8</v>
      </c>
      <c r="F105" s="60">
        <f t="shared" si="13"/>
        <v>0</v>
      </c>
      <c r="G105" s="58"/>
      <c r="H105" s="53" t="str">
        <f>presupuesto!C105</f>
        <v xml:space="preserve">            Piezas especiales de Acero</v>
      </c>
      <c r="I105" s="58"/>
      <c r="J105" s="58"/>
      <c r="K105" s="6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9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</row>
    <row r="106" spans="1:61" x14ac:dyDescent="0.25">
      <c r="A106" s="171" t="str">
        <f>IFERROR(IF(VLOOKUP(B106,presupuesto!A:K,8,FALSE)&gt;0,VLOOKUP(B106,presupuesto!A:K,8,FALSE),"-"),"-")</f>
        <v>jue 22-05-25</v>
      </c>
      <c r="B106" s="53" t="str">
        <f>presupuesto!A106</f>
        <v>1.4.5.3.3</v>
      </c>
      <c r="C106" s="164">
        <f>presupuesto!B106</f>
        <v>68</v>
      </c>
      <c r="D106" s="58"/>
      <c r="E106" s="58">
        <f>IFERROR(VLOOKUP(C106,presupuesto!B:E,4,FALSE),0)</f>
        <v>4.8</v>
      </c>
      <c r="F106" s="60">
        <f t="shared" si="13"/>
        <v>0</v>
      </c>
      <c r="G106" s="58"/>
      <c r="H106" s="53" t="str">
        <f>presupuesto!C106</f>
        <v xml:space="preserve">            Piezas especiales de Conduit</v>
      </c>
      <c r="I106" s="58"/>
      <c r="J106" s="58"/>
      <c r="K106" s="6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9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</row>
    <row r="107" spans="1:61" x14ac:dyDescent="0.25">
      <c r="A107" s="171" t="str">
        <f>IFERROR(IF(VLOOKUP(B107,presupuesto!A:K,8,FALSE)&gt;0,VLOOKUP(B107,presupuesto!A:K,8,FALSE),"-"),"-")</f>
        <v>dom 04-05-25</v>
      </c>
      <c r="B107" s="53" t="str">
        <f>presupuesto!A107</f>
        <v>1.4.5.3.4</v>
      </c>
      <c r="C107" s="164">
        <f>presupuesto!B107</f>
        <v>69</v>
      </c>
      <c r="D107" s="58"/>
      <c r="E107" s="58">
        <f>IFERROR(VLOOKUP(C107,presupuesto!B:E,4,FALSE),0)</f>
        <v>178</v>
      </c>
      <c r="F107" s="60">
        <f t="shared" si="13"/>
        <v>0</v>
      </c>
      <c r="G107" s="58"/>
      <c r="H107" s="53" t="str">
        <f>presupuesto!C107</f>
        <v xml:space="preserve">            Piezas Especiales con mecanismo</v>
      </c>
      <c r="I107" s="58"/>
      <c r="J107" s="58"/>
      <c r="K107" s="6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9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</row>
    <row r="108" spans="1:61" x14ac:dyDescent="0.25">
      <c r="A108" s="171" t="str">
        <f>IFERROR(IF(VLOOKUP(B108,presupuesto!A:K,8,FALSE)&gt;0,VLOOKUP(B108,presupuesto!A:K,8,FALSE),"-"),"-")</f>
        <v>dom 04-05-25</v>
      </c>
      <c r="B108" s="53" t="str">
        <f>presupuesto!A108</f>
        <v>1.4.5.3.5</v>
      </c>
      <c r="C108" s="164">
        <f>presupuesto!B108</f>
        <v>70</v>
      </c>
      <c r="D108" s="58"/>
      <c r="E108" s="58">
        <f>IFERROR(VLOOKUP(C108,presupuesto!B:E,4,FALSE),0)</f>
        <v>1</v>
      </c>
      <c r="F108" s="60">
        <f t="shared" si="13"/>
        <v>0</v>
      </c>
      <c r="G108" s="58"/>
      <c r="H108" s="53" t="str">
        <f>presupuesto!C108</f>
        <v xml:space="preserve">            Macromedidor con camara de protección</v>
      </c>
      <c r="I108" s="58"/>
      <c r="J108" s="58"/>
      <c r="K108" s="6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9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</row>
    <row r="109" spans="1:61" x14ac:dyDescent="0.25">
      <c r="A109" s="171" t="str">
        <f>IFERROR(IF(VLOOKUP(B109,presupuesto!A:K,8,FALSE)&gt;0,VLOOKUP(B109,presupuesto!A:K,8,FALSE),"-"),"-")</f>
        <v>sáb 24-05-25</v>
      </c>
      <c r="B109" s="53" t="str">
        <f>presupuesto!A109</f>
        <v>1.4.6</v>
      </c>
      <c r="C109" s="164" t="str">
        <f>presupuesto!B109</f>
        <v>E.-</v>
      </c>
      <c r="D109" s="58"/>
      <c r="E109" s="58">
        <f>IFERROR(VLOOKUP(C109,presupuesto!B:E,4,FALSE),0)</f>
        <v>0</v>
      </c>
      <c r="F109" s="60">
        <f t="shared" si="13"/>
        <v>0</v>
      </c>
      <c r="G109" s="58"/>
      <c r="H109" s="53" t="str">
        <f>presupuesto!C109</f>
        <v xml:space="preserve">      OBRAS VARIAS</v>
      </c>
      <c r="I109" s="58"/>
      <c r="J109" s="58"/>
      <c r="K109" s="6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9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</row>
    <row r="110" spans="1:61" x14ac:dyDescent="0.25">
      <c r="A110" s="171" t="str">
        <f>IFERROR(IF(VLOOKUP(B110,presupuesto!A:K,8,FALSE)&gt;0,VLOOKUP(B110,presupuesto!A:K,8,FALSE),"-"),"-")</f>
        <v>sáb 24-05-25</v>
      </c>
      <c r="B110" s="53" t="str">
        <f>presupuesto!A110</f>
        <v>1.4.6.1</v>
      </c>
      <c r="C110" s="164">
        <f>presupuesto!B110</f>
        <v>71</v>
      </c>
      <c r="D110" s="58"/>
      <c r="E110" s="58">
        <f>IFERROR(VLOOKUP(C110,presupuesto!B:E,4,FALSE),0)</f>
        <v>12</v>
      </c>
      <c r="F110" s="60">
        <f t="shared" si="13"/>
        <v>0</v>
      </c>
      <c r="G110" s="58"/>
      <c r="H110" s="53" t="str">
        <f>presupuesto!C110</f>
        <v xml:space="preserve">         Machones de apoyo y anclaje</v>
      </c>
      <c r="I110" s="58"/>
      <c r="J110" s="58"/>
      <c r="K110" s="6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9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</row>
    <row r="111" spans="1:61" x14ac:dyDescent="0.25">
      <c r="A111" s="171" t="str">
        <f>IFERROR(IF(VLOOKUP(B111,presupuesto!A:K,8,FALSE)&gt;0,VLOOKUP(B111,presupuesto!A:K,8,FALSE),"-"),"-")</f>
        <v>sáb 24-05-25</v>
      </c>
      <c r="B111" s="53" t="str">
        <f>presupuesto!A111</f>
        <v>1.4.6.2</v>
      </c>
      <c r="C111" s="164">
        <f>presupuesto!B111</f>
        <v>72</v>
      </c>
      <c r="D111" s="58"/>
      <c r="E111" s="58">
        <f>IFERROR(VLOOKUP(C111,presupuesto!B:E,4,FALSE),0)</f>
        <v>1</v>
      </c>
      <c r="F111" s="60">
        <f t="shared" si="13"/>
        <v>0</v>
      </c>
      <c r="G111" s="58"/>
      <c r="H111" s="53" t="str">
        <f>presupuesto!C111</f>
        <v xml:space="preserve">         Obra de desagüe</v>
      </c>
      <c r="I111" s="58"/>
      <c r="J111" s="58"/>
      <c r="K111" s="6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9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</row>
    <row r="112" spans="1:61" x14ac:dyDescent="0.25">
      <c r="A112" s="171" t="str">
        <f>IFERROR(IF(VLOOKUP(B112,presupuesto!A:K,8,FALSE)&gt;0,VLOOKUP(B112,presupuesto!A:K,8,FALSE),"-"),"-")</f>
        <v>lun 04-11-24</v>
      </c>
      <c r="B112" s="53" t="str">
        <f>presupuesto!A112</f>
        <v>1.5</v>
      </c>
      <c r="C112" s="164">
        <f>presupuesto!B112</f>
        <v>0</v>
      </c>
      <c r="D112" s="58"/>
      <c r="E112" s="58">
        <f>IFERROR(VLOOKUP(C112,presupuesto!B:E,4,FALSE),0)</f>
        <v>0</v>
      </c>
      <c r="F112" s="60">
        <f t="shared" si="13"/>
        <v>0</v>
      </c>
      <c r="G112" s="58"/>
      <c r="H112" s="53" t="str">
        <f>presupuesto!C112</f>
        <v xml:space="preserve">   CAPÍTULO V: RED DE DISTRIBUCIÓN</v>
      </c>
      <c r="I112" s="58"/>
      <c r="J112" s="58"/>
      <c r="K112" s="6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9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</row>
    <row r="113" spans="1:108" x14ac:dyDescent="0.25">
      <c r="A113" s="171" t="str">
        <f>IFERROR(IF(VLOOKUP(B113,presupuesto!A:K,8,FALSE)&gt;0,VLOOKUP(B113,presupuesto!A:K,8,FALSE),"-"),"-")</f>
        <v>lun 04-11-24</v>
      </c>
      <c r="B113" s="53" t="str">
        <f>presupuesto!A113</f>
        <v>1.5.1</v>
      </c>
      <c r="C113" s="164" t="str">
        <f>presupuesto!B113</f>
        <v>A.-</v>
      </c>
      <c r="D113" s="58"/>
      <c r="E113" s="58">
        <f>IFERROR(VLOOKUP(C113,presupuesto!B:E,4,FALSE),0)</f>
        <v>0</v>
      </c>
      <c r="F113" s="60">
        <f t="shared" si="13"/>
        <v>0</v>
      </c>
      <c r="G113" s="58"/>
      <c r="H113" s="53" t="str">
        <f>presupuesto!C113</f>
        <v xml:space="preserve">      MOVIMIENTOS DE TIERRA</v>
      </c>
      <c r="I113" s="58"/>
      <c r="J113" s="58"/>
      <c r="K113" s="6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9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</row>
    <row r="114" spans="1:108" x14ac:dyDescent="0.25">
      <c r="A114" s="171" t="str">
        <f>IFERROR(IF(VLOOKUP(B114,presupuesto!A:K,8,FALSE)&gt;0,VLOOKUP(B114,presupuesto!A:K,8,FALSE),"-"),"-")</f>
        <v>lun 04-11-24</v>
      </c>
      <c r="B114" s="53" t="str">
        <f>presupuesto!A114</f>
        <v>1.5.1.1</v>
      </c>
      <c r="C114" s="164">
        <f>presupuesto!B114</f>
        <v>73</v>
      </c>
      <c r="D114" s="58"/>
      <c r="E114" s="58">
        <f>IFERROR(VLOOKUP(C114,presupuesto!B:E,4,FALSE),0)</f>
        <v>13681.4</v>
      </c>
      <c r="F114" s="172">
        <f>E114/SUM(E121:E124)*SUM(F121:F124)</f>
        <v>6557.6150977717143</v>
      </c>
      <c r="G114" s="58"/>
      <c r="H114" s="53" t="str">
        <f>presupuesto!C114</f>
        <v xml:space="preserve">         Excavación de zanja, terreno Tipo III</v>
      </c>
      <c r="I114" s="58"/>
      <c r="J114" s="58"/>
      <c r="K114" s="6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9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</row>
    <row r="115" spans="1:108" x14ac:dyDescent="0.25">
      <c r="A115" s="171" t="str">
        <f>IFERROR(IF(VLOOKUP(B115,presupuesto!A:K,8,FALSE)&gt;0,VLOOKUP(B115,presupuesto!A:K,8,FALSE),"-"),"-")</f>
        <v>vie 07-02-25</v>
      </c>
      <c r="B115" s="53" t="str">
        <f>presupuesto!A115</f>
        <v>1.5.1.2</v>
      </c>
      <c r="C115" s="164">
        <f>presupuesto!B115</f>
        <v>74</v>
      </c>
      <c r="D115" s="58"/>
      <c r="E115" s="58">
        <f>IFERROR(VLOOKUP(C115,presupuesto!B:E,4,FALSE),0)</f>
        <v>899.9</v>
      </c>
      <c r="F115" s="60">
        <f t="shared" si="13"/>
        <v>0</v>
      </c>
      <c r="G115" s="58"/>
      <c r="H115" s="53" t="str">
        <f>presupuesto!C115</f>
        <v xml:space="preserve">         Excavación a mano</v>
      </c>
      <c r="I115" s="58"/>
      <c r="J115" s="58"/>
      <c r="K115" s="6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9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</row>
    <row r="116" spans="1:108" x14ac:dyDescent="0.25">
      <c r="A116" s="171" t="str">
        <f>IFERROR(IF(VLOOKUP(B116,presupuesto!A:K,8,FALSE)&gt;0,VLOOKUP(B116,presupuesto!A:K,8,FALSE),"-"),"-")</f>
        <v>lun 04-11-24</v>
      </c>
      <c r="B116" s="53" t="str">
        <f>presupuesto!A116</f>
        <v>1.5.1.3</v>
      </c>
      <c r="C116" s="164">
        <f>presupuesto!B116</f>
        <v>75</v>
      </c>
      <c r="D116" s="58"/>
      <c r="E116" s="58">
        <f>IFERROR(VLOOKUP(C116,presupuesto!B:E,4,FALSE),0)</f>
        <v>1060.5</v>
      </c>
      <c r="F116" s="172">
        <f>E116/SUM(E121:E124)*SUM(F121:F124)</f>
        <v>508.30695770804914</v>
      </c>
      <c r="G116" s="58"/>
      <c r="H116" s="53" t="str">
        <f>presupuesto!C116</f>
        <v xml:space="preserve">         Base de apoyo</v>
      </c>
      <c r="I116" s="58"/>
      <c r="J116" s="58"/>
      <c r="K116" s="6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9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</row>
    <row r="117" spans="1:108" x14ac:dyDescent="0.25">
      <c r="A117" s="171" t="str">
        <f>IFERROR(IF(VLOOKUP(B117,presupuesto!A:K,8,FALSE)&gt;0,VLOOKUP(B117,presupuesto!A:K,8,FALSE),"-"),"-")</f>
        <v>lun 04-11-24</v>
      </c>
      <c r="B117" s="53" t="str">
        <f>presupuesto!A117</f>
        <v>1.5.1.4</v>
      </c>
      <c r="C117" s="164">
        <f>presupuesto!B117</f>
        <v>76</v>
      </c>
      <c r="D117" s="58"/>
      <c r="E117" s="58">
        <f>IFERROR(VLOOKUP(C117,presupuesto!B:E,4,FALSE),0)</f>
        <v>14323.8</v>
      </c>
      <c r="F117" s="172">
        <f>E117/SUM(E121:E124)*SUM(F121:F124)</f>
        <v>6865.5230559345146</v>
      </c>
      <c r="G117" s="58"/>
      <c r="H117" s="53" t="str">
        <f>presupuesto!C117</f>
        <v xml:space="preserve">         Relleno de zanjas</v>
      </c>
      <c r="I117" s="58"/>
      <c r="J117" s="58"/>
      <c r="K117" s="6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9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M117" s="6"/>
    </row>
    <row r="118" spans="1:108" x14ac:dyDescent="0.25">
      <c r="A118" s="171" t="str">
        <f>IFERROR(IF(VLOOKUP(B118,presupuesto!A:K,8,FALSE)&gt;0,VLOOKUP(B118,presupuesto!A:K,8,FALSE),"-"),"-")</f>
        <v>lun 04-11-24</v>
      </c>
      <c r="B118" s="53" t="str">
        <f>presupuesto!A118</f>
        <v>1.5.1.5</v>
      </c>
      <c r="C118" s="164">
        <f>presupuesto!B118</f>
        <v>77</v>
      </c>
      <c r="D118" s="58"/>
      <c r="E118" s="58">
        <f>IFERROR(VLOOKUP(C118,presupuesto!B:E,4,FALSE),0)</f>
        <v>3179.2</v>
      </c>
      <c r="F118" s="172">
        <f>E118/SUM(E121:E124)*SUM(F121:F124)</f>
        <v>1523.8184629376988</v>
      </c>
      <c r="G118" s="58"/>
      <c r="H118" s="53" t="str">
        <f>presupuesto!C118</f>
        <v xml:space="preserve">         Retiro de excedentes</v>
      </c>
      <c r="I118" s="58"/>
      <c r="J118" s="58"/>
      <c r="K118" s="6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9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M118" s="6"/>
    </row>
    <row r="119" spans="1:108" x14ac:dyDescent="0.25">
      <c r="A119" s="171" t="str">
        <f>IFERROR(IF(VLOOKUP(B119,presupuesto!A:K,8,FALSE)&gt;0,VLOOKUP(B119,presupuesto!A:K,8,FALSE),"-"),"-")</f>
        <v>lun 04-11-24</v>
      </c>
      <c r="B119" s="53" t="str">
        <f>presupuesto!A119</f>
        <v>1.5.2</v>
      </c>
      <c r="C119" s="164" t="str">
        <f>presupuesto!B119</f>
        <v>B.-</v>
      </c>
      <c r="D119" s="58"/>
      <c r="E119" s="58">
        <f>IFERROR(VLOOKUP(C119,presupuesto!B:E,4,FALSE),0)</f>
        <v>0</v>
      </c>
      <c r="F119" s="60">
        <f t="shared" si="13"/>
        <v>0</v>
      </c>
      <c r="G119" s="58"/>
      <c r="H119" s="53" t="str">
        <f>presupuesto!C119</f>
        <v xml:space="preserve">      INTERCONEXIONES HIDRÁULICAS</v>
      </c>
      <c r="I119" s="58"/>
      <c r="J119" s="58"/>
      <c r="K119" s="6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9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M119" s="6"/>
    </row>
    <row r="120" spans="1:108" x14ac:dyDescent="0.25">
      <c r="A120" s="171" t="str">
        <f>IFERROR(IF(VLOOKUP(B120,presupuesto!A:K,8,FALSE)&gt;0,VLOOKUP(B120,presupuesto!A:K,8,FALSE),"-"),"-")</f>
        <v>lun 04-11-24</v>
      </c>
      <c r="B120" s="53" t="str">
        <f>presupuesto!A120</f>
        <v>1.5.2.1</v>
      </c>
      <c r="C120" s="164" t="str">
        <f>presupuesto!B120</f>
        <v>B.1.-</v>
      </c>
      <c r="D120" s="58"/>
      <c r="E120" s="58">
        <f>IFERROR(VLOOKUP(C120,presupuesto!B:E,4,FALSE),0)</f>
        <v>0</v>
      </c>
      <c r="F120" s="60">
        <f t="shared" si="13"/>
        <v>0</v>
      </c>
      <c r="G120" s="58"/>
      <c r="H120" s="53" t="str">
        <f>presupuesto!C120</f>
        <v xml:space="preserve">         Suministro, transporte, transporte interno, colocación y prueba de Tuberías de HDPE</v>
      </c>
      <c r="I120" s="58"/>
      <c r="J120" s="58"/>
      <c r="K120" s="6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9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</row>
    <row r="121" spans="1:108" x14ac:dyDescent="0.25">
      <c r="A121" s="171" t="str">
        <f>IFERROR(IF(VLOOKUP(B121,presupuesto!A:K,8,FALSE)&gt;0,VLOOKUP(B121,presupuesto!A:K,8,FALSE),"-"),"-")</f>
        <v>lun 04-11-24</v>
      </c>
      <c r="B121" s="53" t="str">
        <f>presupuesto!A121</f>
        <v>1.5.2.1.1</v>
      </c>
      <c r="C121" s="164">
        <f>presupuesto!B121</f>
        <v>78</v>
      </c>
      <c r="D121" s="58"/>
      <c r="E121" s="58">
        <f>IFERROR(VLOOKUP(C121,presupuesto!B:E,4,FALSE),0)</f>
        <v>17364</v>
      </c>
      <c r="F121" s="60">
        <f t="shared" si="13"/>
        <v>8432</v>
      </c>
      <c r="G121" s="58"/>
      <c r="H121" s="53" t="str">
        <f>presupuesto!C121</f>
        <v xml:space="preserve">            Cañería de HDPE PN 10 D = 75 mm</v>
      </c>
      <c r="I121" s="58"/>
      <c r="J121" s="58"/>
      <c r="K121" s="6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9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N121" s="3">
        <v>190</v>
      </c>
      <c r="BO121" s="3">
        <v>562</v>
      </c>
      <c r="BP121" s="3">
        <v>235</v>
      </c>
      <c r="BQ121" s="3">
        <v>600</v>
      </c>
      <c r="BR121" s="3">
        <v>507</v>
      </c>
      <c r="BS121" s="3">
        <v>430</v>
      </c>
      <c r="BT121" s="3">
        <v>523</v>
      </c>
      <c r="BU121" s="3">
        <v>246</v>
      </c>
      <c r="CB121" s="3">
        <v>94</v>
      </c>
      <c r="CC121" s="3">
        <v>528</v>
      </c>
      <c r="CD121" s="3">
        <v>215</v>
      </c>
      <c r="CE121" s="3">
        <v>80</v>
      </c>
      <c r="CF121" s="3">
        <v>0</v>
      </c>
      <c r="CG121" s="3">
        <v>130</v>
      </c>
      <c r="CH121" s="3">
        <v>375</v>
      </c>
      <c r="CQ121" s="3">
        <v>288</v>
      </c>
      <c r="CR121" s="3">
        <v>323</v>
      </c>
      <c r="CS121" s="3">
        <v>180</v>
      </c>
      <c r="CT121" s="3">
        <v>230</v>
      </c>
      <c r="CU121" s="3">
        <v>135</v>
      </c>
      <c r="CV121" s="3">
        <f>85+305</f>
        <v>390</v>
      </c>
      <c r="CW121" s="3">
        <v>515</v>
      </c>
      <c r="CX121" s="3">
        <v>390</v>
      </c>
      <c r="CY121" s="3">
        <v>305</v>
      </c>
      <c r="CZ121" s="3">
        <v>192</v>
      </c>
      <c r="DB121" s="3">
        <v>260</v>
      </c>
      <c r="DC121" s="3">
        <v>57</v>
      </c>
      <c r="DD121" s="3">
        <v>452</v>
      </c>
    </row>
    <row r="122" spans="1:108" x14ac:dyDescent="0.25">
      <c r="A122" s="171" t="str">
        <f>IFERROR(IF(VLOOKUP(B122,presupuesto!A:K,8,FALSE)&gt;0,VLOOKUP(B122,presupuesto!A:K,8,FALSE),"-"),"-")</f>
        <v>lun 24-03-25</v>
      </c>
      <c r="B122" s="53" t="str">
        <f>presupuesto!A122</f>
        <v>1.5.2.2</v>
      </c>
      <c r="C122" s="164" t="str">
        <f>presupuesto!B122</f>
        <v>B.2.-</v>
      </c>
      <c r="D122" s="58"/>
      <c r="E122" s="58">
        <f>IFERROR(VLOOKUP(C122,presupuesto!B:E,4,FALSE),0)</f>
        <v>0</v>
      </c>
      <c r="F122" s="60">
        <f t="shared" si="13"/>
        <v>0</v>
      </c>
      <c r="G122" s="58"/>
      <c r="H122" s="53" t="str">
        <f>presupuesto!C122</f>
        <v xml:space="preserve">         Suministro, transporte, transporte interno, colocación y prueba de Tuberías de Acero Galvanizado</v>
      </c>
      <c r="I122" s="58"/>
      <c r="J122" s="58"/>
      <c r="K122" s="6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9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</row>
    <row r="123" spans="1:108" x14ac:dyDescent="0.25">
      <c r="A123" s="171" t="str">
        <f>IFERROR(IF(VLOOKUP(B123,presupuesto!A:K,8,FALSE)&gt;0,VLOOKUP(B123,presupuesto!A:K,8,FALSE),"-"),"-")</f>
        <v>lun 24-03-25</v>
      </c>
      <c r="B123" s="53" t="str">
        <f>presupuesto!A123</f>
        <v>1.5.2.2.1</v>
      </c>
      <c r="C123" s="164">
        <f>presupuesto!B123</f>
        <v>79</v>
      </c>
      <c r="D123" s="58"/>
      <c r="E123" s="58">
        <f>IFERROR(VLOOKUP(C123,presupuesto!B:E,4,FALSE),0)</f>
        <v>183</v>
      </c>
      <c r="F123" s="60">
        <f t="shared" si="13"/>
        <v>0</v>
      </c>
      <c r="G123" s="58"/>
      <c r="H123" s="53" t="str">
        <f>presupuesto!C123</f>
        <v xml:space="preserve">            Cañería de acero galvanizado Sch 40 D = 3”</v>
      </c>
      <c r="I123" s="58"/>
      <c r="J123" s="58"/>
      <c r="K123" s="6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9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</row>
    <row r="124" spans="1:108" x14ac:dyDescent="0.25">
      <c r="A124" s="171" t="str">
        <f>IFERROR(IF(VLOOKUP(B124,presupuesto!A:K,8,FALSE)&gt;0,VLOOKUP(B124,presupuesto!A:K,8,FALSE),"-"),"-")</f>
        <v>jue 08-05-25</v>
      </c>
      <c r="B124" s="53" t="str">
        <f>presupuesto!A124</f>
        <v>1.5.2.2.2</v>
      </c>
      <c r="C124" s="164">
        <f>presupuesto!B124</f>
        <v>80</v>
      </c>
      <c r="D124" s="58"/>
      <c r="E124" s="58">
        <f>IFERROR(VLOOKUP(C124,presupuesto!B:E,4,FALSE),0)</f>
        <v>45</v>
      </c>
      <c r="F124" s="60">
        <f t="shared" si="13"/>
        <v>0</v>
      </c>
      <c r="G124" s="58"/>
      <c r="H124" s="53" t="str">
        <f>presupuesto!C124</f>
        <v xml:space="preserve">            Cañería de acero galvanizado Sch 40, D = 6”</v>
      </c>
      <c r="I124" s="58"/>
      <c r="J124" s="58"/>
      <c r="K124" s="6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9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</row>
    <row r="125" spans="1:108" x14ac:dyDescent="0.25">
      <c r="A125" s="171" t="str">
        <f>IFERROR(IF(VLOOKUP(B125,presupuesto!A:K,8,FALSE)&gt;0,VLOOKUP(B125,presupuesto!A:K,8,FALSE),"-"),"-")</f>
        <v>dom 09-03-25</v>
      </c>
      <c r="B125" s="53" t="str">
        <f>presupuesto!A125</f>
        <v>1.5.2.3</v>
      </c>
      <c r="C125" s="164" t="str">
        <f>presupuesto!B125</f>
        <v>B.3.-</v>
      </c>
      <c r="D125" s="58"/>
      <c r="E125" s="58">
        <f>IFERROR(VLOOKUP(C125,presupuesto!B:E,4,FALSE),0)</f>
        <v>0</v>
      </c>
      <c r="F125" s="60">
        <f t="shared" si="13"/>
        <v>0</v>
      </c>
      <c r="G125" s="58"/>
      <c r="H125" s="53" t="str">
        <f>presupuesto!C125</f>
        <v xml:space="preserve">         Suministro, transporte, transporte interno, colocación y prueba de Piezas Especiales con/sin mecanismo</v>
      </c>
      <c r="I125" s="58"/>
      <c r="J125" s="58"/>
      <c r="K125" s="6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9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</row>
    <row r="126" spans="1:108" x14ac:dyDescent="0.25">
      <c r="A126" s="171" t="str">
        <f>IFERROR(IF(VLOOKUP(B126,presupuesto!A:K,8,FALSE)&gt;0,VLOOKUP(B126,presupuesto!A:K,8,FALSE),"-"),"-")</f>
        <v>dom 09-03-25</v>
      </c>
      <c r="B126" s="53" t="str">
        <f>presupuesto!A126</f>
        <v>1.5.2.3.1</v>
      </c>
      <c r="C126" s="164">
        <f>presupuesto!B126</f>
        <v>81</v>
      </c>
      <c r="D126" s="58"/>
      <c r="E126" s="58">
        <f>IFERROR(VLOOKUP(C126,presupuesto!B:E,4,FALSE),0)</f>
        <v>227</v>
      </c>
      <c r="F126" s="60">
        <f t="shared" si="13"/>
        <v>0</v>
      </c>
      <c r="G126" s="58"/>
      <c r="H126" s="53" t="str">
        <f>presupuesto!C126</f>
        <v xml:space="preserve">            Piezas especiales de HDPE</v>
      </c>
      <c r="I126" s="58"/>
      <c r="J126" s="58"/>
      <c r="K126" s="6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9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</row>
    <row r="127" spans="1:108" x14ac:dyDescent="0.25">
      <c r="A127" s="171" t="str">
        <f>IFERROR(IF(VLOOKUP(B127,presupuesto!A:K,8,FALSE)&gt;0,VLOOKUP(B127,presupuesto!A:K,8,FALSE),"-"),"-")</f>
        <v>lun 24-03-25</v>
      </c>
      <c r="B127" s="53" t="str">
        <f>presupuesto!A127</f>
        <v>1.5.2.3.2</v>
      </c>
      <c r="C127" s="164">
        <f>presupuesto!B127</f>
        <v>82</v>
      </c>
      <c r="D127" s="58"/>
      <c r="E127" s="58">
        <f>IFERROR(VLOOKUP(C127,presupuesto!B:E,4,FALSE),0)</f>
        <v>5196.1000000000004</v>
      </c>
      <c r="F127" s="60">
        <f t="shared" si="13"/>
        <v>0</v>
      </c>
      <c r="G127" s="58"/>
      <c r="H127" s="53" t="str">
        <f>presupuesto!C127</f>
        <v xml:space="preserve">            Piezas especiales de Fierro Fundido</v>
      </c>
      <c r="I127" s="58"/>
      <c r="J127" s="58"/>
      <c r="K127" s="6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9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</row>
    <row r="128" spans="1:108" x14ac:dyDescent="0.25">
      <c r="A128" s="171" t="str">
        <f>IFERROR(IF(VLOOKUP(B128,presupuesto!A:K,8,FALSE)&gt;0,VLOOKUP(B128,presupuesto!A:K,8,FALSE),"-"),"-")</f>
        <v>lun 24-03-25</v>
      </c>
      <c r="B128" s="53" t="str">
        <f>presupuesto!A128</f>
        <v>1.5.2.3.3</v>
      </c>
      <c r="C128" s="164">
        <f>presupuesto!B128</f>
        <v>83</v>
      </c>
      <c r="D128" s="58"/>
      <c r="E128" s="58">
        <f>IFERROR(VLOOKUP(C128,presupuesto!B:E,4,FALSE),0)</f>
        <v>1174.5</v>
      </c>
      <c r="F128" s="60">
        <f t="shared" si="13"/>
        <v>0</v>
      </c>
      <c r="G128" s="58"/>
      <c r="H128" s="53" t="str">
        <f>presupuesto!C128</f>
        <v xml:space="preserve">            Piezas especiales de Acero Galvanizado</v>
      </c>
      <c r="I128" s="58"/>
      <c r="J128" s="58"/>
      <c r="K128" s="6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9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</row>
    <row r="129" spans="1:61" x14ac:dyDescent="0.25">
      <c r="A129" s="171" t="str">
        <f>IFERROR(IF(VLOOKUP(B129,presupuesto!A:K,8,FALSE)&gt;0,VLOOKUP(B129,presupuesto!A:K,8,FALSE),"-"),"-")</f>
        <v>lun 24-03-25</v>
      </c>
      <c r="B129" s="53" t="str">
        <f>presupuesto!A129</f>
        <v>1.5.2.3.4</v>
      </c>
      <c r="C129" s="164">
        <f>presupuesto!B129</f>
        <v>84</v>
      </c>
      <c r="D129" s="58"/>
      <c r="E129" s="58">
        <f>IFERROR(VLOOKUP(C129,presupuesto!B:E,4,FALSE),0)</f>
        <v>3799</v>
      </c>
      <c r="F129" s="60">
        <f t="shared" si="13"/>
        <v>0</v>
      </c>
      <c r="G129" s="58"/>
      <c r="H129" s="53" t="str">
        <f>presupuesto!C129</f>
        <v xml:space="preserve">            Piezas Especiales con mecanismo</v>
      </c>
      <c r="I129" s="58"/>
      <c r="J129" s="58"/>
      <c r="K129" s="6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9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</row>
    <row r="130" spans="1:61" x14ac:dyDescent="0.25">
      <c r="A130" s="171" t="str">
        <f>IFERROR(IF(VLOOKUP(B130,presupuesto!A:K,8,FALSE)&gt;0,VLOOKUP(B130,presupuesto!A:K,8,FALSE),"-"),"-")</f>
        <v>vie 07-02-25</v>
      </c>
      <c r="B130" s="53" t="str">
        <f>presupuesto!A130</f>
        <v>1.5.2.4</v>
      </c>
      <c r="C130" s="164" t="str">
        <f>presupuesto!B130</f>
        <v>B.4.-</v>
      </c>
      <c r="D130" s="58"/>
      <c r="E130" s="58">
        <f>IFERROR(VLOOKUP(C130,presupuesto!B:E,4,FALSE),0)</f>
        <v>0</v>
      </c>
      <c r="F130" s="60">
        <f t="shared" si="13"/>
        <v>0</v>
      </c>
      <c r="G130" s="58"/>
      <c r="H130" s="53" t="str">
        <f>presupuesto!C130</f>
        <v xml:space="preserve">         Junturas</v>
      </c>
      <c r="I130" s="58"/>
      <c r="J130" s="58"/>
      <c r="K130" s="6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9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</row>
    <row r="131" spans="1:61" x14ac:dyDescent="0.25">
      <c r="A131" s="171" t="str">
        <f>IFERROR(IF(VLOOKUP(B131,presupuesto!A:K,8,FALSE)&gt;0,VLOOKUP(B131,presupuesto!A:K,8,FALSE),"-"),"-")</f>
        <v>jue 14-08-25</v>
      </c>
      <c r="B131" s="53" t="str">
        <f>presupuesto!A131</f>
        <v>1.5.2.4.1</v>
      </c>
      <c r="C131" s="164">
        <f>presupuesto!B131</f>
        <v>85</v>
      </c>
      <c r="D131" s="58"/>
      <c r="E131" s="58">
        <f>IFERROR(VLOOKUP(C131,presupuesto!B:E,4,FALSE),0)</f>
        <v>20</v>
      </c>
      <c r="F131" s="60">
        <f t="shared" si="13"/>
        <v>0</v>
      </c>
      <c r="G131" s="58"/>
      <c r="H131" s="53" t="str">
        <f>presupuesto!C131</f>
        <v xml:space="preserve">            Anger 75 mm</v>
      </c>
      <c r="I131" s="58"/>
      <c r="J131" s="58"/>
      <c r="K131" s="6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9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</row>
    <row r="132" spans="1:61" x14ac:dyDescent="0.25">
      <c r="A132" s="171" t="str">
        <f>IFERROR(IF(VLOOKUP(B132,presupuesto!A:K,8,FALSE)&gt;0,VLOOKUP(B132,presupuesto!A:K,8,FALSE),"-"),"-")</f>
        <v>vie 07-02-25</v>
      </c>
      <c r="B132" s="53" t="str">
        <f>presupuesto!A132</f>
        <v>1.5.2.4.2</v>
      </c>
      <c r="C132" s="164">
        <f>presupuesto!B132</f>
        <v>86</v>
      </c>
      <c r="D132" s="58"/>
      <c r="E132" s="58">
        <f>IFERROR(VLOOKUP(C132,presupuesto!B:E,4,FALSE),0)</f>
        <v>213</v>
      </c>
      <c r="F132" s="60">
        <f t="shared" si="13"/>
        <v>0</v>
      </c>
      <c r="G132" s="58"/>
      <c r="H132" s="53" t="str">
        <f>presupuesto!C132</f>
        <v xml:space="preserve">            Termofusión 75 mm</v>
      </c>
      <c r="I132" s="58"/>
      <c r="J132" s="58"/>
      <c r="K132" s="6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9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</row>
    <row r="133" spans="1:61" x14ac:dyDescent="0.25">
      <c r="A133" s="171" t="str">
        <f>IFERROR(IF(VLOOKUP(B133,presupuesto!A:K,8,FALSE)&gt;0,VLOOKUP(B133,presupuesto!A:K,8,FALSE),"-"),"-")</f>
        <v>lun 24-03-25</v>
      </c>
      <c r="B133" s="53" t="str">
        <f>presupuesto!A133</f>
        <v>1.5.2.4.3</v>
      </c>
      <c r="C133" s="164">
        <f>presupuesto!B133</f>
        <v>87</v>
      </c>
      <c r="D133" s="58"/>
      <c r="E133" s="58">
        <f>IFERROR(VLOOKUP(C133,presupuesto!B:E,4,FALSE),0)</f>
        <v>835</v>
      </c>
      <c r="F133" s="60">
        <f t="shared" si="13"/>
        <v>0</v>
      </c>
      <c r="G133" s="58"/>
      <c r="H133" s="53" t="str">
        <f>presupuesto!C133</f>
        <v xml:space="preserve">            Brida, D=3"</v>
      </c>
      <c r="I133" s="58"/>
      <c r="J133" s="58"/>
      <c r="K133" s="6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9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</row>
    <row r="134" spans="1:61" x14ac:dyDescent="0.25">
      <c r="A134" s="171" t="str">
        <f>IFERROR(IF(VLOOKUP(B134,presupuesto!A:K,8,FALSE)&gt;0,VLOOKUP(B134,presupuesto!A:K,8,FALSE),"-"),"-")</f>
        <v>mié 23-04-25</v>
      </c>
      <c r="B134" s="53" t="str">
        <f>presupuesto!A134</f>
        <v>1.5.2.4.4</v>
      </c>
      <c r="C134" s="164">
        <f>presupuesto!B134</f>
        <v>88</v>
      </c>
      <c r="D134" s="58"/>
      <c r="E134" s="58">
        <f>IFERROR(VLOOKUP(C134,presupuesto!B:E,4,FALSE),0)</f>
        <v>81</v>
      </c>
      <c r="F134" s="60">
        <f t="shared" si="13"/>
        <v>0</v>
      </c>
      <c r="G134" s="58"/>
      <c r="H134" s="53" t="str">
        <f>presupuesto!C134</f>
        <v xml:space="preserve">            Autobloqueante D=3"</v>
      </c>
      <c r="I134" s="58"/>
      <c r="J134" s="58"/>
      <c r="K134" s="6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9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</row>
    <row r="135" spans="1:61" x14ac:dyDescent="0.25">
      <c r="A135" s="171" t="str">
        <f>IFERROR(IF(VLOOKUP(B135,presupuesto!A:K,8,FALSE)&gt;0,VLOOKUP(B135,presupuesto!A:K,8,FALSE),"-"),"-")</f>
        <v>lun 24-03-25</v>
      </c>
      <c r="B135" s="53" t="str">
        <f>presupuesto!A135</f>
        <v>1.5.2.4.5</v>
      </c>
      <c r="C135" s="164">
        <f>presupuesto!B135</f>
        <v>89</v>
      </c>
      <c r="D135" s="58"/>
      <c r="E135" s="58">
        <f>IFERROR(VLOOKUP(C135,presupuesto!B:E,4,FALSE),0)</f>
        <v>210</v>
      </c>
      <c r="F135" s="60">
        <f t="shared" si="13"/>
        <v>0</v>
      </c>
      <c r="G135" s="58"/>
      <c r="H135" s="53" t="str">
        <f>presupuesto!C135</f>
        <v xml:space="preserve">            Hilo 3"</v>
      </c>
      <c r="I135" s="58"/>
      <c r="J135" s="58"/>
      <c r="K135" s="6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9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</row>
    <row r="136" spans="1:61" x14ac:dyDescent="0.25">
      <c r="A136" s="171" t="str">
        <f>IFERROR(IF(VLOOKUP(B136,presupuesto!A:K,8,FALSE)&gt;0,VLOOKUP(B136,presupuesto!A:K,8,FALSE),"-"),"-")</f>
        <v>mié 04-12-24</v>
      </c>
      <c r="B136" s="53" t="str">
        <f>presupuesto!A136</f>
        <v>1.5.3</v>
      </c>
      <c r="C136" s="164" t="str">
        <f>presupuesto!B136</f>
        <v>C.-</v>
      </c>
      <c r="D136" s="58"/>
      <c r="E136" s="58">
        <f>IFERROR(VLOOKUP(C136,presupuesto!B:E,4,FALSE),0)</f>
        <v>0</v>
      </c>
      <c r="F136" s="60">
        <f t="shared" ref="F136:F172" si="14">SUM(I136:VV136)</f>
        <v>0</v>
      </c>
      <c r="G136" s="58"/>
      <c r="H136" s="53" t="str">
        <f>presupuesto!C136</f>
        <v xml:space="preserve">      ARRANQUES DOMICILIARIOS</v>
      </c>
      <c r="I136" s="58"/>
      <c r="J136" s="58"/>
      <c r="K136" s="6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9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</row>
    <row r="137" spans="1:61" x14ac:dyDescent="0.25">
      <c r="A137" s="171" t="str">
        <f>IFERROR(IF(VLOOKUP(B137,presupuesto!A:K,8,FALSE)&gt;0,VLOOKUP(B137,presupuesto!A:K,8,FALSE),"-"),"-")</f>
        <v>mié 04-12-24</v>
      </c>
      <c r="B137" s="53" t="str">
        <f>presupuesto!A137</f>
        <v>1.5.3.1</v>
      </c>
      <c r="C137" s="164">
        <f>presupuesto!B137</f>
        <v>90</v>
      </c>
      <c r="D137" s="58"/>
      <c r="E137" s="58">
        <f>IFERROR(VLOOKUP(C137,presupuesto!B:E,4,FALSE),0)</f>
        <v>78</v>
      </c>
      <c r="F137" s="60">
        <f t="shared" si="14"/>
        <v>0</v>
      </c>
      <c r="G137" s="58"/>
      <c r="H137" s="53" t="str">
        <f>presupuesto!C137</f>
        <v xml:space="preserve">         Arranque domiciliario 0-20 m ½” C/ medidor</v>
      </c>
      <c r="I137" s="58"/>
      <c r="J137" s="58"/>
      <c r="K137" s="6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9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</row>
    <row r="138" spans="1:61" x14ac:dyDescent="0.25">
      <c r="A138" s="171" t="str">
        <f>IFERROR(IF(VLOOKUP(B138,presupuesto!A:K,8,FALSE)&gt;0,VLOOKUP(B138,presupuesto!A:K,8,FALSE),"-"),"-")</f>
        <v>mar 22-07-25</v>
      </c>
      <c r="B138" s="53" t="str">
        <f>presupuesto!A138</f>
        <v>1.5.3.2</v>
      </c>
      <c r="C138" s="164">
        <f>presupuesto!B138</f>
        <v>91</v>
      </c>
      <c r="D138" s="58"/>
      <c r="E138" s="58">
        <f>IFERROR(VLOOKUP(C138,presupuesto!B:E,4,FALSE),0)</f>
        <v>5</v>
      </c>
      <c r="F138" s="60">
        <f t="shared" si="14"/>
        <v>0</v>
      </c>
      <c r="G138" s="58"/>
      <c r="H138" s="53" t="str">
        <f>presupuesto!C138</f>
        <v xml:space="preserve">         Arranque domiciliario con atravieso encamisado 0-20 m ½” C/ medidor</v>
      </c>
      <c r="I138" s="58"/>
      <c r="J138" s="58"/>
      <c r="K138" s="6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9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</row>
    <row r="139" spans="1:61" x14ac:dyDescent="0.25">
      <c r="A139" s="171" t="str">
        <f>IFERROR(IF(VLOOKUP(B139,presupuesto!A:K,8,FALSE)&gt;0,VLOOKUP(B139,presupuesto!A:K,8,FALSE),"-"),"-")</f>
        <v>dom 31-08-25</v>
      </c>
      <c r="B139" s="53" t="str">
        <f>presupuesto!A139</f>
        <v>1.5.3.3</v>
      </c>
      <c r="C139" s="164">
        <f>presupuesto!B139</f>
        <v>92</v>
      </c>
      <c r="D139" s="58"/>
      <c r="E139" s="58">
        <f>IFERROR(VLOOKUP(C139,presupuesto!B:E,4,FALSE),0)</f>
        <v>19</v>
      </c>
      <c r="F139" s="60">
        <f t="shared" si="14"/>
        <v>0</v>
      </c>
      <c r="G139" s="58"/>
      <c r="H139" s="53" t="str">
        <f>presupuesto!C139</f>
        <v xml:space="preserve">         Reconexión de Arranque domiciliario por reemplazo de red</v>
      </c>
      <c r="I139" s="58"/>
      <c r="J139" s="58"/>
      <c r="K139" s="6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9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</row>
    <row r="140" spans="1:61" x14ac:dyDescent="0.25">
      <c r="A140" s="171" t="str">
        <f>IFERROR(IF(VLOOKUP(B140,presupuesto!A:K,8,FALSE)&gt;0,VLOOKUP(B140,presupuesto!A:K,8,FALSE),"-"),"-")</f>
        <v>mar 04-03-25</v>
      </c>
      <c r="B140" s="53" t="str">
        <f>presupuesto!A140</f>
        <v>1.5.4</v>
      </c>
      <c r="C140" s="164" t="str">
        <f>presupuesto!B140</f>
        <v>D.-</v>
      </c>
      <c r="D140" s="58"/>
      <c r="E140" s="58">
        <f>IFERROR(VLOOKUP(C140,presupuesto!B:E,4,FALSE),0)</f>
        <v>0</v>
      </c>
      <c r="F140" s="60">
        <f t="shared" si="14"/>
        <v>0</v>
      </c>
      <c r="G140" s="58"/>
      <c r="H140" s="53" t="str">
        <f>presupuesto!C140</f>
        <v xml:space="preserve">      OBRAS VARIAS</v>
      </c>
      <c r="I140" s="58"/>
      <c r="J140" s="58"/>
      <c r="K140" s="6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9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</row>
    <row r="141" spans="1:61" x14ac:dyDescent="0.25">
      <c r="A141" s="171" t="str">
        <f>IFERROR(IF(VLOOKUP(B141,presupuesto!A:K,8,FALSE)&gt;0,VLOOKUP(B141,presupuesto!A:K,8,FALSE),"-"),"-")</f>
        <v>jue 08-05-25</v>
      </c>
      <c r="B141" s="53" t="str">
        <f>presupuesto!A141</f>
        <v>1.5.4.1</v>
      </c>
      <c r="C141" s="164">
        <f>presupuesto!B141</f>
        <v>93</v>
      </c>
      <c r="D141" s="58"/>
      <c r="E141" s="58">
        <f>IFERROR(VLOOKUP(C141,presupuesto!B:E,4,FALSE),0)</f>
        <v>257</v>
      </c>
      <c r="F141" s="60">
        <f t="shared" si="14"/>
        <v>0</v>
      </c>
      <c r="G141" s="58"/>
      <c r="H141" s="53" t="str">
        <f>presupuesto!C141</f>
        <v xml:space="preserve">         Machones de Apoyo y Anclaje</v>
      </c>
      <c r="I141" s="58"/>
      <c r="J141" s="58"/>
      <c r="K141" s="6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9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</row>
    <row r="142" spans="1:61" x14ac:dyDescent="0.25">
      <c r="A142" s="171" t="str">
        <f>IFERROR(IF(VLOOKUP(B142,presupuesto!A:K,8,FALSE)&gt;0,VLOOKUP(B142,presupuesto!A:K,8,FALSE),"-"),"-")</f>
        <v>mar 04-03-25</v>
      </c>
      <c r="B142" s="53" t="str">
        <f>presupuesto!A142</f>
        <v>1.5.4.2</v>
      </c>
      <c r="C142" s="164">
        <f>presupuesto!B142</f>
        <v>94</v>
      </c>
      <c r="D142" s="58"/>
      <c r="E142" s="58">
        <f>IFERROR(VLOOKUP(C142,presupuesto!B:E,4,FALSE),0)</f>
        <v>23</v>
      </c>
      <c r="F142" s="60">
        <f t="shared" si="14"/>
        <v>0</v>
      </c>
      <c r="G142" s="58"/>
      <c r="H142" s="53" t="str">
        <f>presupuesto!C142</f>
        <v xml:space="preserve">         Cámara de válvula corte</v>
      </c>
      <c r="I142" s="58"/>
      <c r="J142" s="58"/>
      <c r="K142" s="6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9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</row>
    <row r="143" spans="1:61" x14ac:dyDescent="0.25">
      <c r="A143" s="171" t="str">
        <f>IFERROR(IF(VLOOKUP(B143,presupuesto!A:K,8,FALSE)&gt;0,VLOOKUP(B143,presupuesto!A:K,8,FALSE),"-"),"-")</f>
        <v>mar 13-05-25</v>
      </c>
      <c r="B143" s="53" t="str">
        <f>presupuesto!A143</f>
        <v>1.5.4.3</v>
      </c>
      <c r="C143" s="164">
        <f>presupuesto!B143</f>
        <v>95</v>
      </c>
      <c r="D143" s="58"/>
      <c r="E143" s="58">
        <f>IFERROR(VLOOKUP(C143,presupuesto!B:E,4,FALSE),0)</f>
        <v>29</v>
      </c>
      <c r="F143" s="60">
        <f t="shared" si="14"/>
        <v>0</v>
      </c>
      <c r="G143" s="58"/>
      <c r="H143" s="53" t="str">
        <f>presupuesto!C143</f>
        <v xml:space="preserve">         Cámara Ventosa Bifuncional</v>
      </c>
      <c r="I143" s="58"/>
      <c r="J143" s="58"/>
      <c r="K143" s="6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9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</row>
    <row r="144" spans="1:61" x14ac:dyDescent="0.25">
      <c r="A144" s="171" t="str">
        <f>IFERROR(IF(VLOOKUP(B144,presupuesto!A:K,8,FALSE)&gt;0,VLOOKUP(B144,presupuesto!A:K,8,FALSE),"-"),"-")</f>
        <v>mar 13-05-25</v>
      </c>
      <c r="B144" s="53" t="str">
        <f>presupuesto!A144</f>
        <v>1.5.4.4</v>
      </c>
      <c r="C144" s="164">
        <f>presupuesto!B144</f>
        <v>96</v>
      </c>
      <c r="D144" s="58"/>
      <c r="E144" s="58">
        <f>IFERROR(VLOOKUP(C144,presupuesto!B:E,4,FALSE),0)</f>
        <v>1</v>
      </c>
      <c r="F144" s="60">
        <f t="shared" si="14"/>
        <v>0</v>
      </c>
      <c r="G144" s="58"/>
      <c r="H144" s="53" t="str">
        <f>presupuesto!C144</f>
        <v xml:space="preserve">         Cámara reguladora de presión</v>
      </c>
      <c r="I144" s="58"/>
      <c r="J144" s="58"/>
      <c r="K144" s="6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9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</row>
    <row r="145" spans="1:61" x14ac:dyDescent="0.25">
      <c r="A145" s="171" t="str">
        <f>IFERROR(IF(VLOOKUP(B145,presupuesto!A:K,8,FALSE)&gt;0,VLOOKUP(B145,presupuesto!A:K,8,FALSE),"-"),"-")</f>
        <v>jue 08-05-25</v>
      </c>
      <c r="B145" s="53" t="str">
        <f>presupuesto!A145</f>
        <v>1.6</v>
      </c>
      <c r="C145" s="164">
        <f>presupuesto!B145</f>
        <v>0</v>
      </c>
      <c r="D145" s="58"/>
      <c r="E145" s="58">
        <f>IFERROR(VLOOKUP(C145,presupuesto!B:E,4,FALSE),0)</f>
        <v>0</v>
      </c>
      <c r="F145" s="60">
        <f t="shared" si="14"/>
        <v>0</v>
      </c>
      <c r="G145" s="58"/>
      <c r="H145" s="53" t="str">
        <f>presupuesto!C145</f>
        <v xml:space="preserve">   CAPÍTULO VI: OBRAS VIALES</v>
      </c>
      <c r="I145" s="58"/>
      <c r="J145" s="58"/>
      <c r="K145" s="6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9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</row>
    <row r="146" spans="1:61" x14ac:dyDescent="0.25">
      <c r="A146" s="171" t="str">
        <f>IFERROR(IF(VLOOKUP(B146,presupuesto!A:K,8,FALSE)&gt;0,VLOOKUP(B146,presupuesto!A:K,8,FALSE),"-"),"-")</f>
        <v>jue 08-05-25</v>
      </c>
      <c r="B146" s="53" t="str">
        <f>presupuesto!A146</f>
        <v>1.6.1</v>
      </c>
      <c r="C146" s="164">
        <f>presupuesto!B146</f>
        <v>97</v>
      </c>
      <c r="D146" s="58"/>
      <c r="E146" s="58">
        <f>IFERROR(VLOOKUP(C146,presupuesto!B:E,4,FALSE),0)</f>
        <v>19.3</v>
      </c>
      <c r="F146" s="60">
        <f t="shared" si="14"/>
        <v>0</v>
      </c>
      <c r="G146" s="58"/>
      <c r="H146" s="53" t="str">
        <f>presupuesto!C146</f>
        <v xml:space="preserve">      Atravieso red agua potable en zanja</v>
      </c>
      <c r="I146" s="58"/>
      <c r="J146" s="58"/>
      <c r="K146" s="6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9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</row>
    <row r="147" spans="1:61" x14ac:dyDescent="0.25">
      <c r="A147" s="171" t="str">
        <f>IFERROR(IF(VLOOKUP(B147,presupuesto!A:K,8,FALSE)&gt;0,VLOOKUP(B147,presupuesto!A:K,8,FALSE),"-"),"-")</f>
        <v>sáb 07-06-25</v>
      </c>
      <c r="B147" s="53" t="str">
        <f>presupuesto!A147</f>
        <v>1.6.2</v>
      </c>
      <c r="C147" s="164">
        <f>presupuesto!B147</f>
        <v>98</v>
      </c>
      <c r="D147" s="58"/>
      <c r="E147" s="58">
        <f>IFERROR(VLOOKUP(C147,presupuesto!B:E,4,FALSE),0)</f>
        <v>56.2</v>
      </c>
      <c r="F147" s="60">
        <f t="shared" si="14"/>
        <v>0</v>
      </c>
      <c r="G147" s="58"/>
      <c r="H147" s="53" t="str">
        <f>presupuesto!C147</f>
        <v xml:space="preserve">      Atravieso red con tunelera</v>
      </c>
      <c r="I147" s="58"/>
      <c r="J147" s="58"/>
      <c r="K147" s="6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9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</row>
    <row r="148" spans="1:61" x14ac:dyDescent="0.25">
      <c r="A148" s="171" t="str">
        <f>IFERROR(IF(VLOOKUP(B148,presupuesto!A:K,8,FALSE)&gt;0,VLOOKUP(B148,presupuesto!A:K,8,FALSE),"-"),"-")</f>
        <v>mar 22-07-25</v>
      </c>
      <c r="B148" s="53" t="str">
        <f>presupuesto!A148</f>
        <v>1.6.3</v>
      </c>
      <c r="C148" s="164">
        <f>presupuesto!B148</f>
        <v>99</v>
      </c>
      <c r="D148" s="58"/>
      <c r="E148" s="58">
        <f>IFERROR(VLOOKUP(C148,presupuesto!B:E,4,FALSE),0)</f>
        <v>39</v>
      </c>
      <c r="F148" s="60">
        <f t="shared" si="14"/>
        <v>0</v>
      </c>
      <c r="G148" s="58"/>
      <c r="H148" s="53" t="str">
        <f>presupuesto!C148</f>
        <v xml:space="preserve">      Atravieso arranque domiciliario</v>
      </c>
      <c r="I148" s="58"/>
      <c r="J148" s="58"/>
      <c r="K148" s="6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9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</row>
    <row r="149" spans="1:61" x14ac:dyDescent="0.25">
      <c r="A149" s="171" t="str">
        <f>IFERROR(IF(VLOOKUP(B149,presupuesto!A:K,8,FALSE)&gt;0,VLOOKUP(B149,presupuesto!A:K,8,FALSE),"-"),"-")</f>
        <v>vie 05-09-25</v>
      </c>
      <c r="B149" s="53" t="str">
        <f>presupuesto!A149</f>
        <v>1.7</v>
      </c>
      <c r="C149" s="164">
        <f>presupuesto!B149</f>
        <v>0</v>
      </c>
      <c r="D149" s="58"/>
      <c r="E149" s="58">
        <f>IFERROR(VLOOKUP(C149,presupuesto!B:E,4,FALSE),0)</f>
        <v>0</v>
      </c>
      <c r="F149" s="60">
        <f t="shared" si="14"/>
        <v>0</v>
      </c>
      <c r="G149" s="58"/>
      <c r="H149" s="53" t="str">
        <f>presupuesto!C149</f>
        <v xml:space="preserve">   CAPÍTULO VII: OBRAS ESPECIALES</v>
      </c>
      <c r="I149" s="58"/>
      <c r="J149" s="58"/>
      <c r="K149" s="6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9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</row>
    <row r="150" spans="1:61" x14ac:dyDescent="0.25">
      <c r="A150" s="171" t="str">
        <f>IFERROR(IF(VLOOKUP(B150,presupuesto!A:K,8,FALSE)&gt;0,VLOOKUP(B150,presupuesto!A:K,8,FALSE),"-"),"-")</f>
        <v>vie 05-09-25</v>
      </c>
      <c r="B150" s="53" t="str">
        <f>presupuesto!A150</f>
        <v>1.7.1</v>
      </c>
      <c r="C150" s="164">
        <f>presupuesto!B150</f>
        <v>100</v>
      </c>
      <c r="D150" s="58"/>
      <c r="E150" s="58">
        <f>IFERROR(VLOOKUP(C150,presupuesto!B:E,4,FALSE),0)</f>
        <v>30</v>
      </c>
      <c r="F150" s="60">
        <f t="shared" si="14"/>
        <v>0</v>
      </c>
      <c r="G150" s="58"/>
      <c r="H150" s="53" t="str">
        <f>presupuesto!C150</f>
        <v xml:space="preserve">      Marcha Blanca</v>
      </c>
      <c r="I150" s="58"/>
      <c r="J150" s="58"/>
      <c r="K150" s="6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9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</row>
    <row r="151" spans="1:61" x14ac:dyDescent="0.25">
      <c r="A151" s="171" t="str">
        <f>IFERROR(IF(VLOOKUP(B151,presupuesto!A:K,8,FALSE)&gt;0,VLOOKUP(B151,presupuesto!A:K,8,FALSE),"-"),"-")</f>
        <v>mar 15-04-25</v>
      </c>
      <c r="B151" s="53" t="str">
        <f>presupuesto!A151</f>
        <v>1.8</v>
      </c>
      <c r="C151" s="164">
        <f>presupuesto!B151</f>
        <v>0</v>
      </c>
      <c r="D151" s="58"/>
      <c r="E151" s="58">
        <f>IFERROR(VLOOKUP(C151,presupuesto!B:E,4,FALSE),0)</f>
        <v>0</v>
      </c>
      <c r="F151" s="60">
        <f t="shared" si="14"/>
        <v>0</v>
      </c>
      <c r="G151" s="58"/>
      <c r="H151" s="53" t="str">
        <f>presupuesto!C151</f>
        <v xml:space="preserve">   CAPÍTULO VIII: OBRAS ELÉCTRICAS</v>
      </c>
      <c r="I151" s="58"/>
      <c r="J151" s="58"/>
      <c r="K151" s="6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9"/>
      <c r="AV151" s="58"/>
      <c r="AW151" s="58"/>
      <c r="AX151" s="58"/>
      <c r="AY151" s="58"/>
      <c r="AZ151" s="58"/>
      <c r="BA151" s="58"/>
      <c r="BB151" s="58"/>
      <c r="BC151" s="58"/>
      <c r="BD151" s="58"/>
      <c r="BE151" s="58"/>
      <c r="BF151" s="58"/>
      <c r="BG151" s="58"/>
      <c r="BH151" s="58"/>
      <c r="BI151" s="58"/>
    </row>
    <row r="152" spans="1:61" x14ac:dyDescent="0.25">
      <c r="A152" s="171" t="str">
        <f>IFERROR(IF(VLOOKUP(B152,presupuesto!A:K,8,FALSE)&gt;0,VLOOKUP(B152,presupuesto!A:K,8,FALSE),"-"),"-")</f>
        <v>lun 14-07-25</v>
      </c>
      <c r="B152" s="53" t="str">
        <f>presupuesto!A152</f>
        <v>1.8.1</v>
      </c>
      <c r="C152" s="164">
        <f>presupuesto!B152</f>
        <v>101</v>
      </c>
      <c r="D152" s="58"/>
      <c r="E152" s="58">
        <f>IFERROR(VLOOKUP(C152,presupuesto!B:E,4,FALSE),0)</f>
        <v>1</v>
      </c>
      <c r="F152" s="60">
        <f t="shared" si="14"/>
        <v>0</v>
      </c>
      <c r="G152" s="58"/>
      <c r="H152" s="53" t="str">
        <f>presupuesto!C152</f>
        <v xml:space="preserve">      SUMINISTRO MATENCION EMPALME ELÉCTRICO CAPTACION</v>
      </c>
      <c r="I152" s="58"/>
      <c r="J152" s="58"/>
      <c r="K152" s="6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9"/>
      <c r="AV152" s="58"/>
      <c r="AW152" s="58"/>
      <c r="AX152" s="58"/>
      <c r="AY152" s="58"/>
      <c r="AZ152" s="58"/>
      <c r="BA152" s="58"/>
      <c r="BB152" s="58"/>
      <c r="BC152" s="58"/>
      <c r="BD152" s="58"/>
      <c r="BE152" s="58"/>
      <c r="BF152" s="58"/>
      <c r="BG152" s="58"/>
      <c r="BH152" s="58"/>
      <c r="BI152" s="58"/>
    </row>
    <row r="153" spans="1:61" x14ac:dyDescent="0.25">
      <c r="A153" s="171" t="str">
        <f>IFERROR(IF(VLOOKUP(B153,presupuesto!A:K,8,FALSE)&gt;0,VLOOKUP(B153,presupuesto!A:K,8,FALSE),"-"),"-")</f>
        <v>mar 15-04-25</v>
      </c>
      <c r="B153" s="53" t="str">
        <f>presupuesto!A153</f>
        <v>1.8.2</v>
      </c>
      <c r="C153" s="164">
        <f>presupuesto!B153</f>
        <v>102</v>
      </c>
      <c r="D153" s="58"/>
      <c r="E153" s="58">
        <f>IFERROR(VLOOKUP(C153,presupuesto!B:E,4,FALSE),0)</f>
        <v>1</v>
      </c>
      <c r="F153" s="60">
        <f t="shared" si="14"/>
        <v>0</v>
      </c>
      <c r="G153" s="58"/>
      <c r="H153" s="53" t="str">
        <f>presupuesto!C153</f>
        <v xml:space="preserve">      SUMINISTRO E INSTALACIÓN SUB ESTACIÓN CAPTACION COQUIAO</v>
      </c>
      <c r="I153" s="58"/>
      <c r="J153" s="58"/>
      <c r="K153" s="6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9"/>
      <c r="AV153" s="58"/>
      <c r="AW153" s="58"/>
      <c r="AX153" s="58"/>
      <c r="AY153" s="58"/>
      <c r="AZ153" s="58"/>
      <c r="BA153" s="58"/>
      <c r="BB153" s="58"/>
      <c r="BC153" s="58"/>
      <c r="BD153" s="58"/>
      <c r="BE153" s="58"/>
      <c r="BF153" s="58"/>
      <c r="BG153" s="58"/>
      <c r="BH153" s="58"/>
      <c r="BI153" s="58"/>
    </row>
    <row r="154" spans="1:61" x14ac:dyDescent="0.25">
      <c r="A154" s="171" t="str">
        <f>IFERROR(IF(VLOOKUP(B154,presupuesto!A:K,8,FALSE)&gt;0,VLOOKUP(B154,presupuesto!A:K,8,FALSE),"-"),"-")</f>
        <v>mar 15-04-25</v>
      </c>
      <c r="B154" s="53" t="str">
        <f>presupuesto!A154</f>
        <v>1.8.3</v>
      </c>
      <c r="C154" s="164">
        <f>presupuesto!B154</f>
        <v>103</v>
      </c>
      <c r="D154" s="58"/>
      <c r="E154" s="58">
        <f>IFERROR(VLOOKUP(C154,presupuesto!B:E,4,FALSE),0)</f>
        <v>1</v>
      </c>
      <c r="F154" s="60">
        <f t="shared" si="14"/>
        <v>0</v>
      </c>
      <c r="G154" s="58"/>
      <c r="H154" s="53" t="str">
        <f>presupuesto!C154</f>
        <v xml:space="preserve">      MALLA DE PUESTA TIERRA</v>
      </c>
      <c r="I154" s="58"/>
      <c r="J154" s="58"/>
      <c r="K154" s="6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9"/>
      <c r="AV154" s="58"/>
      <c r="AW154" s="58"/>
      <c r="AX154" s="58"/>
      <c r="AY154" s="58"/>
      <c r="AZ154" s="58"/>
      <c r="BA154" s="58"/>
      <c r="BB154" s="58"/>
      <c r="BC154" s="58"/>
      <c r="BD154" s="58"/>
      <c r="BE154" s="58"/>
      <c r="BF154" s="58"/>
      <c r="BG154" s="58"/>
      <c r="BH154" s="58"/>
      <c r="BI154" s="58"/>
    </row>
    <row r="155" spans="1:61" x14ac:dyDescent="0.25">
      <c r="A155" s="171" t="str">
        <f>IFERROR(IF(VLOOKUP(B155,presupuesto!A:K,8,FALSE)&gt;0,VLOOKUP(B155,presupuesto!A:K,8,FALSE),"-"),"-")</f>
        <v>mar 15-04-25</v>
      </c>
      <c r="B155" s="53" t="str">
        <f>presupuesto!A155</f>
        <v>1.8.4</v>
      </c>
      <c r="C155" s="164">
        <f>presupuesto!B155</f>
        <v>104</v>
      </c>
      <c r="D155" s="58"/>
      <c r="E155" s="58">
        <f>IFERROR(VLOOKUP(C155,presupuesto!B:E,4,FALSE),0)</f>
        <v>1</v>
      </c>
      <c r="F155" s="60">
        <f t="shared" si="14"/>
        <v>0</v>
      </c>
      <c r="G155" s="58"/>
      <c r="H155" s="53" t="str">
        <f>presupuesto!C155</f>
        <v xml:space="preserve">      ALIMENTADOR GENERAL EN BT CAPTACION COQUIAO</v>
      </c>
      <c r="I155" s="58"/>
      <c r="J155" s="58"/>
      <c r="K155" s="6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9"/>
      <c r="AV155" s="58"/>
      <c r="AW155" s="58"/>
      <c r="AX155" s="58"/>
      <c r="AY155" s="58"/>
      <c r="AZ155" s="58"/>
      <c r="BA155" s="58"/>
      <c r="BB155" s="58"/>
      <c r="BC155" s="58"/>
      <c r="BD155" s="58"/>
      <c r="BE155" s="58"/>
      <c r="BF155" s="58"/>
      <c r="BG155" s="58"/>
      <c r="BH155" s="58"/>
      <c r="BI155" s="58"/>
    </row>
    <row r="156" spans="1:61" x14ac:dyDescent="0.25">
      <c r="A156" s="171" t="str">
        <f>IFERROR(IF(VLOOKUP(B156,presupuesto!A:K,8,FALSE)&gt;0,VLOOKUP(B156,presupuesto!A:K,8,FALSE),"-"),"-")</f>
        <v>vie 18-04-25</v>
      </c>
      <c r="B156" s="53" t="str">
        <f>presupuesto!A156</f>
        <v>1.8.5</v>
      </c>
      <c r="C156" s="164">
        <f>presupuesto!B156</f>
        <v>105</v>
      </c>
      <c r="D156" s="58"/>
      <c r="E156" s="58">
        <f>IFERROR(VLOOKUP(C156,presupuesto!B:E,4,FALSE),0)</f>
        <v>1</v>
      </c>
      <c r="F156" s="60">
        <f t="shared" si="14"/>
        <v>0</v>
      </c>
      <c r="G156" s="58"/>
      <c r="H156" s="53" t="str">
        <f>presupuesto!C156</f>
        <v xml:space="preserve">      ALIMENTADOR GENERAL EN BT PLANTA TRATAMIENTO Y REGULACION COQUIAO</v>
      </c>
      <c r="I156" s="58"/>
      <c r="J156" s="58"/>
      <c r="K156" s="6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9"/>
      <c r="AV156" s="58"/>
      <c r="AW156" s="58"/>
      <c r="AX156" s="58"/>
      <c r="AY156" s="58"/>
      <c r="AZ156" s="58"/>
      <c r="BA156" s="58"/>
      <c r="BB156" s="58"/>
      <c r="BC156" s="58"/>
      <c r="BD156" s="58"/>
      <c r="BE156" s="58"/>
      <c r="BF156" s="58"/>
      <c r="BG156" s="58"/>
      <c r="BH156" s="58"/>
      <c r="BI156" s="58"/>
    </row>
    <row r="157" spans="1:61" x14ac:dyDescent="0.25">
      <c r="A157" s="171" t="str">
        <f>IFERROR(IF(VLOOKUP(B157,presupuesto!A:K,8,FALSE)&gt;0,VLOOKUP(B157,presupuesto!A:K,8,FALSE),"-"),"-")</f>
        <v>mar 15-04-25</v>
      </c>
      <c r="B157" s="53" t="str">
        <f>presupuesto!A157</f>
        <v>1.8.6</v>
      </c>
      <c r="C157" s="164">
        <f>presupuesto!B157</f>
        <v>106</v>
      </c>
      <c r="D157" s="58"/>
      <c r="E157" s="58">
        <f>IFERROR(VLOOKUP(C157,presupuesto!B:E,4,FALSE),0)</f>
        <v>1</v>
      </c>
      <c r="F157" s="60">
        <f t="shared" si="14"/>
        <v>0</v>
      </c>
      <c r="G157" s="58"/>
      <c r="H157" s="53" t="str">
        <f>presupuesto!C157</f>
        <v xml:space="preserve">      ALIMENTADOR TABLERO FUERZA Y CONTROL A MOTOBOMBAS</v>
      </c>
      <c r="I157" s="58"/>
      <c r="J157" s="58"/>
      <c r="K157" s="6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9"/>
      <c r="AV157" s="58"/>
      <c r="AW157" s="58"/>
      <c r="AX157" s="58"/>
      <c r="AY157" s="58"/>
      <c r="AZ157" s="58"/>
      <c r="BA157" s="58"/>
      <c r="BB157" s="58"/>
      <c r="BC157" s="58"/>
      <c r="BD157" s="58"/>
      <c r="BE157" s="58"/>
      <c r="BF157" s="58"/>
      <c r="BG157" s="58"/>
      <c r="BH157" s="58"/>
      <c r="BI157" s="58"/>
    </row>
    <row r="158" spans="1:61" x14ac:dyDescent="0.25">
      <c r="A158" s="171" t="str">
        <f>IFERROR(IF(VLOOKUP(B158,presupuesto!A:K,8,FALSE)&gt;0,VLOOKUP(B158,presupuesto!A:K,8,FALSE),"-"),"-")</f>
        <v>mar 15-04-25</v>
      </c>
      <c r="B158" s="53" t="str">
        <f>presupuesto!A158</f>
        <v>1.8.7</v>
      </c>
      <c r="C158" s="164">
        <f>presupuesto!B158</f>
        <v>107</v>
      </c>
      <c r="D158" s="58"/>
      <c r="E158" s="58">
        <f>IFERROR(VLOOKUP(C158,presupuesto!B:E,4,FALSE),0)</f>
        <v>1</v>
      </c>
      <c r="F158" s="60">
        <f t="shared" si="14"/>
        <v>0</v>
      </c>
      <c r="G158" s="58"/>
      <c r="H158" s="53" t="str">
        <f>presupuesto!C158</f>
        <v xml:space="preserve">      CIRCUITO CONTROL “SENTINA SECA”. TDFA Y SENTINA</v>
      </c>
      <c r="I158" s="58"/>
      <c r="J158" s="58"/>
      <c r="K158" s="6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9"/>
      <c r="AV158" s="58"/>
      <c r="AW158" s="58"/>
      <c r="AX158" s="58"/>
      <c r="AY158" s="58"/>
      <c r="AZ158" s="58"/>
      <c r="BA158" s="58"/>
      <c r="BB158" s="58"/>
      <c r="BC158" s="58"/>
      <c r="BD158" s="58"/>
      <c r="BE158" s="58"/>
      <c r="BF158" s="58"/>
      <c r="BG158" s="58"/>
      <c r="BH158" s="58"/>
      <c r="BI158" s="58"/>
    </row>
    <row r="159" spans="1:61" x14ac:dyDescent="0.25">
      <c r="A159" s="171" t="str">
        <f>IFERROR(IF(VLOOKUP(B159,presupuesto!A:K,8,FALSE)&gt;0,VLOOKUP(B159,presupuesto!A:K,8,FALSE),"-"),"-")</f>
        <v>mar 15-04-25</v>
      </c>
      <c r="B159" s="53" t="str">
        <f>presupuesto!A159</f>
        <v>1.8.8</v>
      </c>
      <c r="C159" s="164">
        <f>presupuesto!B159</f>
        <v>108</v>
      </c>
      <c r="D159" s="58"/>
      <c r="E159" s="58">
        <f>IFERROR(VLOOKUP(C159,presupuesto!B:E,4,FALSE),0)</f>
        <v>1</v>
      </c>
      <c r="F159" s="60">
        <f t="shared" si="14"/>
        <v>0</v>
      </c>
      <c r="G159" s="58"/>
      <c r="H159" s="53" t="str">
        <f>presupuesto!C159</f>
        <v xml:space="preserve">      CIRCUITO CONTROL PRESOSTATO TDFA Y C – PRESOSTATO CAPTACION</v>
      </c>
      <c r="I159" s="58"/>
      <c r="J159" s="58"/>
      <c r="K159" s="6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9"/>
      <c r="AV159" s="58"/>
      <c r="AW159" s="58"/>
      <c r="AX159" s="58"/>
      <c r="AY159" s="58"/>
      <c r="AZ159" s="58"/>
      <c r="BA159" s="58"/>
      <c r="BB159" s="58"/>
      <c r="BC159" s="58"/>
      <c r="BD159" s="58"/>
      <c r="BE159" s="58"/>
      <c r="BF159" s="58"/>
      <c r="BG159" s="58"/>
      <c r="BH159" s="58"/>
      <c r="BI159" s="58"/>
    </row>
    <row r="160" spans="1:61" x14ac:dyDescent="0.25">
      <c r="A160" s="171" t="str">
        <f>IFERROR(IF(VLOOKUP(B160,presupuesto!A:K,8,FALSE)&gt;0,VLOOKUP(B160,presupuesto!A:K,8,FALSE),"-"),"-")</f>
        <v>vie 18-04-25</v>
      </c>
      <c r="B160" s="53" t="str">
        <f>presupuesto!A160</f>
        <v>1.8.9</v>
      </c>
      <c r="C160" s="164">
        <f>presupuesto!B160</f>
        <v>109</v>
      </c>
      <c r="D160" s="58"/>
      <c r="E160" s="58">
        <f>IFERROR(VLOOKUP(C160,presupuesto!B:E,4,FALSE),0)</f>
        <v>1</v>
      </c>
      <c r="F160" s="60">
        <f t="shared" si="14"/>
        <v>0</v>
      </c>
      <c r="G160" s="58"/>
      <c r="H160" s="53" t="str">
        <f>presupuesto!C160</f>
        <v xml:space="preserve">      CIRCUITO CONTROL PRESOSTATO TDFA Y C – PRESOSTATO PLANTA RyT</v>
      </c>
      <c r="I160" s="58"/>
      <c r="J160" s="58"/>
      <c r="K160" s="6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9"/>
      <c r="AV160" s="58"/>
      <c r="AW160" s="58"/>
      <c r="AX160" s="58"/>
      <c r="AY160" s="58"/>
      <c r="AZ160" s="58"/>
      <c r="BA160" s="58"/>
      <c r="BB160" s="58"/>
      <c r="BC160" s="58"/>
      <c r="BD160" s="58"/>
      <c r="BE160" s="58"/>
      <c r="BF160" s="58"/>
      <c r="BG160" s="58"/>
      <c r="BH160" s="58"/>
      <c r="BI160" s="58"/>
    </row>
    <row r="161" spans="1:61" x14ac:dyDescent="0.25">
      <c r="A161" s="171" t="str">
        <f>IFERROR(IF(VLOOKUP(B161,presupuesto!A:K,8,FALSE)&gt;0,VLOOKUP(B161,presupuesto!A:K,8,FALSE),"-"),"-")</f>
        <v>mar 15-04-25</v>
      </c>
      <c r="B161" s="53" t="str">
        <f>presupuesto!A161</f>
        <v>1.8.10</v>
      </c>
      <c r="C161" s="164">
        <f>presupuesto!B161</f>
        <v>110</v>
      </c>
      <c r="D161" s="58"/>
      <c r="E161" s="58">
        <f>IFERROR(VLOOKUP(C161,presupuesto!B:E,4,FALSE),0)</f>
        <v>1</v>
      </c>
      <c r="F161" s="60">
        <f t="shared" si="14"/>
        <v>0</v>
      </c>
      <c r="G161" s="58"/>
      <c r="H161" s="53" t="str">
        <f>presupuesto!C161</f>
        <v xml:space="preserve">      CAJA DE CONEXIONES</v>
      </c>
      <c r="I161" s="58"/>
      <c r="J161" s="58"/>
      <c r="K161" s="6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9"/>
      <c r="AV161" s="58"/>
      <c r="AW161" s="58"/>
      <c r="AX161" s="58"/>
      <c r="AY161" s="58"/>
      <c r="AZ161" s="58"/>
      <c r="BA161" s="58"/>
      <c r="BB161" s="58"/>
      <c r="BC161" s="58"/>
      <c r="BD161" s="58"/>
      <c r="BE161" s="58"/>
      <c r="BF161" s="58"/>
      <c r="BG161" s="58"/>
      <c r="BH161" s="58"/>
      <c r="BI161" s="58"/>
    </row>
    <row r="162" spans="1:61" x14ac:dyDescent="0.25">
      <c r="A162" s="171" t="str">
        <f>IFERROR(IF(VLOOKUP(B162,presupuesto!A:K,8,FALSE)&gt;0,VLOOKUP(B162,presupuesto!A:K,8,FALSE),"-"),"-")</f>
        <v>mar 15-04-25</v>
      </c>
      <c r="B162" s="53" t="str">
        <f>presupuesto!A162</f>
        <v>1.8.11</v>
      </c>
      <c r="C162" s="164">
        <f>presupuesto!B162</f>
        <v>111</v>
      </c>
      <c r="D162" s="58"/>
      <c r="E162" s="58">
        <f>IFERROR(VLOOKUP(C162,presupuesto!B:E,4,FALSE),0)</f>
        <v>1</v>
      </c>
      <c r="F162" s="60">
        <f t="shared" si="14"/>
        <v>0</v>
      </c>
      <c r="G162" s="58"/>
      <c r="H162" s="53" t="str">
        <f>presupuesto!C162</f>
        <v xml:space="preserve">      SUMINISTRO Y MONTAJE TABLERO DE FUERZA Y CONTROL CAPTACIONES</v>
      </c>
      <c r="I162" s="58"/>
      <c r="J162" s="58"/>
      <c r="K162" s="6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9"/>
      <c r="AV162" s="58"/>
      <c r="AW162" s="58"/>
      <c r="AX162" s="58"/>
      <c r="AY162" s="58"/>
      <c r="AZ162" s="58"/>
      <c r="BA162" s="58"/>
      <c r="BB162" s="58"/>
      <c r="BC162" s="58"/>
      <c r="BD162" s="58"/>
      <c r="BE162" s="58"/>
      <c r="BF162" s="58"/>
      <c r="BG162" s="58"/>
      <c r="BH162" s="58"/>
      <c r="BI162" s="58"/>
    </row>
    <row r="163" spans="1:61" x14ac:dyDescent="0.25">
      <c r="A163" s="171" t="str">
        <f>IFERROR(IF(VLOOKUP(B163,presupuesto!A:K,8,FALSE)&gt;0,VLOOKUP(B163,presupuesto!A:K,8,FALSE),"-"),"-")</f>
        <v>vie 18-04-25</v>
      </c>
      <c r="B163" s="53" t="str">
        <f>presupuesto!A163</f>
        <v>1.8.12</v>
      </c>
      <c r="C163" s="164">
        <f>presupuesto!B163</f>
        <v>112</v>
      </c>
      <c r="D163" s="6"/>
      <c r="E163" s="58">
        <f>IFERROR(VLOOKUP(C163,presupuesto!B:E,4,FALSE),0)</f>
        <v>1</v>
      </c>
      <c r="F163" s="60">
        <f t="shared" si="14"/>
        <v>0</v>
      </c>
      <c r="G163" s="6"/>
      <c r="H163" s="53" t="str">
        <f>presupuesto!C163</f>
        <v xml:space="preserve">      SUMINISTRO Y MONTAJE TABLERO DE FUERZA Y CONTROL PLANTA TyR</v>
      </c>
      <c r="I163" s="6"/>
      <c r="J163" s="6"/>
      <c r="K163" s="6"/>
      <c r="L163" s="6"/>
      <c r="AA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54"/>
      <c r="AV163" s="6"/>
      <c r="AW163" s="6"/>
      <c r="AX163" s="6"/>
      <c r="AY163" s="6"/>
      <c r="AZ163" s="6"/>
      <c r="BB163" s="6"/>
      <c r="BC163" s="6"/>
    </row>
    <row r="164" spans="1:61" x14ac:dyDescent="0.25">
      <c r="A164" s="171" t="str">
        <f>IFERROR(IF(VLOOKUP(B164,presupuesto!A:K,8,FALSE)&gt;0,VLOOKUP(B164,presupuesto!A:K,8,FALSE),"-"),"-")</f>
        <v>mié 23-04-25</v>
      </c>
      <c r="B164" s="53" t="str">
        <f>presupuesto!A164</f>
        <v>1.8.13</v>
      </c>
      <c r="C164" s="164">
        <f>presupuesto!B164</f>
        <v>113</v>
      </c>
      <c r="D164" s="6"/>
      <c r="E164" s="58">
        <f>IFERROR(VLOOKUP(C164,presupuesto!B:E,4,FALSE),0)</f>
        <v>1</v>
      </c>
      <c r="F164" s="60">
        <f t="shared" si="14"/>
        <v>0</v>
      </c>
      <c r="G164" s="6"/>
      <c r="H164" s="53" t="str">
        <f>presupuesto!C164</f>
        <v xml:space="preserve">      CÁMARA ELÉCTRICA TIPO B</v>
      </c>
      <c r="I164" s="6"/>
      <c r="J164" s="6"/>
      <c r="K164" s="6"/>
      <c r="L164" s="6"/>
      <c r="AA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54"/>
      <c r="AV164" s="6"/>
      <c r="AW164" s="6"/>
      <c r="AX164" s="6"/>
      <c r="AY164" s="6"/>
      <c r="AZ164" s="6"/>
      <c r="BB164" s="6"/>
      <c r="BC164" s="6"/>
    </row>
    <row r="165" spans="1:61" x14ac:dyDescent="0.25">
      <c r="A165" s="171" t="str">
        <f>IFERROR(IF(VLOOKUP(B165,presupuesto!A:K,8,FALSE)&gt;0,VLOOKUP(B165,presupuesto!A:K,8,FALSE),"-"),"-")</f>
        <v>sáb 03-05-25</v>
      </c>
      <c r="B165" s="53" t="str">
        <f>presupuesto!A165</f>
        <v>1.8.14</v>
      </c>
      <c r="C165" s="164">
        <f>presupuesto!B165</f>
        <v>114</v>
      </c>
      <c r="D165" s="6"/>
      <c r="E165" s="58">
        <f>IFERROR(VLOOKUP(C165,presupuesto!B:E,4,FALSE),0)</f>
        <v>6</v>
      </c>
      <c r="F165" s="60">
        <f t="shared" si="14"/>
        <v>0</v>
      </c>
      <c r="G165" s="6"/>
      <c r="H165" s="53" t="str">
        <f>presupuesto!C165</f>
        <v xml:space="preserve">      ALUMBRADO EXTERIOR APR COQUIAO</v>
      </c>
      <c r="I165" s="6"/>
      <c r="J165" s="6"/>
      <c r="K165" s="6"/>
      <c r="L165" s="6"/>
      <c r="AA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54"/>
      <c r="AV165" s="6"/>
      <c r="AW165" s="6"/>
      <c r="AX165" s="6"/>
      <c r="AY165" s="6"/>
      <c r="AZ165" s="6"/>
      <c r="BB165" s="6"/>
      <c r="BC165" s="6"/>
    </row>
    <row r="166" spans="1:61" x14ac:dyDescent="0.25">
      <c r="A166" s="171" t="str">
        <f>IFERROR(IF(VLOOKUP(B166,presupuesto!A:K,8,FALSE)&gt;0,VLOOKUP(B166,presupuesto!A:K,8,FALSE),"-"),"-")</f>
        <v>sáb 03-05-25</v>
      </c>
      <c r="B166" s="53" t="str">
        <f>presupuesto!A166</f>
        <v>1.8.15</v>
      </c>
      <c r="C166" s="164">
        <f>presupuesto!B166</f>
        <v>115</v>
      </c>
      <c r="D166" s="6"/>
      <c r="E166" s="58">
        <f>IFERROR(VLOOKUP(C166,presupuesto!B:E,4,FALSE),0)</f>
        <v>1</v>
      </c>
      <c r="F166" s="60">
        <f t="shared" si="14"/>
        <v>0</v>
      </c>
      <c r="G166" s="6"/>
      <c r="H166" s="53" t="str">
        <f>presupuesto!C166</f>
        <v xml:space="preserve">      CIRCUITO ALUMBRADO INTERIOR PLANTA RyT</v>
      </c>
      <c r="I166" s="6"/>
      <c r="J166" s="6"/>
      <c r="K166" s="6"/>
      <c r="L166" s="6"/>
      <c r="AA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54"/>
      <c r="AV166" s="6"/>
      <c r="AW166" s="6"/>
      <c r="AX166" s="6"/>
      <c r="AY166" s="6"/>
      <c r="AZ166" s="6"/>
      <c r="BB166" s="6"/>
      <c r="BC166" s="6"/>
    </row>
    <row r="167" spans="1:61" x14ac:dyDescent="0.25">
      <c r="A167" s="171" t="str">
        <f>IFERROR(IF(VLOOKUP(B167,presupuesto!A:K,8,FALSE)&gt;0,VLOOKUP(B167,presupuesto!A:K,8,FALSE),"-"),"-")</f>
        <v>lun 28-04-25</v>
      </c>
      <c r="B167" s="53" t="str">
        <f>presupuesto!A167</f>
        <v>1.8.16</v>
      </c>
      <c r="C167" s="164">
        <f>presupuesto!B167</f>
        <v>116</v>
      </c>
      <c r="D167" s="6"/>
      <c r="E167" s="58">
        <f>IFERROR(VLOOKUP(C167,presupuesto!B:E,4,FALSE),0)</f>
        <v>1</v>
      </c>
      <c r="F167" s="60">
        <f t="shared" si="14"/>
        <v>0</v>
      </c>
      <c r="G167" s="6"/>
      <c r="H167" s="53" t="str">
        <f>presupuesto!C167</f>
        <v xml:space="preserve">      CIRCUITO ENCHUFE PLANTA RyT TDFA Y C</v>
      </c>
      <c r="I167" s="6"/>
      <c r="J167" s="6"/>
      <c r="K167" s="6"/>
      <c r="L167" s="6"/>
      <c r="AA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54"/>
      <c r="AV167" s="6"/>
      <c r="AW167" s="6"/>
      <c r="AX167" s="6"/>
      <c r="AY167" s="6"/>
      <c r="AZ167" s="6"/>
      <c r="BB167" s="6"/>
      <c r="BC167" s="6"/>
    </row>
    <row r="168" spans="1:61" x14ac:dyDescent="0.25">
      <c r="A168" s="171" t="str">
        <f>IFERROR(IF(VLOOKUP(B168,presupuesto!A:K,8,FALSE)&gt;0,VLOOKUP(B168,presupuesto!A:K,8,FALSE),"-"),"-")</f>
        <v>mar 10-09-24</v>
      </c>
      <c r="B168" s="53" t="str">
        <f>presupuesto!A168</f>
        <v>1.9</v>
      </c>
      <c r="C168" s="164">
        <f>presupuesto!B168</f>
        <v>0</v>
      </c>
      <c r="D168" s="6"/>
      <c r="E168" s="58">
        <f>IFERROR(VLOOKUP(C168,presupuesto!B:E,4,FALSE),0)</f>
        <v>0</v>
      </c>
      <c r="F168" s="60">
        <f t="shared" si="14"/>
        <v>0</v>
      </c>
      <c r="G168" s="6"/>
      <c r="H168" s="53" t="str">
        <f>presupuesto!C168</f>
        <v xml:space="preserve">   OBRAS PREVIAS</v>
      </c>
      <c r="I168" s="6"/>
      <c r="J168" s="6"/>
      <c r="K168" s="6"/>
      <c r="L168" s="6"/>
      <c r="AA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54"/>
      <c r="AV168" s="6"/>
      <c r="AW168" s="6"/>
      <c r="AX168" s="6"/>
      <c r="AY168" s="6"/>
      <c r="AZ168" s="6"/>
      <c r="BB168" s="6"/>
      <c r="BC168" s="6"/>
    </row>
    <row r="169" spans="1:61" x14ac:dyDescent="0.25">
      <c r="A169" s="171" t="str">
        <f>IFERROR(IF(VLOOKUP(B169,presupuesto!A:K,8,FALSE)&gt;0,VLOOKUP(B169,presupuesto!A:K,8,FALSE),"-"),"-")</f>
        <v>mar 10-09-24</v>
      </c>
      <c r="B169" s="53" t="str">
        <f>presupuesto!A169</f>
        <v>1.9.1</v>
      </c>
      <c r="C169" s="164">
        <f>presupuesto!B169</f>
        <v>0</v>
      </c>
      <c r="D169" s="6"/>
      <c r="E169" s="58">
        <f>IFERROR(VLOOKUP(C169,presupuesto!B:E,4,FALSE),0)</f>
        <v>0</v>
      </c>
      <c r="F169" s="60">
        <f t="shared" si="14"/>
        <v>0</v>
      </c>
      <c r="G169" s="6"/>
      <c r="H169" s="53" t="str">
        <f>presupuesto!C169</f>
        <v xml:space="preserve">      Entrega documentos administrativos</v>
      </c>
      <c r="I169" s="6"/>
      <c r="J169" s="6"/>
      <c r="K169" s="6"/>
      <c r="L169" s="6"/>
      <c r="AA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54"/>
      <c r="AV169" s="6"/>
      <c r="AW169" s="6"/>
      <c r="AX169" s="6"/>
      <c r="AY169" s="6"/>
      <c r="AZ169" s="6"/>
      <c r="BB169" s="6"/>
      <c r="BC169" s="6"/>
    </row>
    <row r="170" spans="1:61" x14ac:dyDescent="0.25">
      <c r="A170" s="171" t="str">
        <f>IFERROR(IF(VLOOKUP(B170,presupuesto!A:K,8,FALSE)&gt;0,VLOOKUP(B170,presupuesto!A:K,8,FALSE),"-"),"-")</f>
        <v>jue 10-10-24</v>
      </c>
      <c r="B170" s="53" t="str">
        <f>presupuesto!A170</f>
        <v>1.9.2</v>
      </c>
      <c r="C170" s="164">
        <f>presupuesto!B170</f>
        <v>0</v>
      </c>
      <c r="D170" s="6"/>
      <c r="E170" s="58">
        <f>IFERROR(VLOOKUP(C170,presupuesto!B:E,4,FALSE),0)</f>
        <v>0</v>
      </c>
      <c r="F170" s="60">
        <f t="shared" si="14"/>
        <v>0</v>
      </c>
      <c r="G170" s="6"/>
      <c r="H170" s="53" t="str">
        <f>presupuesto!C170</f>
        <v xml:space="preserve">      Entrega de terreno</v>
      </c>
      <c r="I170" s="6"/>
      <c r="J170" s="6"/>
      <c r="K170" s="6"/>
      <c r="L170" s="6"/>
      <c r="AA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54"/>
      <c r="AV170" s="6"/>
      <c r="AW170" s="6"/>
      <c r="AX170" s="6"/>
      <c r="AY170" s="6"/>
      <c r="AZ170" s="6"/>
      <c r="BB170" s="6"/>
      <c r="BC170" s="6"/>
    </row>
    <row r="171" spans="1:61" x14ac:dyDescent="0.25">
      <c r="A171" s="171" t="str">
        <f>IFERROR(IF(VLOOKUP(B171,presupuesto!A:K,8,FALSE)&gt;0,VLOOKUP(B171,presupuesto!A:K,8,FALSE),"-"),"-")</f>
        <v>dom 20-10-24</v>
      </c>
      <c r="B171" s="53" t="str">
        <f>presupuesto!A171</f>
        <v>1.9.3</v>
      </c>
      <c r="C171" s="164">
        <f>presupuesto!B171</f>
        <v>0</v>
      </c>
      <c r="D171" s="6"/>
      <c r="E171" s="58">
        <f>IFERROR(VLOOKUP(C171,presupuesto!B:E,4,FALSE),0)</f>
        <v>0</v>
      </c>
      <c r="F171" s="60">
        <f t="shared" si="14"/>
        <v>0</v>
      </c>
      <c r="G171" s="6"/>
      <c r="H171" s="53" t="str">
        <f>presupuesto!C171</f>
        <v xml:space="preserve">      Instalación de Faenas</v>
      </c>
      <c r="I171" s="6"/>
      <c r="J171" s="6"/>
      <c r="K171" s="6"/>
      <c r="L171" s="6"/>
      <c r="AA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54"/>
      <c r="AV171" s="6"/>
      <c r="AW171" s="6"/>
      <c r="AX171" s="6"/>
      <c r="AY171" s="6"/>
      <c r="AZ171" s="6"/>
      <c r="BB171" s="6"/>
      <c r="BC171" s="6"/>
    </row>
    <row r="172" spans="1:61" x14ac:dyDescent="0.25">
      <c r="A172" s="171" t="str">
        <f>IFERROR(IF(VLOOKUP(B172,presupuesto!A:K,8,FALSE)&gt;0,VLOOKUP(B172,presupuesto!A:K,8,FALSE),"-"),"-")</f>
        <v>mié 10-09-25</v>
      </c>
      <c r="B172" s="53" t="str">
        <f>presupuesto!A172</f>
        <v>1.9.4</v>
      </c>
      <c r="C172" s="164">
        <f>presupuesto!B172</f>
        <v>0</v>
      </c>
      <c r="D172" s="6"/>
      <c r="E172" s="58">
        <f>IFERROR(VLOOKUP(C172,presupuesto!B:E,4,FALSE),0)</f>
        <v>0</v>
      </c>
      <c r="F172" s="60">
        <f t="shared" si="14"/>
        <v>0</v>
      </c>
      <c r="G172" s="6"/>
      <c r="H172" s="53" t="str">
        <f>presupuesto!C172</f>
        <v xml:space="preserve">      Tramitación de la obtención de la autorización del funcionamiento de la autoridad sanitaria</v>
      </c>
      <c r="I172" s="6"/>
      <c r="J172" s="6"/>
      <c r="K172" s="6"/>
      <c r="L172" s="6"/>
      <c r="AA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54"/>
      <c r="AV172" s="6"/>
      <c r="AW172" s="6"/>
      <c r="AX172" s="6"/>
      <c r="AY172" s="6"/>
      <c r="AZ172" s="6"/>
      <c r="BB172" s="6"/>
      <c r="BC172" s="6"/>
    </row>
    <row r="173" spans="1:61" ht="13" x14ac:dyDescent="0.25">
      <c r="B173" s="62"/>
      <c r="C173" s="165"/>
      <c r="D173" s="6"/>
      <c r="E173" s="6"/>
      <c r="F173" s="6"/>
      <c r="G173" s="6"/>
      <c r="H173" s="53"/>
      <c r="I173" s="6"/>
      <c r="J173" s="6"/>
      <c r="K173" s="6"/>
      <c r="L173" s="6"/>
      <c r="AA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54"/>
      <c r="AV173" s="6"/>
      <c r="AW173" s="6"/>
      <c r="AX173" s="6"/>
      <c r="AY173" s="6"/>
      <c r="AZ173" s="6"/>
      <c r="BB173" s="6"/>
      <c r="BC173" s="6"/>
    </row>
    <row r="174" spans="1:61" ht="13" x14ac:dyDescent="0.25">
      <c r="B174" s="62"/>
      <c r="C174" s="165"/>
      <c r="D174" s="6"/>
      <c r="E174" s="6"/>
      <c r="F174" s="6"/>
      <c r="G174" s="6"/>
      <c r="H174" s="53"/>
      <c r="I174" s="6"/>
      <c r="J174" s="6"/>
      <c r="K174" s="6"/>
      <c r="L174" s="6"/>
      <c r="AA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54"/>
      <c r="AV174" s="6"/>
      <c r="AW174" s="6"/>
      <c r="AX174" s="6"/>
      <c r="AY174" s="6"/>
      <c r="AZ174" s="6"/>
      <c r="BB174" s="6"/>
      <c r="BC174" s="6"/>
    </row>
    <row r="175" spans="1:61" ht="13" x14ac:dyDescent="0.25">
      <c r="B175" s="62"/>
      <c r="C175" s="165"/>
      <c r="D175" s="6"/>
      <c r="E175" s="6"/>
      <c r="F175" s="6"/>
      <c r="G175" s="6"/>
      <c r="H175" s="53"/>
      <c r="I175" s="6"/>
      <c r="J175" s="6"/>
      <c r="K175" s="6"/>
      <c r="L175" s="6"/>
      <c r="AA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54"/>
      <c r="AV175" s="6"/>
      <c r="AW175" s="6"/>
      <c r="AX175" s="6"/>
      <c r="AY175" s="6"/>
      <c r="AZ175" s="6"/>
      <c r="BB175" s="6"/>
      <c r="BC175" s="6"/>
    </row>
    <row r="176" spans="1:61" ht="13" x14ac:dyDescent="0.25">
      <c r="B176" s="15"/>
      <c r="C176" s="166"/>
      <c r="H176" s="51"/>
    </row>
  </sheetData>
  <conditionalFormatting sqref="A2:XFD2">
    <cfRule type="cellIs" dxfId="4" priority="7" operator="equal">
      <formula>TODAY()</formula>
    </cfRule>
  </conditionalFormatting>
  <conditionalFormatting sqref="F1:F1048576">
    <cfRule type="cellIs" dxfId="3" priority="1" operator="greaterThan">
      <formula>0</formula>
    </cfRule>
  </conditionalFormatting>
  <conditionalFormatting sqref="I1:KG1">
    <cfRule type="expression" dxfId="2" priority="2">
      <formula>WEEKDAY(I2,2) &gt; 5</formula>
    </cfRule>
  </conditionalFormatting>
  <pageMargins left="0.25" right="0.25" top="0.75" bottom="0.75" header="0.3" footer="0.3"/>
  <pageSetup paperSize="5" scale="6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1:U174"/>
  <sheetViews>
    <sheetView showGridLines="0" zoomScale="85" zoomScaleNormal="85" zoomScaleSheetLayoutView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2" sqref="B2"/>
    </sheetView>
  </sheetViews>
  <sheetFormatPr baseColWidth="10" defaultColWidth="11.453125" defaultRowHeight="12.5" outlineLevelCol="1" x14ac:dyDescent="0.25"/>
  <cols>
    <col min="1" max="1" width="8.453125" style="9" customWidth="1" outlineLevel="1"/>
    <col min="2" max="2" width="4.7265625" style="9" customWidth="1" outlineLevel="1"/>
    <col min="3" max="3" width="50.7265625" style="10" bestFit="1" customWidth="1"/>
    <col min="4" max="4" width="7" style="11" bestFit="1" customWidth="1"/>
    <col min="5" max="5" width="8.81640625" style="11" bestFit="1" customWidth="1"/>
    <col min="6" max="6" width="11.6328125" style="11" bestFit="1" customWidth="1"/>
    <col min="7" max="7" width="9.54296875" style="11" bestFit="1" customWidth="1"/>
    <col min="8" max="8" width="13.26953125" style="11" bestFit="1" customWidth="1"/>
    <col min="9" max="9" width="12.81640625" style="12" bestFit="1" customWidth="1"/>
    <col min="10" max="18" width="6.1796875" style="3" customWidth="1"/>
    <col min="19" max="23" width="3.26953125" style="3" customWidth="1"/>
    <col min="24" max="16384" width="11.453125" style="3"/>
  </cols>
  <sheetData>
    <row r="1" spans="1:21" s="5" customFormat="1" ht="69.75" customHeight="1" x14ac:dyDescent="0.35">
      <c r="B1" s="7"/>
      <c r="C1" s="7"/>
      <c r="D1" s="7"/>
      <c r="E1" s="7"/>
      <c r="F1" s="7"/>
      <c r="G1" s="7"/>
      <c r="H1" s="7"/>
      <c r="I1" s="8"/>
      <c r="J1" s="88"/>
      <c r="K1" s="88"/>
      <c r="L1" s="88"/>
      <c r="M1" s="88"/>
      <c r="N1" s="88"/>
      <c r="O1" s="88"/>
      <c r="P1" s="88"/>
      <c r="Q1" s="88"/>
      <c r="R1" s="89">
        <f>informe!$J$2</f>
        <v>45658</v>
      </c>
    </row>
    <row r="2" spans="1:21" s="1" customFormat="1" ht="15" customHeight="1" x14ac:dyDescent="0.4">
      <c r="A2" s="39" t="s">
        <v>39</v>
      </c>
      <c r="B2" s="98" t="s">
        <v>32</v>
      </c>
      <c r="C2" s="43" t="s">
        <v>2</v>
      </c>
      <c r="D2" s="39" t="s">
        <v>31</v>
      </c>
      <c r="E2" s="39" t="s">
        <v>30</v>
      </c>
      <c r="F2" s="39" t="s">
        <v>102</v>
      </c>
      <c r="G2" s="39" t="s">
        <v>8</v>
      </c>
      <c r="H2" s="39" t="s">
        <v>5</v>
      </c>
      <c r="I2" s="39" t="s">
        <v>6</v>
      </c>
      <c r="J2" s="23" t="s">
        <v>504</v>
      </c>
      <c r="K2" s="23" t="s">
        <v>18</v>
      </c>
      <c r="L2" s="23" t="s">
        <v>10</v>
      </c>
      <c r="M2" s="23" t="s">
        <v>3</v>
      </c>
      <c r="N2" s="23" t="s">
        <v>4</v>
      </c>
      <c r="O2" s="23" t="s">
        <v>4</v>
      </c>
      <c r="P2" s="23" t="s">
        <v>596</v>
      </c>
      <c r="Q2" s="23" t="s">
        <v>597</v>
      </c>
      <c r="R2" s="23">
        <v>45627</v>
      </c>
      <c r="S2" s="4"/>
      <c r="T2" s="4"/>
      <c r="U2" s="4"/>
    </row>
    <row r="3" spans="1:21" s="1" customFormat="1" ht="14.5" customHeight="1" x14ac:dyDescent="0.35">
      <c r="A3" s="50">
        <v>1</v>
      </c>
      <c r="B3" s="99">
        <v>0</v>
      </c>
      <c r="C3" s="48" t="s">
        <v>257</v>
      </c>
      <c r="D3" s="49"/>
      <c r="E3" s="49"/>
      <c r="F3" s="94"/>
      <c r="G3" s="49" t="s">
        <v>131</v>
      </c>
      <c r="H3" s="49" t="s">
        <v>132</v>
      </c>
      <c r="I3" s="49" t="s">
        <v>133</v>
      </c>
      <c r="J3" s="23">
        <f>IF((informe!$J$2-N3)+1&gt;M3,M3,IF((informe!$J$2-N3)+1&lt;0,0,(informe!$J$2-N3)+1))</f>
        <v>114</v>
      </c>
      <c r="K3" s="63">
        <f>SUMIFS(informe!G:G,informe!A:A,presupuesto!B3)</f>
        <v>0</v>
      </c>
      <c r="L3" s="63">
        <f>SUMIFS(informe!F:F,informe!A:A,presupuesto!B3)</f>
        <v>0</v>
      </c>
      <c r="M3" s="23">
        <f>(O3-N3)+1</f>
        <v>390</v>
      </c>
      <c r="N3" s="23">
        <f t="shared" ref="N3:N34" si="0">DATEVALUE(RIGHT(H3,8))</f>
        <v>45545</v>
      </c>
      <c r="O3" s="23">
        <f t="shared" ref="O3:O34" si="1">DATEVALUE(RIGHT(I3,8))</f>
        <v>45934</v>
      </c>
      <c r="P3" s="23">
        <f>L3/M3</f>
        <v>0</v>
      </c>
      <c r="Q3" s="23">
        <f>E3/((O3-N3)+1)</f>
        <v>0</v>
      </c>
      <c r="R3" s="23">
        <f t="shared" ref="R3:R34" si="2">IFERROR(((IF(($R$1-$N3)+1&gt;$M3,$M3,IF(($R$1-$N3)+1&lt;0,0,($R$1-$N3)+1)))*$P3*1)/$L3,0)</f>
        <v>0</v>
      </c>
      <c r="S3" s="4"/>
      <c r="T3" s="4"/>
      <c r="U3" s="4"/>
    </row>
    <row r="4" spans="1:21" s="1" customFormat="1" ht="14.5" customHeight="1" x14ac:dyDescent="0.35">
      <c r="A4" s="45" t="s">
        <v>40</v>
      </c>
      <c r="B4" s="100"/>
      <c r="C4" s="45" t="s">
        <v>258</v>
      </c>
      <c r="D4" s="40"/>
      <c r="E4" s="40"/>
      <c r="F4" s="95"/>
      <c r="G4" s="40" t="s">
        <v>134</v>
      </c>
      <c r="H4" s="40" t="s">
        <v>135</v>
      </c>
      <c r="I4" s="40" t="s">
        <v>136</v>
      </c>
      <c r="J4" s="23">
        <f>IF((informe!$J$2-N4)+1&gt;M4,M4,IF((informe!$J$2-N4)+1&lt;0,0,(informe!$J$2-N4)+1))</f>
        <v>17</v>
      </c>
      <c r="K4" s="63">
        <f>SUMIFS(informe!G:G,informe!A:A,presupuesto!B4)</f>
        <v>0</v>
      </c>
      <c r="L4" s="63">
        <f>SUMIFS(informe!F:F,informe!A:A,presupuesto!B4)</f>
        <v>0</v>
      </c>
      <c r="M4" s="23">
        <f t="shared" ref="M4:M67" si="3">(O4-N4)+1</f>
        <v>167</v>
      </c>
      <c r="N4" s="23">
        <f t="shared" si="0"/>
        <v>45642</v>
      </c>
      <c r="O4" s="23">
        <f t="shared" si="1"/>
        <v>45808</v>
      </c>
      <c r="P4" s="23"/>
      <c r="Q4" s="23">
        <f t="shared" ref="Q4:Q67" si="4">E4/((O4-N4)+1)</f>
        <v>0</v>
      </c>
      <c r="R4" s="23">
        <f t="shared" si="2"/>
        <v>0</v>
      </c>
      <c r="S4" s="4"/>
      <c r="T4" s="4"/>
      <c r="U4" s="4"/>
    </row>
    <row r="5" spans="1:21" s="1" customFormat="1" ht="14.5" customHeight="1" x14ac:dyDescent="0.35">
      <c r="A5" s="44" t="s">
        <v>259</v>
      </c>
      <c r="B5" s="101" t="s">
        <v>105</v>
      </c>
      <c r="C5" s="44" t="s">
        <v>260</v>
      </c>
      <c r="D5" s="41"/>
      <c r="E5" s="41"/>
      <c r="F5" s="96"/>
      <c r="G5" s="41" t="s">
        <v>134</v>
      </c>
      <c r="H5" s="41" t="s">
        <v>135</v>
      </c>
      <c r="I5" s="41" t="s">
        <v>136</v>
      </c>
      <c r="J5" s="23">
        <f>IF((informe!$J$2-N5)+1&gt;M5,M5,IF((informe!$J$2-N5)+1&lt;0,0,(informe!$J$2-N5)+1))</f>
        <v>17</v>
      </c>
      <c r="K5" s="63">
        <f>SUMIFS(informe!G:G,informe!A:A,presupuesto!B5)</f>
        <v>0</v>
      </c>
      <c r="L5" s="63">
        <f>SUMIFS(informe!F:F,informe!A:A,presupuesto!B5)</f>
        <v>0</v>
      </c>
      <c r="M5" s="23">
        <f t="shared" si="3"/>
        <v>167</v>
      </c>
      <c r="N5" s="23">
        <f t="shared" si="0"/>
        <v>45642</v>
      </c>
      <c r="O5" s="23">
        <f t="shared" si="1"/>
        <v>45808</v>
      </c>
      <c r="P5" s="23">
        <f t="shared" ref="P5:P12" si="5">L5/M5</f>
        <v>0</v>
      </c>
      <c r="Q5" s="23">
        <f t="shared" si="4"/>
        <v>0</v>
      </c>
      <c r="R5" s="23">
        <f t="shared" si="2"/>
        <v>0</v>
      </c>
      <c r="S5" s="4"/>
      <c r="T5" s="4"/>
      <c r="U5" s="4"/>
    </row>
    <row r="6" spans="1:21" s="1" customFormat="1" ht="14.5" customHeight="1" x14ac:dyDescent="0.35">
      <c r="A6" s="44" t="s">
        <v>261</v>
      </c>
      <c r="B6" s="101" t="s">
        <v>106</v>
      </c>
      <c r="C6" s="44" t="s">
        <v>262</v>
      </c>
      <c r="D6" s="41"/>
      <c r="E6" s="41"/>
      <c r="F6" s="96"/>
      <c r="G6" s="41" t="s">
        <v>99</v>
      </c>
      <c r="H6" s="41" t="s">
        <v>137</v>
      </c>
      <c r="I6" s="41" t="s">
        <v>138</v>
      </c>
      <c r="J6" s="23">
        <f>IF((informe!$J$2-N6)+1&gt;M6,M6,IF((informe!$J$2-N6)+1&lt;0,0,(informe!$J$2-N6)+1))</f>
        <v>0</v>
      </c>
      <c r="K6" s="63">
        <f>SUMIFS(informe!G:G,informe!A:A,presupuesto!B6)</f>
        <v>0</v>
      </c>
      <c r="L6" s="63">
        <f>SUMIFS(informe!F:F,informe!A:A,presupuesto!B6)</f>
        <v>0</v>
      </c>
      <c r="M6" s="23">
        <f>(O6-N6)+1</f>
        <v>7</v>
      </c>
      <c r="N6" s="23">
        <f t="shared" si="0"/>
        <v>45720</v>
      </c>
      <c r="O6" s="23">
        <f t="shared" si="1"/>
        <v>45726</v>
      </c>
      <c r="P6" s="23">
        <f t="shared" si="5"/>
        <v>0</v>
      </c>
      <c r="Q6" s="23">
        <f t="shared" si="4"/>
        <v>0</v>
      </c>
      <c r="R6" s="23">
        <f t="shared" si="2"/>
        <v>0</v>
      </c>
      <c r="S6" s="4"/>
      <c r="T6" s="4"/>
      <c r="U6" s="4"/>
    </row>
    <row r="7" spans="1:21" s="1" customFormat="1" ht="14.5" customHeight="1" x14ac:dyDescent="0.35">
      <c r="A7" s="46" t="s">
        <v>263</v>
      </c>
      <c r="B7" s="102">
        <v>1</v>
      </c>
      <c r="C7" s="46" t="s">
        <v>264</v>
      </c>
      <c r="D7" s="42" t="s">
        <v>29</v>
      </c>
      <c r="E7" s="42">
        <v>11</v>
      </c>
      <c r="F7" s="97" t="str">
        <f>IF(ISBLANK(E7),0,"Tabla: Partida")</f>
        <v>Tabla: Partida</v>
      </c>
      <c r="G7" s="42" t="s">
        <v>99</v>
      </c>
      <c r="H7" s="42" t="s">
        <v>137</v>
      </c>
      <c r="I7" s="42" t="s">
        <v>138</v>
      </c>
      <c r="J7" s="23">
        <f>IF((informe!$J$2-N7)+1&gt;M7,M7,IF((informe!$J$2-N7)+1&lt;0,0,(informe!$J$2-N7)+1))</f>
        <v>0</v>
      </c>
      <c r="K7" s="63" t="e">
        <f>SUMIFS(informe!G:G,informe!A:A,presupuesto!B7)</f>
        <v>#VALUE!</v>
      </c>
      <c r="L7" s="63">
        <f>SUMIFS(informe!F:F,informe!A:A,presupuesto!B7)</f>
        <v>0</v>
      </c>
      <c r="M7" s="23">
        <f t="shared" si="3"/>
        <v>7</v>
      </c>
      <c r="N7" s="23">
        <f t="shared" si="0"/>
        <v>45720</v>
      </c>
      <c r="O7" s="23">
        <f t="shared" si="1"/>
        <v>45726</v>
      </c>
      <c r="P7" s="63">
        <f t="shared" si="5"/>
        <v>0</v>
      </c>
      <c r="Q7" s="23">
        <f t="shared" si="4"/>
        <v>1.5714285714285714</v>
      </c>
      <c r="R7" s="23">
        <f t="shared" si="2"/>
        <v>0</v>
      </c>
      <c r="S7" s="4"/>
      <c r="T7" s="4"/>
      <c r="U7" s="4"/>
    </row>
    <row r="8" spans="1:21" s="1" customFormat="1" ht="14.5" customHeight="1" x14ac:dyDescent="0.35">
      <c r="A8" s="44" t="s">
        <v>265</v>
      </c>
      <c r="B8" s="101" t="s">
        <v>107</v>
      </c>
      <c r="C8" s="44" t="s">
        <v>266</v>
      </c>
      <c r="D8" s="41"/>
      <c r="E8" s="41"/>
      <c r="F8" s="97">
        <f t="shared" ref="F8:F71" si="6">IF(ISBLANK(E8),0,"Tabla: Partida")</f>
        <v>0</v>
      </c>
      <c r="G8" s="41" t="s">
        <v>139</v>
      </c>
      <c r="H8" s="41" t="s">
        <v>140</v>
      </c>
      <c r="I8" s="41" t="s">
        <v>141</v>
      </c>
      <c r="J8" s="23">
        <f>IF((informe!$J$2-N8)+1&gt;M8,M8,IF((informe!$J$2-N8)+1&lt;0,0,(informe!$J$2-N8)+1))</f>
        <v>0</v>
      </c>
      <c r="K8" s="63">
        <f>SUMIFS(informe!G:G,informe!A:A,presupuesto!B8)</f>
        <v>0</v>
      </c>
      <c r="L8" s="63">
        <f>SUMIFS(informe!F:F,informe!A:A,presupuesto!B8)</f>
        <v>0</v>
      </c>
      <c r="M8" s="23">
        <f t="shared" si="3"/>
        <v>6</v>
      </c>
      <c r="N8" s="23">
        <f t="shared" si="0"/>
        <v>45727</v>
      </c>
      <c r="O8" s="23">
        <f t="shared" si="1"/>
        <v>45732</v>
      </c>
      <c r="P8" s="23">
        <f t="shared" si="5"/>
        <v>0</v>
      </c>
      <c r="Q8" s="23">
        <f t="shared" si="4"/>
        <v>0</v>
      </c>
      <c r="R8" s="23">
        <f t="shared" si="2"/>
        <v>0</v>
      </c>
      <c r="S8" s="4"/>
      <c r="T8" s="4"/>
      <c r="U8" s="4"/>
    </row>
    <row r="9" spans="1:21" s="1" customFormat="1" ht="14.5" customHeight="1" x14ac:dyDescent="0.35">
      <c r="A9" s="46" t="s">
        <v>267</v>
      </c>
      <c r="B9" s="102">
        <v>2</v>
      </c>
      <c r="C9" s="46" t="s">
        <v>268</v>
      </c>
      <c r="D9" s="42" t="s">
        <v>28</v>
      </c>
      <c r="E9" s="42">
        <v>5.3</v>
      </c>
      <c r="F9" s="97" t="str">
        <f t="shared" si="6"/>
        <v>Tabla: Partida</v>
      </c>
      <c r="G9" s="42" t="s">
        <v>142</v>
      </c>
      <c r="H9" s="42" t="s">
        <v>140</v>
      </c>
      <c r="I9" s="42" t="s">
        <v>143</v>
      </c>
      <c r="J9" s="23">
        <f>IF((informe!$J$2-N9)+1&gt;M9,M9,IF((informe!$J$2-N9)+1&lt;0,0,(informe!$J$2-N9)+1))</f>
        <v>0</v>
      </c>
      <c r="K9" s="63" t="e">
        <f>SUMIFS(informe!G:G,informe!A:A,presupuesto!B9)</f>
        <v>#VALUE!</v>
      </c>
      <c r="L9" s="63">
        <f>SUMIFS(informe!F:F,informe!A:A,presupuesto!B9)</f>
        <v>0</v>
      </c>
      <c r="M9" s="23">
        <f t="shared" si="3"/>
        <v>4</v>
      </c>
      <c r="N9" s="23">
        <f t="shared" si="0"/>
        <v>45727</v>
      </c>
      <c r="O9" s="23">
        <f t="shared" si="1"/>
        <v>45730</v>
      </c>
      <c r="P9" s="23">
        <f t="shared" si="5"/>
        <v>0</v>
      </c>
      <c r="Q9" s="23">
        <f t="shared" si="4"/>
        <v>1.325</v>
      </c>
      <c r="R9" s="23">
        <f t="shared" si="2"/>
        <v>0</v>
      </c>
      <c r="S9" s="4"/>
      <c r="T9" s="4"/>
      <c r="U9" s="4"/>
    </row>
    <row r="10" spans="1:21" s="1" customFormat="1" ht="14.5" customHeight="1" x14ac:dyDescent="0.35">
      <c r="A10" s="46" t="s">
        <v>269</v>
      </c>
      <c r="B10" s="102">
        <v>3</v>
      </c>
      <c r="C10" s="46" t="s">
        <v>270</v>
      </c>
      <c r="D10" s="42" t="s">
        <v>28</v>
      </c>
      <c r="E10" s="42">
        <v>3</v>
      </c>
      <c r="F10" s="97" t="str">
        <f t="shared" si="6"/>
        <v>Tabla: Partida</v>
      </c>
      <c r="G10" s="42" t="s">
        <v>144</v>
      </c>
      <c r="H10" s="42" t="s">
        <v>145</v>
      </c>
      <c r="I10" s="42" t="s">
        <v>141</v>
      </c>
      <c r="J10" s="23">
        <f>IF((informe!$J$2-N10)+1&gt;M10,M10,IF((informe!$J$2-N10)+1&lt;0,0,(informe!$J$2-N10)+1))</f>
        <v>0</v>
      </c>
      <c r="K10" s="63" t="e">
        <f>SUMIFS(informe!G:G,informe!A:A,presupuesto!B10)</f>
        <v>#VALUE!</v>
      </c>
      <c r="L10" s="63">
        <f>SUMIFS(informe!F:F,informe!A:A,presupuesto!B10)</f>
        <v>0</v>
      </c>
      <c r="M10" s="23">
        <f t="shared" si="3"/>
        <v>2</v>
      </c>
      <c r="N10" s="23">
        <f t="shared" si="0"/>
        <v>45731</v>
      </c>
      <c r="O10" s="23">
        <f t="shared" si="1"/>
        <v>45732</v>
      </c>
      <c r="P10" s="23">
        <f t="shared" si="5"/>
        <v>0</v>
      </c>
      <c r="Q10" s="23">
        <f t="shared" si="4"/>
        <v>1.5</v>
      </c>
      <c r="R10" s="23">
        <f t="shared" si="2"/>
        <v>0</v>
      </c>
      <c r="S10" s="4"/>
      <c r="T10" s="4"/>
      <c r="U10" s="4"/>
    </row>
    <row r="11" spans="1:21" s="1" customFormat="1" ht="14.5" customHeight="1" x14ac:dyDescent="0.35">
      <c r="A11" s="46" t="s">
        <v>271</v>
      </c>
      <c r="B11" s="102">
        <v>4</v>
      </c>
      <c r="C11" s="46" t="s">
        <v>272</v>
      </c>
      <c r="D11" s="42" t="s">
        <v>28</v>
      </c>
      <c r="E11" s="42">
        <v>5</v>
      </c>
      <c r="F11" s="97" t="str">
        <f t="shared" si="6"/>
        <v>Tabla: Partida</v>
      </c>
      <c r="G11" s="42" t="s">
        <v>144</v>
      </c>
      <c r="H11" s="42" t="s">
        <v>145</v>
      </c>
      <c r="I11" s="42" t="s">
        <v>141</v>
      </c>
      <c r="J11" s="23">
        <f>IF((informe!$J$2-N11)+1&gt;M11,M11,IF((informe!$J$2-N11)+1&lt;0,0,(informe!$J$2-N11)+1))</f>
        <v>0</v>
      </c>
      <c r="K11" s="63" t="e">
        <f>SUMIFS(informe!G:G,informe!A:A,presupuesto!B11)</f>
        <v>#VALUE!</v>
      </c>
      <c r="L11" s="63">
        <f>SUMIFS(informe!F:F,informe!A:A,presupuesto!B11)</f>
        <v>0</v>
      </c>
      <c r="M11" s="23">
        <f t="shared" si="3"/>
        <v>2</v>
      </c>
      <c r="N11" s="23">
        <f t="shared" si="0"/>
        <v>45731</v>
      </c>
      <c r="O11" s="23">
        <f t="shared" si="1"/>
        <v>45732</v>
      </c>
      <c r="P11" s="23">
        <f t="shared" si="5"/>
        <v>0</v>
      </c>
      <c r="Q11" s="23">
        <f t="shared" si="4"/>
        <v>2.5</v>
      </c>
      <c r="R11" s="23">
        <f t="shared" si="2"/>
        <v>0</v>
      </c>
      <c r="S11" s="4"/>
      <c r="T11" s="4"/>
      <c r="U11" s="4"/>
    </row>
    <row r="12" spans="1:21" s="1" customFormat="1" ht="14.5" customHeight="1" x14ac:dyDescent="0.35">
      <c r="A12" s="44" t="s">
        <v>273</v>
      </c>
      <c r="B12" s="101" t="s">
        <v>108</v>
      </c>
      <c r="C12" s="44" t="s">
        <v>274</v>
      </c>
      <c r="D12" s="41"/>
      <c r="E12" s="41"/>
      <c r="F12" s="97">
        <f t="shared" si="6"/>
        <v>0</v>
      </c>
      <c r="G12" s="41" t="s">
        <v>25</v>
      </c>
      <c r="H12" s="41" t="s">
        <v>146</v>
      </c>
      <c r="I12" s="41" t="s">
        <v>147</v>
      </c>
      <c r="J12" s="23">
        <f>IF((informe!$J$2-N12)+1&gt;M12,M12,IF((informe!$J$2-N12)+1&lt;0,0,(informe!$J$2-N12)+1))</f>
        <v>0</v>
      </c>
      <c r="K12" s="63">
        <f>SUMIFS(informe!G:G,informe!A:A,presupuesto!B12)</f>
        <v>0</v>
      </c>
      <c r="L12" s="63">
        <f>SUMIFS(informe!F:F,informe!A:A,presupuesto!B12)</f>
        <v>0</v>
      </c>
      <c r="M12" s="23">
        <f t="shared" si="3"/>
        <v>14</v>
      </c>
      <c r="N12" s="23">
        <f t="shared" si="0"/>
        <v>45733</v>
      </c>
      <c r="O12" s="23">
        <f t="shared" si="1"/>
        <v>45746</v>
      </c>
      <c r="P12" s="23">
        <f t="shared" si="5"/>
        <v>0</v>
      </c>
      <c r="Q12" s="23">
        <f t="shared" si="4"/>
        <v>0</v>
      </c>
      <c r="R12" s="23">
        <f t="shared" si="2"/>
        <v>0</v>
      </c>
      <c r="S12" s="4"/>
      <c r="T12" s="4"/>
      <c r="U12" s="4"/>
    </row>
    <row r="13" spans="1:21" s="1" customFormat="1" ht="14.5" customHeight="1" x14ac:dyDescent="0.35">
      <c r="A13" s="46" t="s">
        <v>275</v>
      </c>
      <c r="B13" s="102">
        <v>5</v>
      </c>
      <c r="C13" s="46" t="s">
        <v>276</v>
      </c>
      <c r="D13" s="42" t="s">
        <v>28</v>
      </c>
      <c r="E13" s="42">
        <v>3</v>
      </c>
      <c r="F13" s="97" t="str">
        <f t="shared" si="6"/>
        <v>Tabla: Partida</v>
      </c>
      <c r="G13" s="42" t="s">
        <v>144</v>
      </c>
      <c r="H13" s="42" t="s">
        <v>146</v>
      </c>
      <c r="I13" s="42" t="s">
        <v>148</v>
      </c>
      <c r="J13" s="23">
        <f>IF((informe!$J$2-N13)+1&gt;M13,M13,IF((informe!$J$2-N13)+1&lt;0,0,(informe!$J$2-N13)+1))</f>
        <v>0</v>
      </c>
      <c r="K13" s="63" t="e">
        <f>SUMIFS(informe!G:G,informe!A:A,presupuesto!B13)</f>
        <v>#VALUE!</v>
      </c>
      <c r="L13" s="63">
        <f>SUMIFS(informe!F:F,informe!A:A,presupuesto!B13)</f>
        <v>0</v>
      </c>
      <c r="M13" s="23">
        <f t="shared" si="3"/>
        <v>2</v>
      </c>
      <c r="N13" s="23">
        <f t="shared" si="0"/>
        <v>45733</v>
      </c>
      <c r="O13" s="23">
        <f t="shared" si="1"/>
        <v>45734</v>
      </c>
      <c r="P13" s="23">
        <f t="shared" ref="P13:P36" si="7">L13/M13</f>
        <v>0</v>
      </c>
      <c r="Q13" s="23">
        <f t="shared" si="4"/>
        <v>1.5</v>
      </c>
      <c r="R13" s="23">
        <f t="shared" si="2"/>
        <v>0</v>
      </c>
      <c r="S13" s="4"/>
      <c r="T13" s="4"/>
      <c r="U13" s="4"/>
    </row>
    <row r="14" spans="1:21" s="1" customFormat="1" ht="14.5" customHeight="1" x14ac:dyDescent="0.35">
      <c r="A14" s="46" t="s">
        <v>277</v>
      </c>
      <c r="B14" s="102">
        <v>6</v>
      </c>
      <c r="C14" s="46" t="s">
        <v>278</v>
      </c>
      <c r="D14" s="42" t="s">
        <v>28</v>
      </c>
      <c r="E14" s="42">
        <v>9</v>
      </c>
      <c r="F14" s="97" t="str">
        <f t="shared" si="6"/>
        <v>Tabla: Partida</v>
      </c>
      <c r="G14" s="42" t="s">
        <v>99</v>
      </c>
      <c r="H14" s="42" t="s">
        <v>149</v>
      </c>
      <c r="I14" s="42" t="s">
        <v>147</v>
      </c>
      <c r="J14" s="23">
        <f>IF((informe!$J$2-N14)+1&gt;M14,M14,IF((informe!$J$2-N14)+1&lt;0,0,(informe!$J$2-N14)+1))</f>
        <v>0</v>
      </c>
      <c r="K14" s="63" t="e">
        <f>SUMIFS(informe!G:G,informe!A:A,presupuesto!B14)</f>
        <v>#VALUE!</v>
      </c>
      <c r="L14" s="63">
        <f>SUMIFS(informe!F:F,informe!A:A,presupuesto!B14)</f>
        <v>0</v>
      </c>
      <c r="M14" s="23">
        <f t="shared" si="3"/>
        <v>7</v>
      </c>
      <c r="N14" s="23">
        <f t="shared" si="0"/>
        <v>45740</v>
      </c>
      <c r="O14" s="23">
        <f t="shared" si="1"/>
        <v>45746</v>
      </c>
      <c r="P14" s="23">
        <f t="shared" si="7"/>
        <v>0</v>
      </c>
      <c r="Q14" s="23">
        <f t="shared" si="4"/>
        <v>1.2857142857142858</v>
      </c>
      <c r="R14" s="23">
        <f t="shared" si="2"/>
        <v>0</v>
      </c>
      <c r="S14" s="4"/>
      <c r="T14" s="4"/>
      <c r="U14" s="4"/>
    </row>
    <row r="15" spans="1:21" s="1" customFormat="1" ht="14.5" customHeight="1" x14ac:dyDescent="0.35">
      <c r="A15" s="46" t="s">
        <v>279</v>
      </c>
      <c r="B15" s="102">
        <v>7</v>
      </c>
      <c r="C15" s="46" t="s">
        <v>280</v>
      </c>
      <c r="D15" s="42" t="s">
        <v>109</v>
      </c>
      <c r="E15" s="42">
        <v>160</v>
      </c>
      <c r="F15" s="97" t="str">
        <f t="shared" si="6"/>
        <v>Tabla: Partida</v>
      </c>
      <c r="G15" s="42" t="s">
        <v>99</v>
      </c>
      <c r="H15" s="42" t="s">
        <v>150</v>
      </c>
      <c r="I15" s="42" t="s">
        <v>151</v>
      </c>
      <c r="J15" s="23">
        <f>IF((informe!$J$2-N15)+1&gt;M15,M15,IF((informe!$J$2-N15)+1&lt;0,0,(informe!$J$2-N15)+1))</f>
        <v>0</v>
      </c>
      <c r="K15" s="63" t="e">
        <f>SUMIFS(informe!G:G,informe!A:A,presupuesto!B15)</f>
        <v>#VALUE!</v>
      </c>
      <c r="L15" s="63">
        <f>SUMIFS(informe!F:F,informe!A:A,presupuesto!B15)</f>
        <v>0</v>
      </c>
      <c r="M15" s="23">
        <f t="shared" si="3"/>
        <v>7</v>
      </c>
      <c r="N15" s="23">
        <f t="shared" si="0"/>
        <v>45735</v>
      </c>
      <c r="O15" s="23">
        <f t="shared" si="1"/>
        <v>45741</v>
      </c>
      <c r="P15" s="23">
        <f t="shared" si="7"/>
        <v>0</v>
      </c>
      <c r="Q15" s="23">
        <f t="shared" si="4"/>
        <v>22.857142857142858</v>
      </c>
      <c r="R15" s="23">
        <f t="shared" si="2"/>
        <v>0</v>
      </c>
      <c r="S15" s="4"/>
      <c r="T15" s="4"/>
      <c r="U15" s="4"/>
    </row>
    <row r="16" spans="1:21" s="1" customFormat="1" ht="14.5" customHeight="1" x14ac:dyDescent="0.35">
      <c r="A16" s="44" t="s">
        <v>281</v>
      </c>
      <c r="B16" s="101" t="s">
        <v>110</v>
      </c>
      <c r="C16" s="44" t="s">
        <v>282</v>
      </c>
      <c r="D16" s="41"/>
      <c r="E16" s="41"/>
      <c r="F16" s="97">
        <f t="shared" si="6"/>
        <v>0</v>
      </c>
      <c r="G16" s="41" t="s">
        <v>7</v>
      </c>
      <c r="H16" s="41" t="s">
        <v>152</v>
      </c>
      <c r="I16" s="41" t="s">
        <v>136</v>
      </c>
      <c r="J16" s="23">
        <f>IF((informe!$J$2-N16)+1&gt;M16,M16,IF((informe!$J$2-N16)+1&lt;0,0,(informe!$J$2-N16)+1))</f>
        <v>0</v>
      </c>
      <c r="K16" s="63">
        <f>SUMIFS(informe!G:G,informe!A:A,presupuesto!B16)</f>
        <v>0</v>
      </c>
      <c r="L16" s="63">
        <f>SUMIFS(informe!F:F,informe!A:A,presupuesto!B16)</f>
        <v>0</v>
      </c>
      <c r="M16" s="23">
        <f t="shared" si="3"/>
        <v>30</v>
      </c>
      <c r="N16" s="23">
        <f t="shared" si="0"/>
        <v>45779</v>
      </c>
      <c r="O16" s="23">
        <f t="shared" si="1"/>
        <v>45808</v>
      </c>
      <c r="P16" s="23">
        <f t="shared" si="7"/>
        <v>0</v>
      </c>
      <c r="Q16" s="23">
        <f t="shared" si="4"/>
        <v>0</v>
      </c>
      <c r="R16" s="23">
        <f t="shared" si="2"/>
        <v>0</v>
      </c>
      <c r="S16" s="4"/>
      <c r="T16" s="4"/>
      <c r="U16" s="4"/>
    </row>
    <row r="17" spans="1:21" s="1" customFormat="1" ht="14.5" customHeight="1" x14ac:dyDescent="0.35">
      <c r="A17" s="46" t="s">
        <v>283</v>
      </c>
      <c r="B17" s="102">
        <v>8</v>
      </c>
      <c r="C17" s="46" t="s">
        <v>284</v>
      </c>
      <c r="D17" s="42" t="s">
        <v>37</v>
      </c>
      <c r="E17" s="42">
        <v>1</v>
      </c>
      <c r="F17" s="97" t="str">
        <f t="shared" si="6"/>
        <v>Tabla: Partida</v>
      </c>
      <c r="G17" s="42" t="s">
        <v>7</v>
      </c>
      <c r="H17" s="42" t="s">
        <v>152</v>
      </c>
      <c r="I17" s="42" t="s">
        <v>136</v>
      </c>
      <c r="J17" s="23">
        <f>IF((informe!$J$2-N17)+1&gt;M17,M17,IF((informe!$J$2-N17)+1&lt;0,0,(informe!$J$2-N17)+1))</f>
        <v>0</v>
      </c>
      <c r="K17" s="63" t="e">
        <f>SUMIFS(informe!G:G,informe!A:A,presupuesto!B17)</f>
        <v>#VALUE!</v>
      </c>
      <c r="L17" s="63">
        <f>SUMIFS(informe!F:F,informe!A:A,presupuesto!B17)</f>
        <v>0</v>
      </c>
      <c r="M17" s="23">
        <f t="shared" si="3"/>
        <v>30</v>
      </c>
      <c r="N17" s="23">
        <f t="shared" si="0"/>
        <v>45779</v>
      </c>
      <c r="O17" s="23">
        <f t="shared" si="1"/>
        <v>45808</v>
      </c>
      <c r="P17" s="23">
        <f t="shared" si="7"/>
        <v>0</v>
      </c>
      <c r="Q17" s="23">
        <f t="shared" si="4"/>
        <v>3.3333333333333333E-2</v>
      </c>
      <c r="R17" s="23">
        <f t="shared" si="2"/>
        <v>0</v>
      </c>
      <c r="S17" s="4"/>
      <c r="T17" s="4"/>
      <c r="U17" s="4"/>
    </row>
    <row r="18" spans="1:21" s="1" customFormat="1" ht="14.5" customHeight="1" x14ac:dyDescent="0.35">
      <c r="A18" s="44" t="s">
        <v>285</v>
      </c>
      <c r="B18" s="101" t="s">
        <v>111</v>
      </c>
      <c r="C18" s="44" t="s">
        <v>34</v>
      </c>
      <c r="D18" s="41"/>
      <c r="E18" s="41"/>
      <c r="F18" s="97">
        <f t="shared" si="6"/>
        <v>0</v>
      </c>
      <c r="G18" s="41" t="s">
        <v>153</v>
      </c>
      <c r="H18" s="41" t="s">
        <v>135</v>
      </c>
      <c r="I18" s="41" t="s">
        <v>154</v>
      </c>
      <c r="J18" s="23">
        <f>IF((informe!$J$2-N18)+1&gt;M18,M18,IF((informe!$J$2-N18)+1&lt;0,0,(informe!$J$2-N18)+1))</f>
        <v>17</v>
      </c>
      <c r="K18" s="63">
        <f>SUMIFS(informe!G:G,informe!A:A,presupuesto!B18)</f>
        <v>0</v>
      </c>
      <c r="L18" s="63">
        <f>SUMIFS(informe!F:F,informe!A:A,presupuesto!B18)</f>
        <v>0</v>
      </c>
      <c r="M18" s="23">
        <f t="shared" si="3"/>
        <v>120</v>
      </c>
      <c r="N18" s="23">
        <f t="shared" si="0"/>
        <v>45642</v>
      </c>
      <c r="O18" s="23">
        <f t="shared" si="1"/>
        <v>45761</v>
      </c>
      <c r="P18" s="23">
        <f t="shared" si="7"/>
        <v>0</v>
      </c>
      <c r="Q18" s="23">
        <f t="shared" si="4"/>
        <v>0</v>
      </c>
      <c r="R18" s="23">
        <f t="shared" si="2"/>
        <v>0</v>
      </c>
      <c r="S18" s="4"/>
      <c r="T18" s="4"/>
      <c r="U18" s="4"/>
    </row>
    <row r="19" spans="1:21" s="1" customFormat="1" ht="14.5" customHeight="1" x14ac:dyDescent="0.35">
      <c r="A19" s="46" t="s">
        <v>286</v>
      </c>
      <c r="B19" s="102">
        <v>9</v>
      </c>
      <c r="C19" s="46" t="s">
        <v>287</v>
      </c>
      <c r="D19" s="42" t="s">
        <v>38</v>
      </c>
      <c r="E19" s="42">
        <v>2</v>
      </c>
      <c r="F19" s="97" t="str">
        <f t="shared" si="6"/>
        <v>Tabla: Partida</v>
      </c>
      <c r="G19" s="42" t="s">
        <v>153</v>
      </c>
      <c r="H19" s="42" t="s">
        <v>135</v>
      </c>
      <c r="I19" s="42" t="s">
        <v>154</v>
      </c>
      <c r="J19" s="23">
        <f>IF((informe!$J$2-N19)+1&gt;M19,M19,IF((informe!$J$2-N19)+1&lt;0,0,(informe!$J$2-N19)+1))</f>
        <v>17</v>
      </c>
      <c r="K19" s="63" t="e">
        <f>SUMIFS(informe!G:G,informe!A:A,presupuesto!B19)</f>
        <v>#VALUE!</v>
      </c>
      <c r="L19" s="63">
        <f>SUMIFS(informe!F:F,informe!A:A,presupuesto!B19)</f>
        <v>0</v>
      </c>
      <c r="M19" s="23">
        <f t="shared" si="3"/>
        <v>120</v>
      </c>
      <c r="N19" s="23">
        <f t="shared" si="0"/>
        <v>45642</v>
      </c>
      <c r="O19" s="23">
        <f t="shared" si="1"/>
        <v>45761</v>
      </c>
      <c r="P19" s="23">
        <f t="shared" si="7"/>
        <v>0</v>
      </c>
      <c r="Q19" s="23">
        <f t="shared" si="4"/>
        <v>1.6666666666666666E-2</v>
      </c>
      <c r="R19" s="23">
        <f t="shared" si="2"/>
        <v>0</v>
      </c>
      <c r="S19" s="4"/>
      <c r="T19" s="4"/>
      <c r="U19" s="4"/>
    </row>
    <row r="20" spans="1:21" s="1" customFormat="1" ht="14.5" customHeight="1" x14ac:dyDescent="0.35">
      <c r="A20" s="44" t="s">
        <v>288</v>
      </c>
      <c r="B20" s="101" t="s">
        <v>35</v>
      </c>
      <c r="C20" s="44" t="s">
        <v>289</v>
      </c>
      <c r="D20" s="41"/>
      <c r="E20" s="41"/>
      <c r="F20" s="97">
        <f t="shared" si="6"/>
        <v>0</v>
      </c>
      <c r="G20" s="41" t="s">
        <v>155</v>
      </c>
      <c r="H20" s="41" t="s">
        <v>156</v>
      </c>
      <c r="I20" s="41" t="s">
        <v>157</v>
      </c>
      <c r="J20" s="23">
        <f>IF((informe!$J$2-N20)+1&gt;M20,M20,IF((informe!$J$2-N20)+1&lt;0,0,(informe!$J$2-N20)+1))</f>
        <v>0</v>
      </c>
      <c r="K20" s="63">
        <f>SUMIFS(informe!G:G,informe!A:A,presupuesto!B20)</f>
        <v>0</v>
      </c>
      <c r="L20" s="63">
        <f>SUMIFS(informe!F:F,informe!A:A,presupuesto!B20)</f>
        <v>0</v>
      </c>
      <c r="M20" s="23">
        <f t="shared" si="3"/>
        <v>38</v>
      </c>
      <c r="N20" s="23">
        <f t="shared" si="0"/>
        <v>45754</v>
      </c>
      <c r="O20" s="23">
        <f t="shared" si="1"/>
        <v>45791</v>
      </c>
      <c r="P20" s="23">
        <f t="shared" si="7"/>
        <v>0</v>
      </c>
      <c r="Q20" s="23">
        <f t="shared" si="4"/>
        <v>0</v>
      </c>
      <c r="R20" s="23">
        <f t="shared" si="2"/>
        <v>0</v>
      </c>
      <c r="S20" s="4"/>
      <c r="T20" s="4"/>
      <c r="U20" s="4"/>
    </row>
    <row r="21" spans="1:21" s="1" customFormat="1" ht="14.5" customHeight="1" x14ac:dyDescent="0.35">
      <c r="A21" s="46" t="s">
        <v>290</v>
      </c>
      <c r="B21" s="102">
        <v>10</v>
      </c>
      <c r="C21" s="46" t="s">
        <v>291</v>
      </c>
      <c r="D21" s="42" t="s">
        <v>37</v>
      </c>
      <c r="E21" s="42">
        <v>1</v>
      </c>
      <c r="F21" s="97" t="str">
        <f t="shared" si="6"/>
        <v>Tabla: Partida</v>
      </c>
      <c r="G21" s="42" t="s">
        <v>99</v>
      </c>
      <c r="H21" s="42" t="s">
        <v>156</v>
      </c>
      <c r="I21" s="42" t="s">
        <v>158</v>
      </c>
      <c r="J21" s="23">
        <f>IF((informe!$J$2-N21)+1&gt;M21,M21,IF((informe!$J$2-N21)+1&lt;0,0,(informe!$J$2-N21)+1))</f>
        <v>0</v>
      </c>
      <c r="K21" s="63" t="e">
        <f>SUMIFS(informe!G:G,informe!A:A,presupuesto!B21)</f>
        <v>#VALUE!</v>
      </c>
      <c r="L21" s="63">
        <f>SUMIFS(informe!F:F,informe!A:A,presupuesto!B21)</f>
        <v>0</v>
      </c>
      <c r="M21" s="23">
        <f t="shared" si="3"/>
        <v>7</v>
      </c>
      <c r="N21" s="23">
        <f t="shared" si="0"/>
        <v>45754</v>
      </c>
      <c r="O21" s="23">
        <f t="shared" si="1"/>
        <v>45760</v>
      </c>
      <c r="P21" s="23">
        <f t="shared" si="7"/>
        <v>0</v>
      </c>
      <c r="Q21" s="23">
        <f t="shared" si="4"/>
        <v>0.14285714285714285</v>
      </c>
      <c r="R21" s="23">
        <f t="shared" si="2"/>
        <v>0</v>
      </c>
      <c r="S21" s="4"/>
      <c r="T21" s="4"/>
      <c r="U21" s="4"/>
    </row>
    <row r="22" spans="1:21" s="1" customFormat="1" ht="14.5" customHeight="1" x14ac:dyDescent="0.35">
      <c r="A22" s="46" t="s">
        <v>292</v>
      </c>
      <c r="B22" s="102">
        <v>11</v>
      </c>
      <c r="C22" s="46" t="s">
        <v>293</v>
      </c>
      <c r="D22" s="42" t="s">
        <v>37</v>
      </c>
      <c r="E22" s="42">
        <v>1</v>
      </c>
      <c r="F22" s="97" t="str">
        <f t="shared" si="6"/>
        <v>Tabla: Partida</v>
      </c>
      <c r="G22" s="42" t="s">
        <v>7</v>
      </c>
      <c r="H22" s="42" t="s">
        <v>159</v>
      </c>
      <c r="I22" s="42" t="s">
        <v>157</v>
      </c>
      <c r="J22" s="23">
        <f>IF((informe!$J$2-N22)+1&gt;M22,M22,IF((informe!$J$2-N22)+1&lt;0,0,(informe!$J$2-N22)+1))</f>
        <v>0</v>
      </c>
      <c r="K22" s="63" t="e">
        <f>SUMIFS(informe!G:G,informe!A:A,presupuesto!B22)</f>
        <v>#VALUE!</v>
      </c>
      <c r="L22" s="63">
        <f>SUMIFS(informe!F:F,informe!A:A,presupuesto!B22)</f>
        <v>0</v>
      </c>
      <c r="M22" s="23">
        <f t="shared" si="3"/>
        <v>30</v>
      </c>
      <c r="N22" s="23">
        <f t="shared" si="0"/>
        <v>45762</v>
      </c>
      <c r="O22" s="23">
        <f t="shared" si="1"/>
        <v>45791</v>
      </c>
      <c r="P22" s="23">
        <f t="shared" si="7"/>
        <v>0</v>
      </c>
      <c r="Q22" s="23">
        <f t="shared" si="4"/>
        <v>3.3333333333333333E-2</v>
      </c>
      <c r="R22" s="23">
        <f t="shared" si="2"/>
        <v>0</v>
      </c>
      <c r="S22" s="4"/>
      <c r="T22" s="4"/>
      <c r="U22" s="4"/>
    </row>
    <row r="23" spans="1:21" s="1" customFormat="1" ht="14.5" customHeight="1" x14ac:dyDescent="0.35">
      <c r="A23" s="46" t="s">
        <v>294</v>
      </c>
      <c r="B23" s="102">
        <v>12</v>
      </c>
      <c r="C23" s="46" t="s">
        <v>295</v>
      </c>
      <c r="D23" s="42" t="s">
        <v>37</v>
      </c>
      <c r="E23" s="42">
        <v>2</v>
      </c>
      <c r="F23" s="97" t="str">
        <f t="shared" si="6"/>
        <v>Tabla: Partida</v>
      </c>
      <c r="G23" s="42" t="s">
        <v>142</v>
      </c>
      <c r="H23" s="42" t="s">
        <v>159</v>
      </c>
      <c r="I23" s="42" t="s">
        <v>160</v>
      </c>
      <c r="J23" s="23">
        <f>IF((informe!$J$2-N23)+1&gt;M23,M23,IF((informe!$J$2-N23)+1&lt;0,0,(informe!$J$2-N23)+1))</f>
        <v>0</v>
      </c>
      <c r="K23" s="63" t="e">
        <f>SUMIFS(informe!G:G,informe!A:A,presupuesto!B23)</f>
        <v>#VALUE!</v>
      </c>
      <c r="L23" s="63">
        <f>SUMIFS(informe!F:F,informe!A:A,presupuesto!B23)</f>
        <v>0</v>
      </c>
      <c r="M23" s="23">
        <f t="shared" si="3"/>
        <v>4</v>
      </c>
      <c r="N23" s="23">
        <f t="shared" si="0"/>
        <v>45762</v>
      </c>
      <c r="O23" s="23">
        <f t="shared" si="1"/>
        <v>45765</v>
      </c>
      <c r="P23" s="23">
        <f t="shared" si="7"/>
        <v>0</v>
      </c>
      <c r="Q23" s="23">
        <f t="shared" si="4"/>
        <v>0.5</v>
      </c>
      <c r="R23" s="23">
        <f t="shared" si="2"/>
        <v>0</v>
      </c>
      <c r="S23" s="4"/>
      <c r="T23" s="4"/>
      <c r="U23" s="4"/>
    </row>
    <row r="24" spans="1:21" s="1" customFormat="1" ht="14.5" customHeight="1" x14ac:dyDescent="0.35">
      <c r="A24" s="46" t="s">
        <v>296</v>
      </c>
      <c r="B24" s="102">
        <v>13</v>
      </c>
      <c r="C24" s="46" t="s">
        <v>297</v>
      </c>
      <c r="D24" s="42" t="s">
        <v>37</v>
      </c>
      <c r="E24" s="42">
        <v>1</v>
      </c>
      <c r="F24" s="97" t="str">
        <f t="shared" si="6"/>
        <v>Tabla: Partida</v>
      </c>
      <c r="G24" s="42" t="s">
        <v>161</v>
      </c>
      <c r="H24" s="42" t="s">
        <v>154</v>
      </c>
      <c r="I24" s="42" t="s">
        <v>162</v>
      </c>
      <c r="J24" s="23">
        <f>IF((informe!$J$2-N24)+1&gt;M24,M24,IF((informe!$J$2-N24)+1&lt;0,0,(informe!$J$2-N24)+1))</f>
        <v>0</v>
      </c>
      <c r="K24" s="63" t="e">
        <f>SUMIFS(informe!G:G,informe!A:A,presupuesto!B24)</f>
        <v>#VALUE!</v>
      </c>
      <c r="L24" s="63">
        <f>SUMIFS(informe!F:F,informe!A:A,presupuesto!B24)</f>
        <v>0</v>
      </c>
      <c r="M24" s="23">
        <f t="shared" si="3"/>
        <v>20</v>
      </c>
      <c r="N24" s="23">
        <f t="shared" si="0"/>
        <v>45761</v>
      </c>
      <c r="O24" s="23">
        <f t="shared" si="1"/>
        <v>45780</v>
      </c>
      <c r="P24" s="23">
        <f t="shared" si="7"/>
        <v>0</v>
      </c>
      <c r="Q24" s="23">
        <f t="shared" si="4"/>
        <v>0.05</v>
      </c>
      <c r="R24" s="23">
        <f t="shared" si="2"/>
        <v>0</v>
      </c>
      <c r="S24" s="4"/>
      <c r="T24" s="4"/>
      <c r="U24" s="4"/>
    </row>
    <row r="25" spans="1:21" s="1" customFormat="1" ht="14.5" customHeight="1" x14ac:dyDescent="0.35">
      <c r="A25" s="45" t="s">
        <v>41</v>
      </c>
      <c r="B25" s="100"/>
      <c r="C25" s="45" t="s">
        <v>298</v>
      </c>
      <c r="D25" s="40"/>
      <c r="E25" s="40"/>
      <c r="F25" s="97">
        <f t="shared" si="6"/>
        <v>0</v>
      </c>
      <c r="G25" s="40" t="s">
        <v>97</v>
      </c>
      <c r="H25" s="40" t="s">
        <v>163</v>
      </c>
      <c r="I25" s="40" t="s">
        <v>154</v>
      </c>
      <c r="J25" s="23">
        <f>IF((informe!$J$2-N25)+1&gt;M25,M25,IF((informe!$J$2-N25)+1&lt;0,0,(informe!$J$2-N25)+1))</f>
        <v>0</v>
      </c>
      <c r="K25" s="63">
        <f>SUMIFS(informe!G:G,informe!A:A,presupuesto!B25)</f>
        <v>0</v>
      </c>
      <c r="L25" s="63">
        <f>SUMIFS(informe!F:F,informe!A:A,presupuesto!B25)</f>
        <v>0</v>
      </c>
      <c r="M25" s="23">
        <f t="shared" si="3"/>
        <v>58</v>
      </c>
      <c r="N25" s="23">
        <f t="shared" si="0"/>
        <v>45704</v>
      </c>
      <c r="O25" s="23">
        <f t="shared" si="1"/>
        <v>45761</v>
      </c>
      <c r="P25" s="23">
        <f t="shared" si="7"/>
        <v>0</v>
      </c>
      <c r="Q25" s="23">
        <f t="shared" si="4"/>
        <v>0</v>
      </c>
      <c r="R25" s="23">
        <f t="shared" si="2"/>
        <v>0</v>
      </c>
      <c r="S25" s="4"/>
      <c r="T25" s="4"/>
      <c r="U25" s="4"/>
    </row>
    <row r="26" spans="1:21" s="1" customFormat="1" ht="14.5" customHeight="1" x14ac:dyDescent="0.35">
      <c r="A26" s="44" t="s">
        <v>42</v>
      </c>
      <c r="B26" s="101" t="s">
        <v>105</v>
      </c>
      <c r="C26" s="44" t="s">
        <v>299</v>
      </c>
      <c r="D26" s="41"/>
      <c r="E26" s="41"/>
      <c r="F26" s="97">
        <f t="shared" si="6"/>
        <v>0</v>
      </c>
      <c r="G26" s="41" t="s">
        <v>164</v>
      </c>
      <c r="H26" s="41" t="s">
        <v>163</v>
      </c>
      <c r="I26" s="41" t="s">
        <v>165</v>
      </c>
      <c r="J26" s="23">
        <f>IF((informe!$J$2-N26)+1&gt;M26,M26,IF((informe!$J$2-N26)+1&lt;0,0,(informe!$J$2-N26)+1))</f>
        <v>0</v>
      </c>
      <c r="K26" s="63">
        <f>SUMIFS(informe!G:G,informe!A:A,presupuesto!B26)</f>
        <v>0</v>
      </c>
      <c r="L26" s="63">
        <f>SUMIFS(informe!F:F,informe!A:A,presupuesto!B26)</f>
        <v>0</v>
      </c>
      <c r="M26" s="23">
        <f t="shared" si="3"/>
        <v>45</v>
      </c>
      <c r="N26" s="23">
        <f t="shared" si="0"/>
        <v>45704</v>
      </c>
      <c r="O26" s="23">
        <f t="shared" si="1"/>
        <v>45748</v>
      </c>
      <c r="P26" s="23">
        <f t="shared" si="7"/>
        <v>0</v>
      </c>
      <c r="Q26" s="23">
        <f t="shared" si="4"/>
        <v>0</v>
      </c>
      <c r="R26" s="23">
        <f t="shared" si="2"/>
        <v>0</v>
      </c>
      <c r="S26" s="4"/>
      <c r="T26" s="4"/>
      <c r="U26" s="4"/>
    </row>
    <row r="27" spans="1:21" s="1" customFormat="1" ht="14.5" customHeight="1" x14ac:dyDescent="0.35">
      <c r="A27" s="46" t="s">
        <v>11</v>
      </c>
      <c r="B27" s="102">
        <v>14</v>
      </c>
      <c r="C27" s="46" t="s">
        <v>300</v>
      </c>
      <c r="D27" s="42" t="s">
        <v>28</v>
      </c>
      <c r="E27" s="42">
        <v>860.14</v>
      </c>
      <c r="F27" s="97" t="str">
        <f t="shared" si="6"/>
        <v>Tabla: Partida</v>
      </c>
      <c r="G27" s="42" t="s">
        <v>164</v>
      </c>
      <c r="H27" s="42" t="s">
        <v>163</v>
      </c>
      <c r="I27" s="42" t="s">
        <v>165</v>
      </c>
      <c r="J27" s="23">
        <f>IF((informe!$J$2-N27)+1&gt;M27,M27,IF((informe!$J$2-N27)+1&lt;0,0,(informe!$J$2-N27)+1))</f>
        <v>0</v>
      </c>
      <c r="K27" s="63" t="e">
        <f>SUMIFS(informe!G:G,informe!A:A,presupuesto!B27)</f>
        <v>#VALUE!</v>
      </c>
      <c r="L27" s="63">
        <f>SUMIFS(informe!F:F,informe!A:A,presupuesto!B27)</f>
        <v>0</v>
      </c>
      <c r="M27" s="23">
        <f t="shared" si="3"/>
        <v>45</v>
      </c>
      <c r="N27" s="23">
        <f t="shared" si="0"/>
        <v>45704</v>
      </c>
      <c r="O27" s="23">
        <f t="shared" si="1"/>
        <v>45748</v>
      </c>
      <c r="P27" s="23">
        <f t="shared" si="7"/>
        <v>0</v>
      </c>
      <c r="Q27" s="23">
        <f t="shared" si="4"/>
        <v>19.114222222222221</v>
      </c>
      <c r="R27" s="23">
        <f t="shared" si="2"/>
        <v>0</v>
      </c>
      <c r="S27" s="4"/>
      <c r="T27" s="4"/>
      <c r="U27" s="4"/>
    </row>
    <row r="28" spans="1:21" s="1" customFormat="1" ht="14.5" customHeight="1" x14ac:dyDescent="0.35">
      <c r="A28" s="46" t="s">
        <v>12</v>
      </c>
      <c r="B28" s="102">
        <v>15</v>
      </c>
      <c r="C28" s="46" t="s">
        <v>301</v>
      </c>
      <c r="D28" s="42" t="s">
        <v>28</v>
      </c>
      <c r="E28" s="42">
        <v>99.2</v>
      </c>
      <c r="F28" s="97" t="str">
        <f t="shared" si="6"/>
        <v>Tabla: Partida</v>
      </c>
      <c r="G28" s="42" t="s">
        <v>164</v>
      </c>
      <c r="H28" s="42" t="s">
        <v>163</v>
      </c>
      <c r="I28" s="42" t="s">
        <v>165</v>
      </c>
      <c r="J28" s="23">
        <f>IF((informe!$J$2-N28)+1&gt;M28,M28,IF((informe!$J$2-N28)+1&lt;0,0,(informe!$J$2-N28)+1))</f>
        <v>0</v>
      </c>
      <c r="K28" s="63" t="e">
        <f>SUMIFS(informe!G:G,informe!A:A,presupuesto!B28)</f>
        <v>#VALUE!</v>
      </c>
      <c r="L28" s="63">
        <f>SUMIFS(informe!F:F,informe!A:A,presupuesto!B28)</f>
        <v>0</v>
      </c>
      <c r="M28" s="23">
        <f t="shared" si="3"/>
        <v>45</v>
      </c>
      <c r="N28" s="23">
        <f t="shared" si="0"/>
        <v>45704</v>
      </c>
      <c r="O28" s="23">
        <f t="shared" si="1"/>
        <v>45748</v>
      </c>
      <c r="P28" s="23">
        <f t="shared" si="7"/>
        <v>0</v>
      </c>
      <c r="Q28" s="23">
        <f t="shared" si="4"/>
        <v>2.2044444444444444</v>
      </c>
      <c r="R28" s="23">
        <f t="shared" si="2"/>
        <v>0</v>
      </c>
      <c r="S28" s="4"/>
      <c r="T28" s="4"/>
      <c r="U28" s="4"/>
    </row>
    <row r="29" spans="1:21" s="1" customFormat="1" ht="14.5" customHeight="1" x14ac:dyDescent="0.35">
      <c r="A29" s="46" t="s">
        <v>13</v>
      </c>
      <c r="B29" s="102">
        <v>16</v>
      </c>
      <c r="C29" s="46" t="s">
        <v>302</v>
      </c>
      <c r="D29" s="42" t="s">
        <v>28</v>
      </c>
      <c r="E29" s="42">
        <v>754.44</v>
      </c>
      <c r="F29" s="97" t="str">
        <f t="shared" si="6"/>
        <v>Tabla: Partida</v>
      </c>
      <c r="G29" s="42" t="s">
        <v>164</v>
      </c>
      <c r="H29" s="42" t="s">
        <v>163</v>
      </c>
      <c r="I29" s="42" t="s">
        <v>165</v>
      </c>
      <c r="J29" s="23">
        <f>IF((informe!$J$2-N29)+1&gt;M29,M29,IF((informe!$J$2-N29)+1&lt;0,0,(informe!$J$2-N29)+1))</f>
        <v>0</v>
      </c>
      <c r="K29" s="63" t="e">
        <f>SUMIFS(informe!G:G,informe!A:A,presupuesto!B29)</f>
        <v>#VALUE!</v>
      </c>
      <c r="L29" s="63">
        <f>SUMIFS(informe!F:F,informe!A:A,presupuesto!B29)</f>
        <v>0</v>
      </c>
      <c r="M29" s="23">
        <f t="shared" si="3"/>
        <v>45</v>
      </c>
      <c r="N29" s="23">
        <f t="shared" si="0"/>
        <v>45704</v>
      </c>
      <c r="O29" s="23">
        <f t="shared" si="1"/>
        <v>45748</v>
      </c>
      <c r="P29" s="23">
        <f t="shared" si="7"/>
        <v>0</v>
      </c>
      <c r="Q29" s="23">
        <f t="shared" si="4"/>
        <v>16.765333333333334</v>
      </c>
      <c r="R29" s="23">
        <f t="shared" si="2"/>
        <v>0</v>
      </c>
      <c r="S29" s="4"/>
      <c r="T29" s="4"/>
      <c r="U29" s="4"/>
    </row>
    <row r="30" spans="1:21" s="1" customFormat="1" ht="14.5" customHeight="1" x14ac:dyDescent="0.35">
      <c r="A30" s="46" t="s">
        <v>303</v>
      </c>
      <c r="B30" s="102">
        <v>17</v>
      </c>
      <c r="C30" s="46" t="s">
        <v>304</v>
      </c>
      <c r="D30" s="42" t="s">
        <v>28</v>
      </c>
      <c r="E30" s="42">
        <v>288.31</v>
      </c>
      <c r="F30" s="97" t="str">
        <f t="shared" si="6"/>
        <v>Tabla: Partida</v>
      </c>
      <c r="G30" s="42" t="s">
        <v>164</v>
      </c>
      <c r="H30" s="42" t="s">
        <v>163</v>
      </c>
      <c r="I30" s="42" t="s">
        <v>165</v>
      </c>
      <c r="J30" s="23">
        <f>IF((informe!$J$2-N30)+1&gt;M30,M30,IF((informe!$J$2-N30)+1&lt;0,0,(informe!$J$2-N30)+1))</f>
        <v>0</v>
      </c>
      <c r="K30" s="63" t="e">
        <f>SUMIFS(informe!G:G,informe!A:A,presupuesto!B30)</f>
        <v>#VALUE!</v>
      </c>
      <c r="L30" s="63">
        <f>SUMIFS(informe!F:F,informe!A:A,presupuesto!B30)</f>
        <v>0</v>
      </c>
      <c r="M30" s="23">
        <f t="shared" si="3"/>
        <v>45</v>
      </c>
      <c r="N30" s="23">
        <f t="shared" si="0"/>
        <v>45704</v>
      </c>
      <c r="O30" s="23">
        <f t="shared" si="1"/>
        <v>45748</v>
      </c>
      <c r="P30" s="23">
        <f t="shared" si="7"/>
        <v>0</v>
      </c>
      <c r="Q30" s="23">
        <f t="shared" si="4"/>
        <v>6.4068888888888891</v>
      </c>
      <c r="R30" s="23">
        <f t="shared" si="2"/>
        <v>0</v>
      </c>
      <c r="S30" s="4"/>
      <c r="T30" s="4"/>
      <c r="U30" s="4"/>
    </row>
    <row r="31" spans="1:21" s="1" customFormat="1" ht="14.5" customHeight="1" x14ac:dyDescent="0.35">
      <c r="A31" s="44" t="s">
        <v>305</v>
      </c>
      <c r="B31" s="101" t="s">
        <v>112</v>
      </c>
      <c r="C31" s="44" t="s">
        <v>306</v>
      </c>
      <c r="D31" s="41"/>
      <c r="E31" s="41"/>
      <c r="F31" s="97">
        <f t="shared" si="6"/>
        <v>0</v>
      </c>
      <c r="G31" s="41" t="s">
        <v>166</v>
      </c>
      <c r="H31" s="41" t="s">
        <v>163</v>
      </c>
      <c r="I31" s="41" t="s">
        <v>167</v>
      </c>
      <c r="J31" s="23">
        <f>IF((informe!$J$2-N31)+1&gt;M31,M31,IF((informe!$J$2-N31)+1&lt;0,0,(informe!$J$2-N31)+1))</f>
        <v>0</v>
      </c>
      <c r="K31" s="63">
        <f>SUMIFS(informe!G:G,informe!A:A,presupuesto!B31)</f>
        <v>0</v>
      </c>
      <c r="L31" s="63">
        <f>SUMIFS(informe!F:F,informe!A:A,presupuesto!B31)</f>
        <v>0</v>
      </c>
      <c r="M31" s="23">
        <f t="shared" si="3"/>
        <v>52</v>
      </c>
      <c r="N31" s="23">
        <f t="shared" si="0"/>
        <v>45704</v>
      </c>
      <c r="O31" s="23">
        <f t="shared" si="1"/>
        <v>45755</v>
      </c>
      <c r="P31" s="23">
        <f t="shared" si="7"/>
        <v>0</v>
      </c>
      <c r="Q31" s="23">
        <f t="shared" si="4"/>
        <v>0</v>
      </c>
      <c r="R31" s="23">
        <f t="shared" si="2"/>
        <v>0</v>
      </c>
      <c r="S31" s="4"/>
      <c r="T31" s="4"/>
      <c r="U31" s="4"/>
    </row>
    <row r="32" spans="1:21" s="1" customFormat="1" ht="14.5" customHeight="1" x14ac:dyDescent="0.35">
      <c r="A32" s="44" t="s">
        <v>307</v>
      </c>
      <c r="B32" s="101" t="s">
        <v>113</v>
      </c>
      <c r="C32" s="44" t="s">
        <v>308</v>
      </c>
      <c r="D32" s="41"/>
      <c r="E32" s="41"/>
      <c r="F32" s="97">
        <f t="shared" si="6"/>
        <v>0</v>
      </c>
      <c r="G32" s="41" t="s">
        <v>164</v>
      </c>
      <c r="H32" s="41" t="s">
        <v>163</v>
      </c>
      <c r="I32" s="41" t="s">
        <v>168</v>
      </c>
      <c r="J32" s="23">
        <f>IF((informe!$J$2-N32)+1&gt;M32,M32,IF((informe!$J$2-N32)+1&lt;0,0,(informe!$J$2-N32)+1))</f>
        <v>0</v>
      </c>
      <c r="K32" s="63">
        <f>SUMIFS(informe!G:G,informe!A:A,presupuesto!B32)</f>
        <v>0</v>
      </c>
      <c r="L32" s="63">
        <f>SUMIFS(informe!F:F,informe!A:A,presupuesto!B32)</f>
        <v>0</v>
      </c>
      <c r="M32" s="23">
        <f t="shared" si="3"/>
        <v>46</v>
      </c>
      <c r="N32" s="23">
        <f t="shared" si="0"/>
        <v>45704</v>
      </c>
      <c r="O32" s="23">
        <f t="shared" si="1"/>
        <v>45749</v>
      </c>
      <c r="P32" s="23">
        <f t="shared" si="7"/>
        <v>0</v>
      </c>
      <c r="Q32" s="23">
        <f t="shared" si="4"/>
        <v>0</v>
      </c>
      <c r="R32" s="23">
        <f t="shared" si="2"/>
        <v>0</v>
      </c>
      <c r="S32" s="4"/>
      <c r="T32" s="4"/>
      <c r="U32" s="4"/>
    </row>
    <row r="33" spans="1:21" s="1" customFormat="1" ht="14.5" customHeight="1" x14ac:dyDescent="0.35">
      <c r="A33" s="46" t="s">
        <v>309</v>
      </c>
      <c r="B33" s="102">
        <v>18</v>
      </c>
      <c r="C33" s="46" t="s">
        <v>310</v>
      </c>
      <c r="D33" s="42" t="s">
        <v>114</v>
      </c>
      <c r="E33" s="42">
        <v>1470</v>
      </c>
      <c r="F33" s="97" t="str">
        <f t="shared" si="6"/>
        <v>Tabla: Partida</v>
      </c>
      <c r="G33" s="42" t="s">
        <v>164</v>
      </c>
      <c r="H33" s="42" t="s">
        <v>163</v>
      </c>
      <c r="I33" s="42" t="s">
        <v>168</v>
      </c>
      <c r="J33" s="23">
        <f>IF((informe!$J$2-N33)+1&gt;M33,M33,IF((informe!$J$2-N33)+1&lt;0,0,(informe!$J$2-N33)+1))</f>
        <v>0</v>
      </c>
      <c r="K33" s="63" t="e">
        <f>SUMIFS(informe!G:G,informe!A:A,presupuesto!B33)</f>
        <v>#VALUE!</v>
      </c>
      <c r="L33" s="63">
        <f>SUMIFS(informe!F:F,informe!A:A,presupuesto!B33)</f>
        <v>0</v>
      </c>
      <c r="M33" s="23">
        <f t="shared" si="3"/>
        <v>46</v>
      </c>
      <c r="N33" s="23">
        <f t="shared" si="0"/>
        <v>45704</v>
      </c>
      <c r="O33" s="23">
        <f t="shared" si="1"/>
        <v>45749</v>
      </c>
      <c r="P33" s="23">
        <f t="shared" si="7"/>
        <v>0</v>
      </c>
      <c r="Q33" s="23">
        <f t="shared" si="4"/>
        <v>31.956521739130434</v>
      </c>
      <c r="R33" s="23">
        <f t="shared" si="2"/>
        <v>0</v>
      </c>
      <c r="S33" s="4"/>
      <c r="T33" s="4"/>
      <c r="U33" s="4"/>
    </row>
    <row r="34" spans="1:21" s="1" customFormat="1" ht="14.5" customHeight="1" x14ac:dyDescent="0.35">
      <c r="A34" s="44" t="s">
        <v>311</v>
      </c>
      <c r="B34" s="101" t="s">
        <v>115</v>
      </c>
      <c r="C34" s="44" t="s">
        <v>312</v>
      </c>
      <c r="D34" s="41"/>
      <c r="E34" s="41"/>
      <c r="F34" s="97">
        <f t="shared" si="6"/>
        <v>0</v>
      </c>
      <c r="G34" s="41" t="s">
        <v>99</v>
      </c>
      <c r="H34" s="41" t="s">
        <v>169</v>
      </c>
      <c r="I34" s="41" t="s">
        <v>168</v>
      </c>
      <c r="J34" s="23">
        <f>IF((informe!$J$2-N34)+1&gt;M34,M34,IF((informe!$J$2-N34)+1&lt;0,0,(informe!$J$2-N34)+1))</f>
        <v>0</v>
      </c>
      <c r="K34" s="63">
        <f>SUMIFS(informe!G:G,informe!A:A,presupuesto!B34)</f>
        <v>0</v>
      </c>
      <c r="L34" s="63">
        <f>SUMIFS(informe!F:F,informe!A:A,presupuesto!B34)</f>
        <v>0</v>
      </c>
      <c r="M34" s="23">
        <f t="shared" si="3"/>
        <v>8</v>
      </c>
      <c r="N34" s="23">
        <f t="shared" si="0"/>
        <v>45742</v>
      </c>
      <c r="O34" s="23">
        <f t="shared" si="1"/>
        <v>45749</v>
      </c>
      <c r="P34" s="23">
        <f t="shared" si="7"/>
        <v>0</v>
      </c>
      <c r="Q34" s="23">
        <f t="shared" si="4"/>
        <v>0</v>
      </c>
      <c r="R34" s="23">
        <f t="shared" si="2"/>
        <v>0</v>
      </c>
      <c r="S34" s="4"/>
      <c r="T34" s="4"/>
      <c r="U34" s="4"/>
    </row>
    <row r="35" spans="1:21" s="1" customFormat="1" ht="14.5" customHeight="1" x14ac:dyDescent="0.35">
      <c r="A35" s="46" t="s">
        <v>313</v>
      </c>
      <c r="B35" s="102">
        <v>19</v>
      </c>
      <c r="C35" s="46" t="s">
        <v>314</v>
      </c>
      <c r="D35" s="42" t="s">
        <v>114</v>
      </c>
      <c r="E35" s="42">
        <v>23</v>
      </c>
      <c r="F35" s="97" t="str">
        <f t="shared" si="6"/>
        <v>Tabla: Partida</v>
      </c>
      <c r="G35" s="42" t="s">
        <v>99</v>
      </c>
      <c r="H35" s="42" t="s">
        <v>169</v>
      </c>
      <c r="I35" s="42" t="s">
        <v>168</v>
      </c>
      <c r="J35" s="23">
        <f>IF((informe!$J$2-N35)+1&gt;M35,M35,IF((informe!$J$2-N35)+1&lt;0,0,(informe!$J$2-N35)+1))</f>
        <v>0</v>
      </c>
      <c r="K35" s="63" t="e">
        <f>SUMIFS(informe!G:G,informe!A:A,presupuesto!B35)</f>
        <v>#VALUE!</v>
      </c>
      <c r="L35" s="63">
        <f>SUMIFS(informe!F:F,informe!A:A,presupuesto!B35)</f>
        <v>0</v>
      </c>
      <c r="M35" s="23">
        <f t="shared" si="3"/>
        <v>8</v>
      </c>
      <c r="N35" s="23">
        <f t="shared" ref="N35:N66" si="8">DATEVALUE(RIGHT(H35,8))</f>
        <v>45742</v>
      </c>
      <c r="O35" s="23">
        <f t="shared" ref="O35:O66" si="9">DATEVALUE(RIGHT(I35,8))</f>
        <v>45749</v>
      </c>
      <c r="P35" s="23">
        <f t="shared" si="7"/>
        <v>0</v>
      </c>
      <c r="Q35" s="23">
        <f t="shared" si="4"/>
        <v>2.875</v>
      </c>
      <c r="R35" s="23">
        <f t="shared" ref="R35:R66" si="10">IFERROR(((IF(($R$1-$N35)+1&gt;$M35,$M35,IF(($R$1-$N35)+1&lt;0,0,($R$1-$N35)+1)))*$P35*1)/$L35,0)</f>
        <v>0</v>
      </c>
      <c r="S35" s="4"/>
      <c r="T35" s="4"/>
      <c r="U35" s="4"/>
    </row>
    <row r="36" spans="1:21" s="1" customFormat="1" ht="14.5" customHeight="1" x14ac:dyDescent="0.35">
      <c r="A36" s="44" t="s">
        <v>315</v>
      </c>
      <c r="B36" s="101" t="s">
        <v>116</v>
      </c>
      <c r="C36" s="44" t="s">
        <v>316</v>
      </c>
      <c r="D36" s="41"/>
      <c r="E36" s="41"/>
      <c r="F36" s="97">
        <f t="shared" si="6"/>
        <v>0</v>
      </c>
      <c r="G36" s="41" t="s">
        <v>7</v>
      </c>
      <c r="H36" s="41" t="s">
        <v>138</v>
      </c>
      <c r="I36" s="41" t="s">
        <v>167</v>
      </c>
      <c r="J36" s="23">
        <f>IF((informe!$J$2-N36)+1&gt;M36,M36,IF((informe!$J$2-N36)+1&lt;0,0,(informe!$J$2-N36)+1))</f>
        <v>0</v>
      </c>
      <c r="K36" s="63">
        <f>SUMIFS(informe!G:G,informe!A:A,presupuesto!B36)</f>
        <v>0</v>
      </c>
      <c r="L36" s="63">
        <f>SUMIFS(informe!F:F,informe!A:A,presupuesto!B36)</f>
        <v>0</v>
      </c>
      <c r="M36" s="23">
        <f t="shared" si="3"/>
        <v>30</v>
      </c>
      <c r="N36" s="23">
        <f t="shared" si="8"/>
        <v>45726</v>
      </c>
      <c r="O36" s="23">
        <f t="shared" si="9"/>
        <v>45755</v>
      </c>
      <c r="P36" s="23">
        <f t="shared" si="7"/>
        <v>0</v>
      </c>
      <c r="Q36" s="23">
        <f t="shared" si="4"/>
        <v>0</v>
      </c>
      <c r="R36" s="23">
        <f t="shared" si="10"/>
        <v>0</v>
      </c>
      <c r="S36" s="4"/>
      <c r="T36" s="4"/>
      <c r="U36" s="4"/>
    </row>
    <row r="37" spans="1:21" s="1" customFormat="1" ht="14.5" customHeight="1" x14ac:dyDescent="0.35">
      <c r="A37" s="46" t="s">
        <v>317</v>
      </c>
      <c r="B37" s="102">
        <v>20</v>
      </c>
      <c r="C37" s="46" t="s">
        <v>318</v>
      </c>
      <c r="D37" s="42" t="s">
        <v>117</v>
      </c>
      <c r="E37" s="42">
        <v>9.3000000000000007</v>
      </c>
      <c r="F37" s="97" t="str">
        <f t="shared" si="6"/>
        <v>Tabla: Partida</v>
      </c>
      <c r="G37" s="42" t="s">
        <v>170</v>
      </c>
      <c r="H37" s="42" t="s">
        <v>171</v>
      </c>
      <c r="I37" s="42" t="s">
        <v>168</v>
      </c>
      <c r="J37" s="23">
        <f>IF((informe!$J$2-N37)+1&gt;M37,M37,IF((informe!$J$2-N37)+1&lt;0,0,(informe!$J$2-N37)+1))</f>
        <v>0</v>
      </c>
      <c r="K37" s="63" t="e">
        <f>SUMIFS(informe!G:G,informe!A:A,presupuesto!B37)</f>
        <v>#VALUE!</v>
      </c>
      <c r="L37" s="63">
        <f>SUMIFS(informe!F:F,informe!A:A,presupuesto!B37)</f>
        <v>0</v>
      </c>
      <c r="M37" s="23">
        <f t="shared" si="3"/>
        <v>11</v>
      </c>
      <c r="N37" s="23">
        <f t="shared" si="8"/>
        <v>45739</v>
      </c>
      <c r="O37" s="23">
        <f t="shared" si="9"/>
        <v>45749</v>
      </c>
      <c r="P37" s="23">
        <f t="shared" ref="P37:P68" si="11">L37/M37</f>
        <v>0</v>
      </c>
      <c r="Q37" s="23">
        <f t="shared" si="4"/>
        <v>0.84545454545454557</v>
      </c>
      <c r="R37" s="23">
        <f t="shared" si="10"/>
        <v>0</v>
      </c>
      <c r="S37" s="4"/>
      <c r="T37" s="4"/>
      <c r="U37" s="4"/>
    </row>
    <row r="38" spans="1:21" s="1" customFormat="1" ht="14.5" customHeight="1" x14ac:dyDescent="0.35">
      <c r="A38" s="46" t="s">
        <v>319</v>
      </c>
      <c r="B38" s="102">
        <v>21</v>
      </c>
      <c r="C38" s="46" t="s">
        <v>320</v>
      </c>
      <c r="D38" s="42" t="s">
        <v>109</v>
      </c>
      <c r="E38" s="42">
        <v>118.6</v>
      </c>
      <c r="F38" s="97" t="str">
        <f t="shared" si="6"/>
        <v>Tabla: Partida</v>
      </c>
      <c r="G38" s="42" t="s">
        <v>7</v>
      </c>
      <c r="H38" s="42" t="s">
        <v>138</v>
      </c>
      <c r="I38" s="42" t="s">
        <v>167</v>
      </c>
      <c r="J38" s="23">
        <f>IF((informe!$J$2-N38)+1&gt;M38,M38,IF((informe!$J$2-N38)+1&lt;0,0,(informe!$J$2-N38)+1))</f>
        <v>0</v>
      </c>
      <c r="K38" s="63" t="e">
        <f>SUMIFS(informe!G:G,informe!A:A,presupuesto!B38)</f>
        <v>#VALUE!</v>
      </c>
      <c r="L38" s="63">
        <f>SUMIFS(informe!F:F,informe!A:A,presupuesto!B38)</f>
        <v>0</v>
      </c>
      <c r="M38" s="23">
        <f t="shared" si="3"/>
        <v>30</v>
      </c>
      <c r="N38" s="23">
        <f t="shared" si="8"/>
        <v>45726</v>
      </c>
      <c r="O38" s="23">
        <f t="shared" si="9"/>
        <v>45755</v>
      </c>
      <c r="P38" s="23">
        <f t="shared" si="11"/>
        <v>0</v>
      </c>
      <c r="Q38" s="23">
        <f t="shared" si="4"/>
        <v>3.9533333333333331</v>
      </c>
      <c r="R38" s="23">
        <f t="shared" si="10"/>
        <v>0</v>
      </c>
      <c r="S38" s="4"/>
      <c r="T38" s="4"/>
      <c r="U38" s="4"/>
    </row>
    <row r="39" spans="1:21" s="1" customFormat="1" ht="14.5" customHeight="1" x14ac:dyDescent="0.35">
      <c r="A39" s="46" t="s">
        <v>321</v>
      </c>
      <c r="B39" s="102">
        <v>22</v>
      </c>
      <c r="C39" s="46" t="s">
        <v>322</v>
      </c>
      <c r="D39" s="42" t="s">
        <v>117</v>
      </c>
      <c r="E39" s="42">
        <v>11.6</v>
      </c>
      <c r="F39" s="97" t="str">
        <f t="shared" si="6"/>
        <v>Tabla: Partida</v>
      </c>
      <c r="G39" s="42" t="s">
        <v>99</v>
      </c>
      <c r="H39" s="42" t="s">
        <v>138</v>
      </c>
      <c r="I39" s="42" t="s">
        <v>141</v>
      </c>
      <c r="J39" s="23">
        <f>IF((informe!$J$2-N39)+1&gt;M39,M39,IF((informe!$J$2-N39)+1&lt;0,0,(informe!$J$2-N39)+1))</f>
        <v>0</v>
      </c>
      <c r="K39" s="63" t="e">
        <f>SUMIFS(informe!G:G,informe!A:A,presupuesto!B39)</f>
        <v>#VALUE!</v>
      </c>
      <c r="L39" s="63">
        <f>SUMIFS(informe!F:F,informe!A:A,presupuesto!B39)</f>
        <v>0</v>
      </c>
      <c r="M39" s="23">
        <f t="shared" si="3"/>
        <v>7</v>
      </c>
      <c r="N39" s="23">
        <f t="shared" si="8"/>
        <v>45726</v>
      </c>
      <c r="O39" s="23">
        <f t="shared" si="9"/>
        <v>45732</v>
      </c>
      <c r="P39" s="23">
        <f t="shared" si="11"/>
        <v>0</v>
      </c>
      <c r="Q39" s="23">
        <f t="shared" si="4"/>
        <v>1.657142857142857</v>
      </c>
      <c r="R39" s="23">
        <f t="shared" si="10"/>
        <v>0</v>
      </c>
      <c r="S39" s="4"/>
      <c r="T39" s="4"/>
      <c r="U39" s="4"/>
    </row>
    <row r="40" spans="1:21" s="1" customFormat="1" ht="14.5" customHeight="1" x14ac:dyDescent="0.35">
      <c r="A40" s="46" t="s">
        <v>323</v>
      </c>
      <c r="B40" s="102">
        <v>23</v>
      </c>
      <c r="C40" s="46" t="s">
        <v>324</v>
      </c>
      <c r="D40" s="42" t="s">
        <v>109</v>
      </c>
      <c r="E40" s="42">
        <v>38</v>
      </c>
      <c r="F40" s="97" t="str">
        <f t="shared" si="6"/>
        <v>Tabla: Partida</v>
      </c>
      <c r="G40" s="42" t="s">
        <v>172</v>
      </c>
      <c r="H40" s="42" t="s">
        <v>173</v>
      </c>
      <c r="I40" s="42" t="s">
        <v>167</v>
      </c>
      <c r="J40" s="23">
        <f>IF((informe!$J$2-N40)+1&gt;M40,M40,IF((informe!$J$2-N40)+1&lt;0,0,(informe!$J$2-N40)+1))</f>
        <v>0</v>
      </c>
      <c r="K40" s="63" t="e">
        <f>SUMIFS(informe!G:G,informe!A:A,presupuesto!B40)</f>
        <v>#VALUE!</v>
      </c>
      <c r="L40" s="63">
        <f>SUMIFS(informe!F:F,informe!A:A,presupuesto!B40)</f>
        <v>0</v>
      </c>
      <c r="M40" s="23">
        <f t="shared" si="3"/>
        <v>5</v>
      </c>
      <c r="N40" s="23">
        <f t="shared" si="8"/>
        <v>45751</v>
      </c>
      <c r="O40" s="23">
        <f t="shared" si="9"/>
        <v>45755</v>
      </c>
      <c r="P40" s="23">
        <f t="shared" si="11"/>
        <v>0</v>
      </c>
      <c r="Q40" s="23">
        <f t="shared" si="4"/>
        <v>7.6</v>
      </c>
      <c r="R40" s="23">
        <f t="shared" si="10"/>
        <v>0</v>
      </c>
      <c r="S40" s="4"/>
      <c r="T40" s="4"/>
      <c r="U40" s="4"/>
    </row>
    <row r="41" spans="1:21" s="1" customFormat="1" ht="14.5" customHeight="1" x14ac:dyDescent="0.35">
      <c r="A41" s="44" t="s">
        <v>325</v>
      </c>
      <c r="B41" s="101" t="s">
        <v>118</v>
      </c>
      <c r="C41" s="44" t="s">
        <v>326</v>
      </c>
      <c r="D41" s="41"/>
      <c r="E41" s="41"/>
      <c r="F41" s="97">
        <f t="shared" si="6"/>
        <v>0</v>
      </c>
      <c r="G41" s="41" t="s">
        <v>174</v>
      </c>
      <c r="H41" s="41" t="s">
        <v>171</v>
      </c>
      <c r="I41" s="41" t="s">
        <v>167</v>
      </c>
      <c r="J41" s="23">
        <f>IF((informe!$J$2-N41)+1&gt;M41,M41,IF((informe!$J$2-N41)+1&lt;0,0,(informe!$J$2-N41)+1))</f>
        <v>0</v>
      </c>
      <c r="K41" s="63">
        <f>SUMIFS(informe!G:G,informe!A:A,presupuesto!B41)</f>
        <v>0</v>
      </c>
      <c r="L41" s="63">
        <f>SUMIFS(informe!F:F,informe!A:A,presupuesto!B41)</f>
        <v>0</v>
      </c>
      <c r="M41" s="23">
        <f t="shared" si="3"/>
        <v>17</v>
      </c>
      <c r="N41" s="23">
        <f t="shared" si="8"/>
        <v>45739</v>
      </c>
      <c r="O41" s="23">
        <f t="shared" si="9"/>
        <v>45755</v>
      </c>
      <c r="P41" s="23">
        <f t="shared" si="11"/>
        <v>0</v>
      </c>
      <c r="Q41" s="23">
        <f t="shared" si="4"/>
        <v>0</v>
      </c>
      <c r="R41" s="23">
        <f t="shared" si="10"/>
        <v>0</v>
      </c>
      <c r="S41" s="4"/>
      <c r="T41" s="4"/>
      <c r="U41" s="4"/>
    </row>
    <row r="42" spans="1:21" s="1" customFormat="1" ht="14.5" customHeight="1" x14ac:dyDescent="0.35">
      <c r="A42" s="46" t="s">
        <v>327</v>
      </c>
      <c r="B42" s="102">
        <v>24</v>
      </c>
      <c r="C42" s="46" t="s">
        <v>328</v>
      </c>
      <c r="D42" s="42" t="s">
        <v>38</v>
      </c>
      <c r="E42" s="42">
        <v>12</v>
      </c>
      <c r="F42" s="97" t="str">
        <f t="shared" si="6"/>
        <v>Tabla: Partida</v>
      </c>
      <c r="G42" s="42" t="s">
        <v>170</v>
      </c>
      <c r="H42" s="42" t="s">
        <v>171</v>
      </c>
      <c r="I42" s="42" t="s">
        <v>165</v>
      </c>
      <c r="J42" s="23">
        <f>IF((informe!$J$2-N42)+1&gt;M42,M42,IF((informe!$J$2-N42)+1&lt;0,0,(informe!$J$2-N42)+1))</f>
        <v>0</v>
      </c>
      <c r="K42" s="63" t="e">
        <f>SUMIFS(informe!G:G,informe!A:A,presupuesto!B42)</f>
        <v>#VALUE!</v>
      </c>
      <c r="L42" s="63">
        <f>SUMIFS(informe!F:F,informe!A:A,presupuesto!B42)</f>
        <v>0</v>
      </c>
      <c r="M42" s="23">
        <f t="shared" si="3"/>
        <v>10</v>
      </c>
      <c r="N42" s="23">
        <f t="shared" si="8"/>
        <v>45739</v>
      </c>
      <c r="O42" s="23">
        <f t="shared" si="9"/>
        <v>45748</v>
      </c>
      <c r="P42" s="23">
        <f t="shared" si="11"/>
        <v>0</v>
      </c>
      <c r="Q42" s="23">
        <f t="shared" si="4"/>
        <v>1.2</v>
      </c>
      <c r="R42" s="23">
        <f t="shared" si="10"/>
        <v>0</v>
      </c>
      <c r="S42" s="4"/>
      <c r="T42" s="4"/>
      <c r="U42" s="4"/>
    </row>
    <row r="43" spans="1:21" s="1" customFormat="1" ht="14.5" customHeight="1" x14ac:dyDescent="0.35">
      <c r="A43" s="46" t="s">
        <v>329</v>
      </c>
      <c r="B43" s="102">
        <v>25</v>
      </c>
      <c r="C43" s="46" t="s">
        <v>330</v>
      </c>
      <c r="D43" s="42" t="s">
        <v>38</v>
      </c>
      <c r="E43" s="42">
        <v>12</v>
      </c>
      <c r="F43" s="97" t="str">
        <f t="shared" si="6"/>
        <v>Tabla: Partida</v>
      </c>
      <c r="G43" s="42" t="s">
        <v>139</v>
      </c>
      <c r="H43" s="42" t="s">
        <v>175</v>
      </c>
      <c r="I43" s="42" t="s">
        <v>167</v>
      </c>
      <c r="J43" s="23">
        <f>IF((informe!$J$2-N43)+1&gt;M43,M43,IF((informe!$J$2-N43)+1&lt;0,0,(informe!$J$2-N43)+1))</f>
        <v>0</v>
      </c>
      <c r="K43" s="63" t="e">
        <f>SUMIFS(informe!G:G,informe!A:A,presupuesto!B43)</f>
        <v>#VALUE!</v>
      </c>
      <c r="L43" s="63">
        <f>SUMIFS(informe!F:F,informe!A:A,presupuesto!B43)</f>
        <v>0</v>
      </c>
      <c r="M43" s="23">
        <f t="shared" si="3"/>
        <v>6</v>
      </c>
      <c r="N43" s="23">
        <f t="shared" si="8"/>
        <v>45750</v>
      </c>
      <c r="O43" s="23">
        <f t="shared" si="9"/>
        <v>45755</v>
      </c>
      <c r="P43" s="23">
        <f t="shared" si="11"/>
        <v>0</v>
      </c>
      <c r="Q43" s="23">
        <f t="shared" si="4"/>
        <v>2</v>
      </c>
      <c r="R43" s="23">
        <f t="shared" si="10"/>
        <v>0</v>
      </c>
      <c r="S43" s="4"/>
      <c r="T43" s="4"/>
      <c r="U43" s="4"/>
    </row>
    <row r="44" spans="1:21" s="1" customFormat="1" ht="14.5" customHeight="1" x14ac:dyDescent="0.35">
      <c r="A44" s="46" t="s">
        <v>331</v>
      </c>
      <c r="B44" s="102">
        <v>26</v>
      </c>
      <c r="C44" s="46" t="s">
        <v>332</v>
      </c>
      <c r="D44" s="42" t="s">
        <v>38</v>
      </c>
      <c r="E44" s="42">
        <v>2</v>
      </c>
      <c r="F44" s="97" t="str">
        <f t="shared" si="6"/>
        <v>Tabla: Partida</v>
      </c>
      <c r="G44" s="42" t="s">
        <v>172</v>
      </c>
      <c r="H44" s="42" t="s">
        <v>173</v>
      </c>
      <c r="I44" s="42" t="s">
        <v>167</v>
      </c>
      <c r="J44" s="23">
        <f>IF((informe!$J$2-N44)+1&gt;M44,M44,IF((informe!$J$2-N44)+1&lt;0,0,(informe!$J$2-N44)+1))</f>
        <v>0</v>
      </c>
      <c r="K44" s="63" t="e">
        <f>SUMIFS(informe!G:G,informe!A:A,presupuesto!B44)</f>
        <v>#VALUE!</v>
      </c>
      <c r="L44" s="63">
        <f>SUMIFS(informe!F:F,informe!A:A,presupuesto!B44)</f>
        <v>0</v>
      </c>
      <c r="M44" s="23">
        <f t="shared" si="3"/>
        <v>5</v>
      </c>
      <c r="N44" s="23">
        <f t="shared" si="8"/>
        <v>45751</v>
      </c>
      <c r="O44" s="23">
        <f t="shared" si="9"/>
        <v>45755</v>
      </c>
      <c r="P44" s="23">
        <f t="shared" si="11"/>
        <v>0</v>
      </c>
      <c r="Q44" s="23">
        <f t="shared" si="4"/>
        <v>0.4</v>
      </c>
      <c r="R44" s="23">
        <f t="shared" si="10"/>
        <v>0</v>
      </c>
      <c r="S44" s="4"/>
      <c r="T44" s="4"/>
      <c r="U44" s="4"/>
    </row>
    <row r="45" spans="1:21" s="1" customFormat="1" ht="14.5" customHeight="1" x14ac:dyDescent="0.35">
      <c r="A45" s="44" t="s">
        <v>333</v>
      </c>
      <c r="B45" s="101" t="s">
        <v>36</v>
      </c>
      <c r="C45" s="44" t="s">
        <v>289</v>
      </c>
      <c r="D45" s="41"/>
      <c r="E45" s="41"/>
      <c r="F45" s="97">
        <f t="shared" si="6"/>
        <v>0</v>
      </c>
      <c r="G45" s="41" t="s">
        <v>176</v>
      </c>
      <c r="H45" s="41" t="s">
        <v>138</v>
      </c>
      <c r="I45" s="41" t="s">
        <v>154</v>
      </c>
      <c r="J45" s="23">
        <f>IF((informe!$J$2-N45)+1&gt;M45,M45,IF((informe!$J$2-N45)+1&lt;0,0,(informe!$J$2-N45)+1))</f>
        <v>0</v>
      </c>
      <c r="K45" s="63">
        <f>SUMIFS(informe!G:G,informe!A:A,presupuesto!B45)</f>
        <v>0</v>
      </c>
      <c r="L45" s="63">
        <f>SUMIFS(informe!F:F,informe!A:A,presupuesto!B45)</f>
        <v>0</v>
      </c>
      <c r="M45" s="23">
        <f t="shared" si="3"/>
        <v>36</v>
      </c>
      <c r="N45" s="23">
        <f t="shared" si="8"/>
        <v>45726</v>
      </c>
      <c r="O45" s="23">
        <f t="shared" si="9"/>
        <v>45761</v>
      </c>
      <c r="P45" s="23">
        <f t="shared" si="11"/>
        <v>0</v>
      </c>
      <c r="Q45" s="23">
        <f t="shared" si="4"/>
        <v>0</v>
      </c>
      <c r="R45" s="23">
        <f t="shared" si="10"/>
        <v>0</v>
      </c>
      <c r="S45" s="4"/>
      <c r="T45" s="4"/>
      <c r="U45" s="4"/>
    </row>
    <row r="46" spans="1:21" s="1" customFormat="1" ht="14.5" customHeight="1" x14ac:dyDescent="0.35">
      <c r="A46" s="46" t="s">
        <v>334</v>
      </c>
      <c r="B46" s="102">
        <v>27</v>
      </c>
      <c r="C46" s="46" t="s">
        <v>335</v>
      </c>
      <c r="D46" s="42" t="s">
        <v>37</v>
      </c>
      <c r="E46" s="42">
        <v>6</v>
      </c>
      <c r="F46" s="97" t="str">
        <f t="shared" si="6"/>
        <v>Tabla: Partida</v>
      </c>
      <c r="G46" s="42" t="s">
        <v>139</v>
      </c>
      <c r="H46" s="42" t="s">
        <v>177</v>
      </c>
      <c r="I46" s="42" t="s">
        <v>154</v>
      </c>
      <c r="J46" s="23">
        <f>IF((informe!$J$2-N46)+1&gt;M46,M46,IF((informe!$J$2-N46)+1&lt;0,0,(informe!$J$2-N46)+1))</f>
        <v>0</v>
      </c>
      <c r="K46" s="63" t="e">
        <f>SUMIFS(informe!G:G,informe!A:A,presupuesto!B46)</f>
        <v>#VALUE!</v>
      </c>
      <c r="L46" s="63">
        <f>SUMIFS(informe!F:F,informe!A:A,presupuesto!B46)</f>
        <v>0</v>
      </c>
      <c r="M46" s="23">
        <f t="shared" si="3"/>
        <v>6</v>
      </c>
      <c r="N46" s="23">
        <f t="shared" si="8"/>
        <v>45756</v>
      </c>
      <c r="O46" s="23">
        <f t="shared" si="9"/>
        <v>45761</v>
      </c>
      <c r="P46" s="23">
        <f t="shared" si="11"/>
        <v>0</v>
      </c>
      <c r="Q46" s="23">
        <f t="shared" si="4"/>
        <v>1</v>
      </c>
      <c r="R46" s="23">
        <f t="shared" si="10"/>
        <v>0</v>
      </c>
      <c r="S46" s="4"/>
      <c r="T46" s="4"/>
      <c r="U46" s="4"/>
    </row>
    <row r="47" spans="1:21" s="1" customFormat="1" ht="14.5" customHeight="1" x14ac:dyDescent="0.35">
      <c r="A47" s="46" t="s">
        <v>336</v>
      </c>
      <c r="B47" s="102">
        <v>28</v>
      </c>
      <c r="C47" s="46" t="s">
        <v>337</v>
      </c>
      <c r="D47" s="42" t="s">
        <v>37</v>
      </c>
      <c r="E47" s="42">
        <v>2</v>
      </c>
      <c r="F47" s="97" t="str">
        <f t="shared" si="6"/>
        <v>Tabla: Partida</v>
      </c>
      <c r="G47" s="42" t="s">
        <v>7</v>
      </c>
      <c r="H47" s="42" t="s">
        <v>138</v>
      </c>
      <c r="I47" s="42" t="s">
        <v>167</v>
      </c>
      <c r="J47" s="23">
        <f>IF((informe!$J$2-N47)+1&gt;M47,M47,IF((informe!$J$2-N47)+1&lt;0,0,(informe!$J$2-N47)+1))</f>
        <v>0</v>
      </c>
      <c r="K47" s="63" t="e">
        <f>SUMIFS(informe!G:G,informe!A:A,presupuesto!B47)</f>
        <v>#VALUE!</v>
      </c>
      <c r="L47" s="63">
        <f>SUMIFS(informe!F:F,informe!A:A,presupuesto!B47)</f>
        <v>0</v>
      </c>
      <c r="M47" s="23">
        <f t="shared" si="3"/>
        <v>30</v>
      </c>
      <c r="N47" s="23">
        <f t="shared" si="8"/>
        <v>45726</v>
      </c>
      <c r="O47" s="23">
        <f t="shared" si="9"/>
        <v>45755</v>
      </c>
      <c r="P47" s="23">
        <f t="shared" si="11"/>
        <v>0</v>
      </c>
      <c r="Q47" s="23">
        <f t="shared" si="4"/>
        <v>6.6666666666666666E-2</v>
      </c>
      <c r="R47" s="23">
        <f t="shared" si="10"/>
        <v>0</v>
      </c>
      <c r="S47" s="4"/>
      <c r="T47" s="4"/>
      <c r="U47" s="4"/>
    </row>
    <row r="48" spans="1:21" s="1" customFormat="1" ht="14.5" customHeight="1" x14ac:dyDescent="0.35">
      <c r="A48" s="45" t="s">
        <v>43</v>
      </c>
      <c r="B48" s="100"/>
      <c r="C48" s="45" t="s">
        <v>338</v>
      </c>
      <c r="D48" s="40"/>
      <c r="E48" s="40"/>
      <c r="F48" s="97">
        <f t="shared" si="6"/>
        <v>0</v>
      </c>
      <c r="G48" s="40" t="s">
        <v>178</v>
      </c>
      <c r="H48" s="40" t="s">
        <v>179</v>
      </c>
      <c r="I48" s="40" t="s">
        <v>180</v>
      </c>
      <c r="J48" s="23">
        <f>IF((informe!$J$2-N48)+1&gt;M48,M48,IF((informe!$J$2-N48)+1&lt;0,0,(informe!$J$2-N48)+1))</f>
        <v>30</v>
      </c>
      <c r="K48" s="63">
        <f>SUMIFS(informe!G:G,informe!A:A,presupuesto!B48)</f>
        <v>0</v>
      </c>
      <c r="L48" s="63">
        <f>SUMIFS(informe!F:F,informe!A:A,presupuesto!B48)</f>
        <v>0</v>
      </c>
      <c r="M48" s="23">
        <f t="shared" si="3"/>
        <v>166</v>
      </c>
      <c r="N48" s="23">
        <f t="shared" si="8"/>
        <v>45629</v>
      </c>
      <c r="O48" s="23">
        <f t="shared" si="9"/>
        <v>45794</v>
      </c>
      <c r="P48" s="23">
        <f t="shared" si="11"/>
        <v>0</v>
      </c>
      <c r="Q48" s="23">
        <f t="shared" si="4"/>
        <v>0</v>
      </c>
      <c r="R48" s="23">
        <f t="shared" si="10"/>
        <v>0</v>
      </c>
      <c r="S48" s="4"/>
      <c r="T48" s="4"/>
      <c r="U48" s="4"/>
    </row>
    <row r="49" spans="1:21" s="1" customFormat="1" ht="14.5" customHeight="1" x14ac:dyDescent="0.35">
      <c r="A49" s="44" t="s">
        <v>44</v>
      </c>
      <c r="B49" s="101" t="s">
        <v>105</v>
      </c>
      <c r="C49" s="44" t="s">
        <v>339</v>
      </c>
      <c r="D49" s="41"/>
      <c r="E49" s="41"/>
      <c r="F49" s="97">
        <f t="shared" si="6"/>
        <v>0</v>
      </c>
      <c r="G49" s="41" t="s">
        <v>181</v>
      </c>
      <c r="H49" s="41" t="s">
        <v>179</v>
      </c>
      <c r="I49" s="41" t="s">
        <v>182</v>
      </c>
      <c r="J49" s="23">
        <f>IF((informe!$J$2-N49)+1&gt;M49,M49,IF((informe!$J$2-N49)+1&lt;0,0,(informe!$J$2-N49)+1))</f>
        <v>30</v>
      </c>
      <c r="K49" s="63">
        <f>SUMIFS(informe!G:G,informe!A:A,presupuesto!B49)</f>
        <v>0</v>
      </c>
      <c r="L49" s="63">
        <f>SUMIFS(informe!F:F,informe!A:A,presupuesto!B49)</f>
        <v>0</v>
      </c>
      <c r="M49" s="23">
        <f t="shared" si="3"/>
        <v>136</v>
      </c>
      <c r="N49" s="23">
        <f t="shared" si="8"/>
        <v>45629</v>
      </c>
      <c r="O49" s="23">
        <f t="shared" si="9"/>
        <v>45764</v>
      </c>
      <c r="P49" s="23">
        <f t="shared" si="11"/>
        <v>0</v>
      </c>
      <c r="Q49" s="23">
        <f t="shared" si="4"/>
        <v>0</v>
      </c>
      <c r="R49" s="23">
        <f t="shared" si="10"/>
        <v>0</v>
      </c>
      <c r="S49" s="4"/>
      <c r="T49" s="4"/>
      <c r="U49" s="4"/>
    </row>
    <row r="50" spans="1:21" s="1" customFormat="1" ht="14.5" customHeight="1" x14ac:dyDescent="0.35">
      <c r="A50" s="46" t="s">
        <v>14</v>
      </c>
      <c r="B50" s="102">
        <v>29</v>
      </c>
      <c r="C50" s="46" t="s">
        <v>340</v>
      </c>
      <c r="D50" s="42" t="s">
        <v>37</v>
      </c>
      <c r="E50" s="42">
        <v>1</v>
      </c>
      <c r="F50" s="97" t="str">
        <f t="shared" si="6"/>
        <v>Tabla: Partida</v>
      </c>
      <c r="G50" s="42" t="s">
        <v>153</v>
      </c>
      <c r="H50" s="42" t="s">
        <v>179</v>
      </c>
      <c r="I50" s="42" t="s">
        <v>165</v>
      </c>
      <c r="J50" s="23">
        <f>IF((informe!$J$2-N50)+1&gt;M50,M50,IF((informe!$J$2-N50)+1&lt;0,0,(informe!$J$2-N50)+1))</f>
        <v>30</v>
      </c>
      <c r="K50" s="63" t="e">
        <f>SUMIFS(informe!G:G,informe!A:A,presupuesto!B50)</f>
        <v>#VALUE!</v>
      </c>
      <c r="L50" s="63">
        <f>SUMIFS(informe!F:F,informe!A:A,presupuesto!B50)</f>
        <v>0</v>
      </c>
      <c r="M50" s="23">
        <f t="shared" si="3"/>
        <v>120</v>
      </c>
      <c r="N50" s="23">
        <f t="shared" si="8"/>
        <v>45629</v>
      </c>
      <c r="O50" s="23">
        <f t="shared" si="9"/>
        <v>45748</v>
      </c>
      <c r="P50" s="23">
        <f t="shared" si="11"/>
        <v>0</v>
      </c>
      <c r="Q50" s="23">
        <f t="shared" si="4"/>
        <v>8.3333333333333332E-3</v>
      </c>
      <c r="R50" s="23">
        <f t="shared" si="10"/>
        <v>0</v>
      </c>
      <c r="S50" s="4"/>
      <c r="T50" s="4"/>
      <c r="U50" s="4"/>
    </row>
    <row r="51" spans="1:21" s="1" customFormat="1" ht="14.5" customHeight="1" x14ac:dyDescent="0.35">
      <c r="A51" s="46" t="s">
        <v>15</v>
      </c>
      <c r="B51" s="102">
        <v>30</v>
      </c>
      <c r="C51" s="46" t="s">
        <v>341</v>
      </c>
      <c r="D51" s="42" t="s">
        <v>37</v>
      </c>
      <c r="E51" s="42">
        <v>1</v>
      </c>
      <c r="F51" s="97" t="str">
        <f t="shared" si="6"/>
        <v>Tabla: Partida</v>
      </c>
      <c r="G51" s="42" t="s">
        <v>153</v>
      </c>
      <c r="H51" s="42" t="s">
        <v>183</v>
      </c>
      <c r="I51" s="42" t="s">
        <v>182</v>
      </c>
      <c r="J51" s="23">
        <f>IF((informe!$J$2-N51)+1&gt;M51,M51,IF((informe!$J$2-N51)+1&lt;0,0,(informe!$J$2-N51)+1))</f>
        <v>14</v>
      </c>
      <c r="K51" s="63" t="e">
        <f>SUMIFS(informe!G:G,informe!A:A,presupuesto!B51)</f>
        <v>#VALUE!</v>
      </c>
      <c r="L51" s="63">
        <f>SUMIFS(informe!F:F,informe!A:A,presupuesto!B51)</f>
        <v>0</v>
      </c>
      <c r="M51" s="23">
        <f t="shared" si="3"/>
        <v>120</v>
      </c>
      <c r="N51" s="23">
        <f t="shared" si="8"/>
        <v>45645</v>
      </c>
      <c r="O51" s="23">
        <f t="shared" si="9"/>
        <v>45764</v>
      </c>
      <c r="P51" s="23">
        <f t="shared" si="11"/>
        <v>0</v>
      </c>
      <c r="Q51" s="23">
        <f t="shared" si="4"/>
        <v>8.3333333333333332E-3</v>
      </c>
      <c r="R51" s="23">
        <f t="shared" si="10"/>
        <v>0</v>
      </c>
      <c r="S51" s="4"/>
      <c r="T51" s="4"/>
      <c r="U51" s="4"/>
    </row>
    <row r="52" spans="1:21" s="1" customFormat="1" ht="14.5" customHeight="1" x14ac:dyDescent="0.35">
      <c r="A52" s="46" t="s">
        <v>342</v>
      </c>
      <c r="B52" s="102">
        <v>31</v>
      </c>
      <c r="C52" s="46" t="s">
        <v>343</v>
      </c>
      <c r="D52" s="42" t="s">
        <v>119</v>
      </c>
      <c r="E52" s="42">
        <v>5</v>
      </c>
      <c r="F52" s="97" t="str">
        <f t="shared" si="6"/>
        <v>Tabla: Partida</v>
      </c>
      <c r="G52" s="42" t="s">
        <v>164</v>
      </c>
      <c r="H52" s="42" t="s">
        <v>137</v>
      </c>
      <c r="I52" s="42" t="s">
        <v>182</v>
      </c>
      <c r="J52" s="23">
        <f>IF((informe!$J$2-N52)+1&gt;M52,M52,IF((informe!$J$2-N52)+1&lt;0,0,(informe!$J$2-N52)+1))</f>
        <v>0</v>
      </c>
      <c r="K52" s="63" t="e">
        <f>SUMIFS(informe!G:G,informe!A:A,presupuesto!B52)</f>
        <v>#VALUE!</v>
      </c>
      <c r="L52" s="63">
        <f>SUMIFS(informe!F:F,informe!A:A,presupuesto!B52)</f>
        <v>0</v>
      </c>
      <c r="M52" s="23">
        <f t="shared" si="3"/>
        <v>45</v>
      </c>
      <c r="N52" s="23">
        <f t="shared" si="8"/>
        <v>45720</v>
      </c>
      <c r="O52" s="23">
        <f t="shared" si="9"/>
        <v>45764</v>
      </c>
      <c r="P52" s="23">
        <f t="shared" si="11"/>
        <v>0</v>
      </c>
      <c r="Q52" s="23">
        <f t="shared" si="4"/>
        <v>0.1111111111111111</v>
      </c>
      <c r="R52" s="23">
        <f t="shared" si="10"/>
        <v>0</v>
      </c>
      <c r="S52" s="4"/>
      <c r="T52" s="4"/>
      <c r="U52" s="4"/>
    </row>
    <row r="53" spans="1:21" s="1" customFormat="1" ht="14.5" customHeight="1" x14ac:dyDescent="0.35">
      <c r="A53" s="44" t="s">
        <v>45</v>
      </c>
      <c r="B53" s="101" t="s">
        <v>112</v>
      </c>
      <c r="C53" s="44" t="s">
        <v>344</v>
      </c>
      <c r="D53" s="41"/>
      <c r="E53" s="41"/>
      <c r="F53" s="97">
        <f t="shared" si="6"/>
        <v>0</v>
      </c>
      <c r="G53" s="41" t="s">
        <v>164</v>
      </c>
      <c r="H53" s="41" t="s">
        <v>137</v>
      </c>
      <c r="I53" s="41" t="s">
        <v>182</v>
      </c>
      <c r="J53" s="23">
        <f>IF((informe!$J$2-N53)+1&gt;M53,M53,IF((informe!$J$2-N53)+1&lt;0,0,(informe!$J$2-N53)+1))</f>
        <v>0</v>
      </c>
      <c r="K53" s="63">
        <f>SUMIFS(informe!G:G,informe!A:A,presupuesto!B53)</f>
        <v>0</v>
      </c>
      <c r="L53" s="63">
        <f>SUMIFS(informe!F:F,informe!A:A,presupuesto!B53)</f>
        <v>0</v>
      </c>
      <c r="M53" s="23">
        <f t="shared" si="3"/>
        <v>45</v>
      </c>
      <c r="N53" s="23">
        <f t="shared" si="8"/>
        <v>45720</v>
      </c>
      <c r="O53" s="23">
        <f t="shared" si="9"/>
        <v>45764</v>
      </c>
      <c r="P53" s="23">
        <f t="shared" si="11"/>
        <v>0</v>
      </c>
      <c r="Q53" s="23">
        <f t="shared" si="4"/>
        <v>0</v>
      </c>
      <c r="R53" s="23">
        <f t="shared" si="10"/>
        <v>0</v>
      </c>
      <c r="S53" s="4"/>
      <c r="T53" s="4"/>
      <c r="U53" s="4"/>
    </row>
    <row r="54" spans="1:21" s="1" customFormat="1" ht="14.5" customHeight="1" x14ac:dyDescent="0.35">
      <c r="A54" s="44" t="s">
        <v>16</v>
      </c>
      <c r="B54" s="101" t="s">
        <v>113</v>
      </c>
      <c r="C54" s="44" t="s">
        <v>345</v>
      </c>
      <c r="D54" s="41"/>
      <c r="E54" s="41"/>
      <c r="F54" s="97">
        <f t="shared" si="6"/>
        <v>0</v>
      </c>
      <c r="G54" s="41" t="s">
        <v>164</v>
      </c>
      <c r="H54" s="41" t="s">
        <v>137</v>
      </c>
      <c r="I54" s="41" t="s">
        <v>182</v>
      </c>
      <c r="J54" s="23">
        <f>IF((informe!$J$2-N54)+1&gt;M54,M54,IF((informe!$J$2-N54)+1&lt;0,0,(informe!$J$2-N54)+1))</f>
        <v>0</v>
      </c>
      <c r="K54" s="63">
        <f>SUMIFS(informe!G:G,informe!A:A,presupuesto!B54)</f>
        <v>0</v>
      </c>
      <c r="L54" s="63">
        <f>SUMIFS(informe!F:F,informe!A:A,presupuesto!B54)</f>
        <v>0</v>
      </c>
      <c r="M54" s="23">
        <f t="shared" si="3"/>
        <v>45</v>
      </c>
      <c r="N54" s="23">
        <f t="shared" si="8"/>
        <v>45720</v>
      </c>
      <c r="O54" s="23">
        <f t="shared" si="9"/>
        <v>45764</v>
      </c>
      <c r="P54" s="23">
        <f t="shared" si="11"/>
        <v>0</v>
      </c>
      <c r="Q54" s="23">
        <f t="shared" si="4"/>
        <v>0</v>
      </c>
      <c r="R54" s="23">
        <f t="shared" si="10"/>
        <v>0</v>
      </c>
      <c r="S54" s="4"/>
      <c r="T54" s="4"/>
      <c r="U54" s="4"/>
    </row>
    <row r="55" spans="1:21" s="1" customFormat="1" ht="14.5" customHeight="1" x14ac:dyDescent="0.35">
      <c r="A55" s="46" t="s">
        <v>46</v>
      </c>
      <c r="B55" s="102">
        <v>32</v>
      </c>
      <c r="C55" s="46" t="s">
        <v>346</v>
      </c>
      <c r="D55" s="42" t="s">
        <v>119</v>
      </c>
      <c r="E55" s="42">
        <v>1</v>
      </c>
      <c r="F55" s="97" t="str">
        <f t="shared" si="6"/>
        <v>Tabla: Partida</v>
      </c>
      <c r="G55" s="42" t="s">
        <v>164</v>
      </c>
      <c r="H55" s="42" t="s">
        <v>137</v>
      </c>
      <c r="I55" s="42" t="s">
        <v>182</v>
      </c>
      <c r="J55" s="23">
        <f>IF((informe!$J$2-N55)+1&gt;M55,M55,IF((informe!$J$2-N55)+1&lt;0,0,(informe!$J$2-N55)+1))</f>
        <v>0</v>
      </c>
      <c r="K55" s="63" t="e">
        <f>SUMIFS(informe!G:G,informe!A:A,presupuesto!B55)</f>
        <v>#VALUE!</v>
      </c>
      <c r="L55" s="63">
        <f>SUMIFS(informe!F:F,informe!A:A,presupuesto!B55)</f>
        <v>0</v>
      </c>
      <c r="M55" s="23">
        <f t="shared" si="3"/>
        <v>45</v>
      </c>
      <c r="N55" s="23">
        <f t="shared" si="8"/>
        <v>45720</v>
      </c>
      <c r="O55" s="23">
        <f t="shared" si="9"/>
        <v>45764</v>
      </c>
      <c r="P55" s="23">
        <f t="shared" si="11"/>
        <v>0</v>
      </c>
      <c r="Q55" s="23">
        <f t="shared" si="4"/>
        <v>2.2222222222222223E-2</v>
      </c>
      <c r="R55" s="23">
        <f t="shared" si="10"/>
        <v>0</v>
      </c>
      <c r="S55" s="4"/>
      <c r="T55" s="4"/>
      <c r="U55" s="4"/>
    </row>
    <row r="56" spans="1:21" s="1" customFormat="1" ht="14.5" customHeight="1" x14ac:dyDescent="0.35">
      <c r="A56" s="44" t="s">
        <v>47</v>
      </c>
      <c r="B56" s="101" t="s">
        <v>36</v>
      </c>
      <c r="C56" s="44" t="s">
        <v>306</v>
      </c>
      <c r="D56" s="41"/>
      <c r="E56" s="41"/>
      <c r="F56" s="97">
        <f t="shared" si="6"/>
        <v>0</v>
      </c>
      <c r="G56" s="41" t="s">
        <v>7</v>
      </c>
      <c r="H56" s="41" t="s">
        <v>160</v>
      </c>
      <c r="I56" s="41" t="s">
        <v>180</v>
      </c>
      <c r="J56" s="23">
        <f>IF((informe!$J$2-N56)+1&gt;M56,M56,IF((informe!$J$2-N56)+1&lt;0,0,(informe!$J$2-N56)+1))</f>
        <v>0</v>
      </c>
      <c r="K56" s="63">
        <f>SUMIFS(informe!G:G,informe!A:A,presupuesto!B56)</f>
        <v>0</v>
      </c>
      <c r="L56" s="63">
        <f>SUMIFS(informe!F:F,informe!A:A,presupuesto!B56)</f>
        <v>0</v>
      </c>
      <c r="M56" s="23">
        <f t="shared" si="3"/>
        <v>30</v>
      </c>
      <c r="N56" s="23">
        <f t="shared" si="8"/>
        <v>45765</v>
      </c>
      <c r="O56" s="23">
        <f t="shared" si="9"/>
        <v>45794</v>
      </c>
      <c r="P56" s="23">
        <f t="shared" si="11"/>
        <v>0</v>
      </c>
      <c r="Q56" s="23">
        <f t="shared" si="4"/>
        <v>0</v>
      </c>
      <c r="R56" s="23">
        <f t="shared" si="10"/>
        <v>0</v>
      </c>
      <c r="S56" s="4"/>
      <c r="T56" s="4"/>
      <c r="U56" s="4"/>
    </row>
    <row r="57" spans="1:21" s="1" customFormat="1" ht="14.5" customHeight="1" x14ac:dyDescent="0.35">
      <c r="A57" s="44" t="s">
        <v>48</v>
      </c>
      <c r="B57" s="101" t="s">
        <v>120</v>
      </c>
      <c r="C57" s="44" t="s">
        <v>347</v>
      </c>
      <c r="D57" s="41"/>
      <c r="E57" s="41"/>
      <c r="F57" s="97">
        <f t="shared" si="6"/>
        <v>0</v>
      </c>
      <c r="G57" s="41" t="s">
        <v>93</v>
      </c>
      <c r="H57" s="41" t="s">
        <v>160</v>
      </c>
      <c r="I57" s="41" t="s">
        <v>152</v>
      </c>
      <c r="J57" s="23">
        <f>IF((informe!$J$2-N57)+1&gt;M57,M57,IF((informe!$J$2-N57)+1&lt;0,0,(informe!$J$2-N57)+1))</f>
        <v>0</v>
      </c>
      <c r="K57" s="63">
        <f>SUMIFS(informe!G:G,informe!A:A,presupuesto!B57)</f>
        <v>0</v>
      </c>
      <c r="L57" s="63">
        <f>SUMIFS(informe!F:F,informe!A:A,presupuesto!B57)</f>
        <v>0</v>
      </c>
      <c r="M57" s="23">
        <f t="shared" si="3"/>
        <v>15</v>
      </c>
      <c r="N57" s="23">
        <f t="shared" si="8"/>
        <v>45765</v>
      </c>
      <c r="O57" s="23">
        <f t="shared" si="9"/>
        <v>45779</v>
      </c>
      <c r="P57" s="23">
        <f t="shared" si="11"/>
        <v>0</v>
      </c>
      <c r="Q57" s="23">
        <f t="shared" si="4"/>
        <v>0</v>
      </c>
      <c r="R57" s="23">
        <f t="shared" si="10"/>
        <v>0</v>
      </c>
      <c r="S57" s="4"/>
      <c r="T57" s="4"/>
      <c r="U57" s="4"/>
    </row>
    <row r="58" spans="1:21" s="1" customFormat="1" ht="14.5" customHeight="1" x14ac:dyDescent="0.35">
      <c r="A58" s="46" t="s">
        <v>49</v>
      </c>
      <c r="B58" s="102">
        <v>33</v>
      </c>
      <c r="C58" s="46" t="s">
        <v>348</v>
      </c>
      <c r="D58" s="42" t="s">
        <v>114</v>
      </c>
      <c r="E58" s="42">
        <v>19.5</v>
      </c>
      <c r="F58" s="97" t="str">
        <f t="shared" si="6"/>
        <v>Tabla: Partida</v>
      </c>
      <c r="G58" s="42" t="s">
        <v>93</v>
      </c>
      <c r="H58" s="42" t="s">
        <v>160</v>
      </c>
      <c r="I58" s="42" t="s">
        <v>152</v>
      </c>
      <c r="J58" s="23">
        <f>IF((informe!$J$2-N58)+1&gt;M58,M58,IF((informe!$J$2-N58)+1&lt;0,0,(informe!$J$2-N58)+1))</f>
        <v>0</v>
      </c>
      <c r="K58" s="63" t="e">
        <f>SUMIFS(informe!G:G,informe!A:A,presupuesto!B58)</f>
        <v>#VALUE!</v>
      </c>
      <c r="L58" s="63">
        <f>SUMIFS(informe!F:F,informe!A:A,presupuesto!B58)</f>
        <v>0</v>
      </c>
      <c r="M58" s="23">
        <f t="shared" si="3"/>
        <v>15</v>
      </c>
      <c r="N58" s="23">
        <f t="shared" si="8"/>
        <v>45765</v>
      </c>
      <c r="O58" s="23">
        <f t="shared" si="9"/>
        <v>45779</v>
      </c>
      <c r="P58" s="23">
        <f t="shared" si="11"/>
        <v>0</v>
      </c>
      <c r="Q58" s="23">
        <f t="shared" si="4"/>
        <v>1.3</v>
      </c>
      <c r="R58" s="23">
        <f t="shared" si="10"/>
        <v>0</v>
      </c>
      <c r="S58" s="4"/>
      <c r="T58" s="4"/>
      <c r="U58" s="4"/>
    </row>
    <row r="59" spans="1:21" s="1" customFormat="1" ht="14.5" customHeight="1" x14ac:dyDescent="0.35">
      <c r="A59" s="44" t="s">
        <v>50</v>
      </c>
      <c r="B59" s="101" t="s">
        <v>121</v>
      </c>
      <c r="C59" s="44" t="s">
        <v>349</v>
      </c>
      <c r="D59" s="41"/>
      <c r="E59" s="41"/>
      <c r="F59" s="97">
        <f t="shared" si="6"/>
        <v>0</v>
      </c>
      <c r="G59" s="41" t="s">
        <v>93</v>
      </c>
      <c r="H59" s="41" t="s">
        <v>160</v>
      </c>
      <c r="I59" s="41" t="s">
        <v>152</v>
      </c>
      <c r="J59" s="23">
        <f>IF((informe!$J$2-N59)+1&gt;M59,M59,IF((informe!$J$2-N59)+1&lt;0,0,(informe!$J$2-N59)+1))</f>
        <v>0</v>
      </c>
      <c r="K59" s="63">
        <f>SUMIFS(informe!G:G,informe!A:A,presupuesto!B59)</f>
        <v>0</v>
      </c>
      <c r="L59" s="63">
        <f>SUMIFS(informe!F:F,informe!A:A,presupuesto!B59)</f>
        <v>0</v>
      </c>
      <c r="M59" s="23">
        <f t="shared" si="3"/>
        <v>15</v>
      </c>
      <c r="N59" s="23">
        <f t="shared" si="8"/>
        <v>45765</v>
      </c>
      <c r="O59" s="23">
        <f t="shared" si="9"/>
        <v>45779</v>
      </c>
      <c r="P59" s="23">
        <f t="shared" si="11"/>
        <v>0</v>
      </c>
      <c r="Q59" s="23">
        <f t="shared" si="4"/>
        <v>0</v>
      </c>
      <c r="R59" s="23">
        <f t="shared" si="10"/>
        <v>0</v>
      </c>
      <c r="S59" s="4"/>
      <c r="T59" s="4"/>
      <c r="U59" s="4"/>
    </row>
    <row r="60" spans="1:21" s="1" customFormat="1" ht="14.5" customHeight="1" x14ac:dyDescent="0.35">
      <c r="A60" s="46" t="s">
        <v>51</v>
      </c>
      <c r="B60" s="102">
        <v>34</v>
      </c>
      <c r="C60" s="46" t="s">
        <v>350</v>
      </c>
      <c r="D60" s="42" t="s">
        <v>114</v>
      </c>
      <c r="E60" s="42">
        <v>12</v>
      </c>
      <c r="F60" s="97" t="str">
        <f t="shared" si="6"/>
        <v>Tabla: Partida</v>
      </c>
      <c r="G60" s="42" t="s">
        <v>93</v>
      </c>
      <c r="H60" s="42" t="s">
        <v>160</v>
      </c>
      <c r="I60" s="42" t="s">
        <v>152</v>
      </c>
      <c r="J60" s="23">
        <f>IF((informe!$J$2-N60)+1&gt;M60,M60,IF((informe!$J$2-N60)+1&lt;0,0,(informe!$J$2-N60)+1))</f>
        <v>0</v>
      </c>
      <c r="K60" s="63" t="e">
        <f>SUMIFS(informe!G:G,informe!A:A,presupuesto!B60)</f>
        <v>#VALUE!</v>
      </c>
      <c r="L60" s="63">
        <f>SUMIFS(informe!F:F,informe!A:A,presupuesto!B60)</f>
        <v>0</v>
      </c>
      <c r="M60" s="23">
        <f t="shared" si="3"/>
        <v>15</v>
      </c>
      <c r="N60" s="23">
        <f t="shared" si="8"/>
        <v>45765</v>
      </c>
      <c r="O60" s="23">
        <f t="shared" si="9"/>
        <v>45779</v>
      </c>
      <c r="P60" s="23">
        <f t="shared" si="11"/>
        <v>0</v>
      </c>
      <c r="Q60" s="23">
        <f t="shared" si="4"/>
        <v>0.8</v>
      </c>
      <c r="R60" s="23">
        <f t="shared" si="10"/>
        <v>0</v>
      </c>
      <c r="S60" s="4"/>
      <c r="T60" s="4"/>
      <c r="U60" s="4"/>
    </row>
    <row r="61" spans="1:21" s="1" customFormat="1" ht="14.5" customHeight="1" x14ac:dyDescent="0.35">
      <c r="A61" s="44" t="s">
        <v>52</v>
      </c>
      <c r="B61" s="101" t="s">
        <v>122</v>
      </c>
      <c r="C61" s="44" t="s">
        <v>351</v>
      </c>
      <c r="D61" s="41"/>
      <c r="E61" s="41"/>
      <c r="F61" s="97">
        <f t="shared" si="6"/>
        <v>0</v>
      </c>
      <c r="G61" s="41" t="s">
        <v>93</v>
      </c>
      <c r="H61" s="41" t="s">
        <v>162</v>
      </c>
      <c r="I61" s="41" t="s">
        <v>180</v>
      </c>
      <c r="J61" s="23">
        <f>IF((informe!$J$2-N61)+1&gt;M61,M61,IF((informe!$J$2-N61)+1&lt;0,0,(informe!$J$2-N61)+1))</f>
        <v>0</v>
      </c>
      <c r="K61" s="63">
        <f>SUMIFS(informe!G:G,informe!A:A,presupuesto!B61)</f>
        <v>0</v>
      </c>
      <c r="L61" s="63">
        <f>SUMIFS(informe!F:F,informe!A:A,presupuesto!B61)</f>
        <v>0</v>
      </c>
      <c r="M61" s="23">
        <f t="shared" si="3"/>
        <v>15</v>
      </c>
      <c r="N61" s="23">
        <f t="shared" si="8"/>
        <v>45780</v>
      </c>
      <c r="O61" s="23">
        <f t="shared" si="9"/>
        <v>45794</v>
      </c>
      <c r="P61" s="23">
        <f t="shared" si="11"/>
        <v>0</v>
      </c>
      <c r="Q61" s="23">
        <f t="shared" si="4"/>
        <v>0</v>
      </c>
      <c r="R61" s="23">
        <f t="shared" si="10"/>
        <v>0</v>
      </c>
      <c r="S61" s="4"/>
      <c r="T61" s="4"/>
      <c r="U61" s="4"/>
    </row>
    <row r="62" spans="1:21" s="1" customFormat="1" ht="14.5" customHeight="1" x14ac:dyDescent="0.35">
      <c r="A62" s="46" t="s">
        <v>53</v>
      </c>
      <c r="B62" s="102">
        <v>35</v>
      </c>
      <c r="C62" s="46" t="s">
        <v>352</v>
      </c>
      <c r="D62" s="42" t="s">
        <v>114</v>
      </c>
      <c r="E62" s="42">
        <v>24.2</v>
      </c>
      <c r="F62" s="97" t="str">
        <f t="shared" si="6"/>
        <v>Tabla: Partida</v>
      </c>
      <c r="G62" s="42" t="s">
        <v>93</v>
      </c>
      <c r="H62" s="42" t="s">
        <v>162</v>
      </c>
      <c r="I62" s="42" t="s">
        <v>180</v>
      </c>
      <c r="J62" s="23">
        <f>IF((informe!$J$2-N62)+1&gt;M62,M62,IF((informe!$J$2-N62)+1&lt;0,0,(informe!$J$2-N62)+1))</f>
        <v>0</v>
      </c>
      <c r="K62" s="63" t="e">
        <f>SUMIFS(informe!G:G,informe!A:A,presupuesto!B62)</f>
        <v>#VALUE!</v>
      </c>
      <c r="L62" s="63">
        <f>SUMIFS(informe!F:F,informe!A:A,presupuesto!B62)</f>
        <v>0</v>
      </c>
      <c r="M62" s="23">
        <f t="shared" si="3"/>
        <v>15</v>
      </c>
      <c r="N62" s="23">
        <f t="shared" si="8"/>
        <v>45780</v>
      </c>
      <c r="O62" s="23">
        <f t="shared" si="9"/>
        <v>45794</v>
      </c>
      <c r="P62" s="23">
        <f t="shared" si="11"/>
        <v>0</v>
      </c>
      <c r="Q62" s="23">
        <f t="shared" si="4"/>
        <v>1.6133333333333333</v>
      </c>
      <c r="R62" s="23">
        <f t="shared" si="10"/>
        <v>0</v>
      </c>
      <c r="S62" s="4"/>
      <c r="T62" s="4"/>
      <c r="U62" s="4"/>
    </row>
    <row r="63" spans="1:21" s="1" customFormat="1" ht="14.5" customHeight="1" x14ac:dyDescent="0.35">
      <c r="A63" s="44" t="s">
        <v>54</v>
      </c>
      <c r="B63" s="101" t="s">
        <v>123</v>
      </c>
      <c r="C63" s="44" t="s">
        <v>353</v>
      </c>
      <c r="D63" s="41"/>
      <c r="E63" s="41"/>
      <c r="F63" s="97">
        <f t="shared" si="6"/>
        <v>0</v>
      </c>
      <c r="G63" s="41" t="s">
        <v>94</v>
      </c>
      <c r="H63" s="41" t="s">
        <v>162</v>
      </c>
      <c r="I63" s="41" t="s">
        <v>162</v>
      </c>
      <c r="J63" s="23">
        <f>IF((informe!$J$2-N63)+1&gt;M63,M63,IF((informe!$J$2-N63)+1&lt;0,0,(informe!$J$2-N63)+1))</f>
        <v>0</v>
      </c>
      <c r="K63" s="63">
        <f>SUMIFS(informe!G:G,informe!A:A,presupuesto!B63)</f>
        <v>0</v>
      </c>
      <c r="L63" s="63">
        <f>SUMIFS(informe!F:F,informe!A:A,presupuesto!B63)</f>
        <v>0</v>
      </c>
      <c r="M63" s="23">
        <f t="shared" si="3"/>
        <v>1</v>
      </c>
      <c r="N63" s="23">
        <f t="shared" si="8"/>
        <v>45780</v>
      </c>
      <c r="O63" s="23">
        <f t="shared" si="9"/>
        <v>45780</v>
      </c>
      <c r="P63" s="23">
        <f t="shared" si="11"/>
        <v>0</v>
      </c>
      <c r="Q63" s="23">
        <f t="shared" si="4"/>
        <v>0</v>
      </c>
      <c r="R63" s="23">
        <f t="shared" si="10"/>
        <v>0</v>
      </c>
      <c r="S63" s="4"/>
      <c r="T63" s="4"/>
      <c r="U63" s="4"/>
    </row>
    <row r="64" spans="1:21" s="1" customFormat="1" ht="14.5" customHeight="1" x14ac:dyDescent="0.35">
      <c r="A64" s="46" t="s">
        <v>55</v>
      </c>
      <c r="B64" s="102">
        <v>36</v>
      </c>
      <c r="C64" s="46" t="s">
        <v>354</v>
      </c>
      <c r="D64" s="42" t="s">
        <v>114</v>
      </c>
      <c r="E64" s="42">
        <v>1</v>
      </c>
      <c r="F64" s="97" t="str">
        <f t="shared" si="6"/>
        <v>Tabla: Partida</v>
      </c>
      <c r="G64" s="42" t="s">
        <v>94</v>
      </c>
      <c r="H64" s="42" t="s">
        <v>162</v>
      </c>
      <c r="I64" s="42" t="s">
        <v>162</v>
      </c>
      <c r="J64" s="23">
        <f>IF((informe!$J$2-N64)+1&gt;M64,M64,IF((informe!$J$2-N64)+1&lt;0,0,(informe!$J$2-N64)+1))</f>
        <v>0</v>
      </c>
      <c r="K64" s="63" t="e">
        <f>SUMIFS(informe!G:G,informe!A:A,presupuesto!B64)</f>
        <v>#VALUE!</v>
      </c>
      <c r="L64" s="63">
        <f>SUMIFS(informe!F:F,informe!A:A,presupuesto!B64)</f>
        <v>0</v>
      </c>
      <c r="M64" s="23">
        <f t="shared" si="3"/>
        <v>1</v>
      </c>
      <c r="N64" s="23">
        <f t="shared" si="8"/>
        <v>45780</v>
      </c>
      <c r="O64" s="23">
        <f t="shared" si="9"/>
        <v>45780</v>
      </c>
      <c r="P64" s="23">
        <f t="shared" si="11"/>
        <v>0</v>
      </c>
      <c r="Q64" s="23">
        <f t="shared" si="4"/>
        <v>1</v>
      </c>
      <c r="R64" s="23">
        <f t="shared" si="10"/>
        <v>0</v>
      </c>
      <c r="S64" s="4"/>
      <c r="T64" s="4"/>
      <c r="U64" s="4"/>
    </row>
    <row r="65" spans="1:21" s="1" customFormat="1" ht="14.5" customHeight="1" x14ac:dyDescent="0.35">
      <c r="A65" s="44" t="s">
        <v>56</v>
      </c>
      <c r="B65" s="101" t="s">
        <v>124</v>
      </c>
      <c r="C65" s="44" t="s">
        <v>316</v>
      </c>
      <c r="D65" s="41"/>
      <c r="E65" s="41"/>
      <c r="F65" s="97">
        <f t="shared" si="6"/>
        <v>0</v>
      </c>
      <c r="G65" s="41" t="s">
        <v>93</v>
      </c>
      <c r="H65" s="41" t="s">
        <v>184</v>
      </c>
      <c r="I65" s="41" t="s">
        <v>185</v>
      </c>
      <c r="J65" s="23">
        <f>IF((informe!$J$2-N65)+1&gt;M65,M65,IF((informe!$J$2-N65)+1&lt;0,0,(informe!$J$2-N65)+1))</f>
        <v>0</v>
      </c>
      <c r="K65" s="63">
        <f>SUMIFS(informe!G:G,informe!A:A,presupuesto!B65)</f>
        <v>0</v>
      </c>
      <c r="L65" s="63">
        <f>SUMIFS(informe!F:F,informe!A:A,presupuesto!B65)</f>
        <v>0</v>
      </c>
      <c r="M65" s="23">
        <f t="shared" si="3"/>
        <v>15</v>
      </c>
      <c r="N65" s="23">
        <f t="shared" si="8"/>
        <v>45770</v>
      </c>
      <c r="O65" s="23">
        <f t="shared" si="9"/>
        <v>45784</v>
      </c>
      <c r="P65" s="23">
        <f t="shared" si="11"/>
        <v>0</v>
      </c>
      <c r="Q65" s="23">
        <f t="shared" si="4"/>
        <v>0</v>
      </c>
      <c r="R65" s="23">
        <f t="shared" si="10"/>
        <v>0</v>
      </c>
      <c r="S65" s="4"/>
      <c r="T65" s="4"/>
      <c r="U65" s="4"/>
    </row>
    <row r="66" spans="1:21" s="1" customFormat="1" ht="14.5" customHeight="1" x14ac:dyDescent="0.35">
      <c r="A66" s="46" t="s">
        <v>57</v>
      </c>
      <c r="B66" s="102">
        <v>37</v>
      </c>
      <c r="C66" s="46" t="s">
        <v>318</v>
      </c>
      <c r="D66" s="42" t="s">
        <v>117</v>
      </c>
      <c r="E66" s="42">
        <v>1</v>
      </c>
      <c r="F66" s="97" t="str">
        <f t="shared" si="6"/>
        <v>Tabla: Partida</v>
      </c>
      <c r="G66" s="42" t="s">
        <v>144</v>
      </c>
      <c r="H66" s="42" t="s">
        <v>162</v>
      </c>
      <c r="I66" s="42" t="s">
        <v>186</v>
      </c>
      <c r="J66" s="23">
        <f>IF((informe!$J$2-N66)+1&gt;M66,M66,IF((informe!$J$2-N66)+1&lt;0,0,(informe!$J$2-N66)+1))</f>
        <v>0</v>
      </c>
      <c r="K66" s="63" t="e">
        <f>SUMIFS(informe!G:G,informe!A:A,presupuesto!B66)</f>
        <v>#VALUE!</v>
      </c>
      <c r="L66" s="63">
        <f>SUMIFS(informe!F:F,informe!A:A,presupuesto!B66)</f>
        <v>0</v>
      </c>
      <c r="M66" s="23">
        <f t="shared" si="3"/>
        <v>2</v>
      </c>
      <c r="N66" s="23">
        <f t="shared" si="8"/>
        <v>45780</v>
      </c>
      <c r="O66" s="23">
        <f t="shared" si="9"/>
        <v>45781</v>
      </c>
      <c r="P66" s="23">
        <f t="shared" si="11"/>
        <v>0</v>
      </c>
      <c r="Q66" s="23">
        <f t="shared" si="4"/>
        <v>0.5</v>
      </c>
      <c r="R66" s="23">
        <f t="shared" si="10"/>
        <v>0</v>
      </c>
      <c r="S66" s="4"/>
      <c r="T66" s="4"/>
      <c r="U66" s="4"/>
    </row>
    <row r="67" spans="1:21" s="1" customFormat="1" ht="14.5" customHeight="1" x14ac:dyDescent="0.35">
      <c r="A67" s="46" t="s">
        <v>58</v>
      </c>
      <c r="B67" s="102">
        <v>38</v>
      </c>
      <c r="C67" s="46" t="s">
        <v>320</v>
      </c>
      <c r="D67" s="42" t="s">
        <v>109</v>
      </c>
      <c r="E67" s="42">
        <v>279.7</v>
      </c>
      <c r="F67" s="97" t="str">
        <f t="shared" si="6"/>
        <v>Tabla: Partida</v>
      </c>
      <c r="G67" s="42" t="s">
        <v>170</v>
      </c>
      <c r="H67" s="42" t="s">
        <v>187</v>
      </c>
      <c r="I67" s="42" t="s">
        <v>185</v>
      </c>
      <c r="J67" s="23">
        <f>IF((informe!$J$2-N67)+1&gt;M67,M67,IF((informe!$J$2-N67)+1&lt;0,0,(informe!$J$2-N67)+1))</f>
        <v>0</v>
      </c>
      <c r="K67" s="63" t="e">
        <f>SUMIFS(informe!G:G,informe!A:A,presupuesto!B67)</f>
        <v>#VALUE!</v>
      </c>
      <c r="L67" s="63">
        <f>SUMIFS(informe!F:F,informe!A:A,presupuesto!B67)</f>
        <v>0</v>
      </c>
      <c r="M67" s="23">
        <f t="shared" si="3"/>
        <v>10</v>
      </c>
      <c r="N67" s="23">
        <f t="shared" ref="N67:N98" si="12">DATEVALUE(RIGHT(H67,8))</f>
        <v>45775</v>
      </c>
      <c r="O67" s="23">
        <f t="shared" ref="O67:O98" si="13">DATEVALUE(RIGHT(I67,8))</f>
        <v>45784</v>
      </c>
      <c r="P67" s="23">
        <f t="shared" si="11"/>
        <v>0</v>
      </c>
      <c r="Q67" s="23">
        <f t="shared" si="4"/>
        <v>27.97</v>
      </c>
      <c r="R67" s="23">
        <f t="shared" ref="R67:R98" si="14">IFERROR(((IF(($R$1-$N67)+1&gt;$M67,$M67,IF(($R$1-$N67)+1&lt;0,0,($R$1-$N67)+1)))*$P67*1)/$L67,0)</f>
        <v>0</v>
      </c>
      <c r="S67" s="4"/>
      <c r="T67" s="4"/>
      <c r="U67" s="4"/>
    </row>
    <row r="68" spans="1:21" s="1" customFormat="1" ht="14.5" customHeight="1" x14ac:dyDescent="0.35">
      <c r="A68" s="46" t="s">
        <v>355</v>
      </c>
      <c r="B68" s="102">
        <v>39</v>
      </c>
      <c r="C68" s="46" t="s">
        <v>322</v>
      </c>
      <c r="D68" s="42" t="s">
        <v>109</v>
      </c>
      <c r="E68" s="42">
        <v>2.5</v>
      </c>
      <c r="F68" s="97" t="str">
        <f t="shared" si="6"/>
        <v>Tabla: Partida</v>
      </c>
      <c r="G68" s="42" t="s">
        <v>188</v>
      </c>
      <c r="H68" s="42" t="s">
        <v>162</v>
      </c>
      <c r="I68" s="42" t="s">
        <v>189</v>
      </c>
      <c r="J68" s="23">
        <f>IF((informe!$J$2-N68)+1&gt;M68,M68,IF((informe!$J$2-N68)+1&lt;0,0,(informe!$J$2-N68)+1))</f>
        <v>0</v>
      </c>
      <c r="K68" s="63" t="e">
        <f>SUMIFS(informe!G:G,informe!A:A,presupuesto!B68)</f>
        <v>#VALUE!</v>
      </c>
      <c r="L68" s="63">
        <f>SUMIFS(informe!F:F,informe!A:A,presupuesto!B68)</f>
        <v>0</v>
      </c>
      <c r="M68" s="23">
        <f t="shared" ref="M68:M90" si="15">(O68-N68)+1</f>
        <v>3</v>
      </c>
      <c r="N68" s="23">
        <f t="shared" si="12"/>
        <v>45780</v>
      </c>
      <c r="O68" s="23">
        <f t="shared" si="13"/>
        <v>45782</v>
      </c>
      <c r="P68" s="23">
        <f t="shared" si="11"/>
        <v>0</v>
      </c>
      <c r="Q68" s="23">
        <f t="shared" ref="Q68:Q131" si="16">E68/((O68-N68)+1)</f>
        <v>0.83333333333333337</v>
      </c>
      <c r="R68" s="23">
        <f t="shared" si="14"/>
        <v>0</v>
      </c>
      <c r="S68" s="4"/>
      <c r="T68" s="4"/>
      <c r="U68" s="4"/>
    </row>
    <row r="69" spans="1:21" s="1" customFormat="1" ht="14.5" customHeight="1" x14ac:dyDescent="0.35">
      <c r="A69" s="46" t="s">
        <v>356</v>
      </c>
      <c r="B69" s="102">
        <v>40</v>
      </c>
      <c r="C69" s="46" t="s">
        <v>357</v>
      </c>
      <c r="D69" s="42" t="s">
        <v>109</v>
      </c>
      <c r="E69" s="42">
        <v>2</v>
      </c>
      <c r="F69" s="97" t="str">
        <f t="shared" si="6"/>
        <v>Tabla: Partida</v>
      </c>
      <c r="G69" s="42" t="s">
        <v>94</v>
      </c>
      <c r="H69" s="42" t="s">
        <v>152</v>
      </c>
      <c r="I69" s="42" t="s">
        <v>152</v>
      </c>
      <c r="J69" s="23">
        <f>IF((informe!$J$2-N69)+1&gt;M69,M69,IF((informe!$J$2-N69)+1&lt;0,0,(informe!$J$2-N69)+1))</f>
        <v>0</v>
      </c>
      <c r="K69" s="63" t="e">
        <f>SUMIFS(informe!G:G,informe!A:A,presupuesto!B69)</f>
        <v>#VALUE!</v>
      </c>
      <c r="L69" s="63">
        <f>SUMIFS(informe!F:F,informe!A:A,presupuesto!B69)</f>
        <v>0</v>
      </c>
      <c r="M69" s="23">
        <f t="shared" si="15"/>
        <v>1</v>
      </c>
      <c r="N69" s="23">
        <f t="shared" si="12"/>
        <v>45779</v>
      </c>
      <c r="O69" s="23">
        <f t="shared" si="13"/>
        <v>45779</v>
      </c>
      <c r="P69" s="23">
        <f t="shared" ref="P69:P90" si="17">L69/M69</f>
        <v>0</v>
      </c>
      <c r="Q69" s="23">
        <f t="shared" si="16"/>
        <v>2</v>
      </c>
      <c r="R69" s="23">
        <f t="shared" si="14"/>
        <v>0</v>
      </c>
      <c r="S69" s="4"/>
      <c r="T69" s="4"/>
      <c r="U69" s="4"/>
    </row>
    <row r="70" spans="1:21" s="1" customFormat="1" ht="14.5" customHeight="1" x14ac:dyDescent="0.35">
      <c r="A70" s="46" t="s">
        <v>358</v>
      </c>
      <c r="B70" s="102">
        <v>41</v>
      </c>
      <c r="C70" s="46" t="s">
        <v>359</v>
      </c>
      <c r="D70" s="42" t="s">
        <v>109</v>
      </c>
      <c r="E70" s="42">
        <v>6</v>
      </c>
      <c r="F70" s="97" t="str">
        <f t="shared" si="6"/>
        <v>Tabla: Partida</v>
      </c>
      <c r="G70" s="42" t="s">
        <v>170</v>
      </c>
      <c r="H70" s="42" t="s">
        <v>184</v>
      </c>
      <c r="I70" s="42" t="s">
        <v>152</v>
      </c>
      <c r="J70" s="23">
        <f>IF((informe!$J$2-N70)+1&gt;M70,M70,IF((informe!$J$2-N70)+1&lt;0,0,(informe!$J$2-N70)+1))</f>
        <v>0</v>
      </c>
      <c r="K70" s="63" t="e">
        <f>SUMIFS(informe!G:G,informe!A:A,presupuesto!B70)</f>
        <v>#VALUE!</v>
      </c>
      <c r="L70" s="63">
        <f>SUMIFS(informe!F:F,informe!A:A,presupuesto!B70)</f>
        <v>0</v>
      </c>
      <c r="M70" s="23">
        <f t="shared" si="15"/>
        <v>10</v>
      </c>
      <c r="N70" s="23">
        <f t="shared" si="12"/>
        <v>45770</v>
      </c>
      <c r="O70" s="23">
        <f t="shared" si="13"/>
        <v>45779</v>
      </c>
      <c r="P70" s="23">
        <f t="shared" si="17"/>
        <v>0</v>
      </c>
      <c r="Q70" s="23">
        <f t="shared" si="16"/>
        <v>0.6</v>
      </c>
      <c r="R70" s="23">
        <f t="shared" si="14"/>
        <v>0</v>
      </c>
      <c r="S70" s="4"/>
      <c r="T70" s="4"/>
      <c r="U70" s="4"/>
    </row>
    <row r="71" spans="1:21" s="1" customFormat="1" ht="14.5" customHeight="1" x14ac:dyDescent="0.35">
      <c r="A71" s="46" t="s">
        <v>360</v>
      </c>
      <c r="B71" s="102">
        <v>42</v>
      </c>
      <c r="C71" s="46" t="s">
        <v>361</v>
      </c>
      <c r="D71" s="42" t="s">
        <v>109</v>
      </c>
      <c r="E71" s="42">
        <v>48</v>
      </c>
      <c r="F71" s="97" t="str">
        <f t="shared" si="6"/>
        <v>Tabla: Partida</v>
      </c>
      <c r="G71" s="42" t="s">
        <v>170</v>
      </c>
      <c r="H71" s="42" t="s">
        <v>187</v>
      </c>
      <c r="I71" s="42" t="s">
        <v>185</v>
      </c>
      <c r="J71" s="23">
        <f>IF((informe!$J$2-N71)+1&gt;M71,M71,IF((informe!$J$2-N71)+1&lt;0,0,(informe!$J$2-N71)+1))</f>
        <v>0</v>
      </c>
      <c r="K71" s="63" t="e">
        <f>SUMIFS(informe!G:G,informe!A:A,presupuesto!B71)</f>
        <v>#VALUE!</v>
      </c>
      <c r="L71" s="63">
        <f>SUMIFS(informe!F:F,informe!A:A,presupuesto!B71)</f>
        <v>0</v>
      </c>
      <c r="M71" s="23">
        <f t="shared" si="15"/>
        <v>10</v>
      </c>
      <c r="N71" s="23">
        <f t="shared" si="12"/>
        <v>45775</v>
      </c>
      <c r="O71" s="23">
        <f t="shared" si="13"/>
        <v>45784</v>
      </c>
      <c r="P71" s="23">
        <f t="shared" si="17"/>
        <v>0</v>
      </c>
      <c r="Q71" s="23">
        <f t="shared" si="16"/>
        <v>4.8</v>
      </c>
      <c r="R71" s="23">
        <f t="shared" si="14"/>
        <v>0</v>
      </c>
      <c r="S71" s="4"/>
      <c r="T71" s="4"/>
      <c r="U71" s="4"/>
    </row>
    <row r="72" spans="1:21" s="1" customFormat="1" ht="14.5" customHeight="1" x14ac:dyDescent="0.35">
      <c r="A72" s="46" t="s">
        <v>362</v>
      </c>
      <c r="B72" s="102">
        <v>43</v>
      </c>
      <c r="C72" s="46" t="s">
        <v>363</v>
      </c>
      <c r="D72" s="42" t="s">
        <v>119</v>
      </c>
      <c r="E72" s="42">
        <v>1</v>
      </c>
      <c r="F72" s="97" t="str">
        <f t="shared" ref="F72:F135" si="18">IF(ISBLANK(E72),0,"Tabla: Partida")</f>
        <v>Tabla: Partida</v>
      </c>
      <c r="G72" s="42" t="s">
        <v>99</v>
      </c>
      <c r="H72" s="42" t="s">
        <v>190</v>
      </c>
      <c r="I72" s="42" t="s">
        <v>185</v>
      </c>
      <c r="J72" s="23">
        <f>IF((informe!$J$2-N72)+1&gt;M72,M72,IF((informe!$J$2-N72)+1&lt;0,0,(informe!$J$2-N72)+1))</f>
        <v>0</v>
      </c>
      <c r="K72" s="63" t="e">
        <f>SUMIFS(informe!G:G,informe!A:A,presupuesto!B72)</f>
        <v>#VALUE!</v>
      </c>
      <c r="L72" s="63">
        <f>SUMIFS(informe!F:F,informe!A:A,presupuesto!B72)</f>
        <v>0</v>
      </c>
      <c r="M72" s="23">
        <f>(O72-N72)+1</f>
        <v>7</v>
      </c>
      <c r="N72" s="23">
        <f t="shared" si="12"/>
        <v>45778</v>
      </c>
      <c r="O72" s="23">
        <f t="shared" si="13"/>
        <v>45784</v>
      </c>
      <c r="P72" s="23">
        <f t="shared" si="17"/>
        <v>0</v>
      </c>
      <c r="Q72" s="23">
        <f t="shared" si="16"/>
        <v>0.14285714285714285</v>
      </c>
      <c r="R72" s="23">
        <f t="shared" si="14"/>
        <v>0</v>
      </c>
      <c r="S72" s="4"/>
      <c r="T72" s="4"/>
      <c r="U72" s="4"/>
    </row>
    <row r="73" spans="1:21" s="1" customFormat="1" ht="14.5" customHeight="1" x14ac:dyDescent="0.35">
      <c r="A73" s="44" t="s">
        <v>59</v>
      </c>
      <c r="B73" s="101" t="s">
        <v>125</v>
      </c>
      <c r="C73" s="44" t="s">
        <v>364</v>
      </c>
      <c r="D73" s="41"/>
      <c r="E73" s="41"/>
      <c r="F73" s="97">
        <f t="shared" si="18"/>
        <v>0</v>
      </c>
      <c r="G73" s="41" t="s">
        <v>191</v>
      </c>
      <c r="H73" s="41" t="s">
        <v>192</v>
      </c>
      <c r="I73" s="41" t="s">
        <v>180</v>
      </c>
      <c r="J73" s="23">
        <f>IF((informe!$J$2-N73)+1&gt;M73,M73,IF((informe!$J$2-N73)+1&lt;0,0,(informe!$J$2-N73)+1))</f>
        <v>0</v>
      </c>
      <c r="K73" s="63">
        <f>SUMIFS(informe!G:G,informe!A:A,presupuesto!B73)</f>
        <v>0</v>
      </c>
      <c r="L73" s="63">
        <f>SUMIFS(informe!F:F,informe!A:A,presupuesto!B73)</f>
        <v>0</v>
      </c>
      <c r="M73" s="23">
        <f t="shared" si="15"/>
        <v>73</v>
      </c>
      <c r="N73" s="23">
        <f t="shared" si="12"/>
        <v>45722</v>
      </c>
      <c r="O73" s="23">
        <f t="shared" si="13"/>
        <v>45794</v>
      </c>
      <c r="P73" s="23">
        <f t="shared" si="17"/>
        <v>0</v>
      </c>
      <c r="Q73" s="23">
        <f t="shared" si="16"/>
        <v>0</v>
      </c>
      <c r="R73" s="23">
        <f t="shared" si="14"/>
        <v>0</v>
      </c>
      <c r="S73" s="4"/>
      <c r="T73" s="4"/>
      <c r="U73" s="4"/>
    </row>
    <row r="74" spans="1:21" s="1" customFormat="1" ht="14.5" customHeight="1" x14ac:dyDescent="0.35">
      <c r="A74" s="46" t="s">
        <v>60</v>
      </c>
      <c r="B74" s="102">
        <v>44</v>
      </c>
      <c r="C74" s="46" t="s">
        <v>365</v>
      </c>
      <c r="D74" s="42" t="s">
        <v>37</v>
      </c>
      <c r="E74" s="42">
        <v>15</v>
      </c>
      <c r="F74" s="97" t="str">
        <f t="shared" si="18"/>
        <v>Tabla: Partida</v>
      </c>
      <c r="G74" s="42" t="s">
        <v>170</v>
      </c>
      <c r="H74" s="42" t="s">
        <v>193</v>
      </c>
      <c r="I74" s="42" t="s">
        <v>180</v>
      </c>
      <c r="J74" s="23">
        <f>IF((informe!$J$2-N74)+1&gt;M74,M74,IF((informe!$J$2-N74)+1&lt;0,0,(informe!$J$2-N74)+1))</f>
        <v>0</v>
      </c>
      <c r="K74" s="63" t="e">
        <f>SUMIFS(informe!G:G,informe!A:A,presupuesto!B74)</f>
        <v>#VALUE!</v>
      </c>
      <c r="L74" s="63">
        <f>SUMIFS(informe!F:F,informe!A:A,presupuesto!B74)</f>
        <v>0</v>
      </c>
      <c r="M74" s="23">
        <f t="shared" si="15"/>
        <v>10</v>
      </c>
      <c r="N74" s="23">
        <f t="shared" si="12"/>
        <v>45785</v>
      </c>
      <c r="O74" s="23">
        <f t="shared" si="13"/>
        <v>45794</v>
      </c>
      <c r="P74" s="23">
        <f t="shared" si="17"/>
        <v>0</v>
      </c>
      <c r="Q74" s="23">
        <f t="shared" si="16"/>
        <v>1.5</v>
      </c>
      <c r="R74" s="23">
        <f t="shared" si="14"/>
        <v>0</v>
      </c>
      <c r="S74" s="4"/>
      <c r="T74" s="4"/>
      <c r="U74" s="4"/>
    </row>
    <row r="75" spans="1:21" s="1" customFormat="1" ht="14.5" customHeight="1" x14ac:dyDescent="0.35">
      <c r="A75" s="46" t="s">
        <v>61</v>
      </c>
      <c r="B75" s="102">
        <v>45</v>
      </c>
      <c r="C75" s="46" t="s">
        <v>366</v>
      </c>
      <c r="D75" s="42" t="s">
        <v>119</v>
      </c>
      <c r="E75" s="42">
        <v>2</v>
      </c>
      <c r="F75" s="97" t="str">
        <f t="shared" si="18"/>
        <v>Tabla: Partida</v>
      </c>
      <c r="G75" s="42" t="s">
        <v>93</v>
      </c>
      <c r="H75" s="42" t="s">
        <v>192</v>
      </c>
      <c r="I75" s="42" t="s">
        <v>194</v>
      </c>
      <c r="J75" s="23">
        <f>IF((informe!$J$2-N75)+1&gt;M75,M75,IF((informe!$J$2-N75)+1&lt;0,0,(informe!$J$2-N75)+1))</f>
        <v>0</v>
      </c>
      <c r="K75" s="63" t="e">
        <f>SUMIFS(informe!G:G,informe!A:A,presupuesto!B75)</f>
        <v>#VALUE!</v>
      </c>
      <c r="L75" s="63">
        <f>SUMIFS(informe!F:F,informe!A:A,presupuesto!B75)</f>
        <v>0</v>
      </c>
      <c r="M75" s="23">
        <f t="shared" si="15"/>
        <v>15</v>
      </c>
      <c r="N75" s="23">
        <f t="shared" si="12"/>
        <v>45722</v>
      </c>
      <c r="O75" s="23">
        <f t="shared" si="13"/>
        <v>45736</v>
      </c>
      <c r="P75" s="23">
        <f t="shared" si="17"/>
        <v>0</v>
      </c>
      <c r="Q75" s="23">
        <f t="shared" si="16"/>
        <v>0.13333333333333333</v>
      </c>
      <c r="R75" s="23">
        <f t="shared" si="14"/>
        <v>0</v>
      </c>
      <c r="S75" s="4"/>
      <c r="T75" s="4"/>
      <c r="U75" s="4"/>
    </row>
    <row r="76" spans="1:21" s="1" customFormat="1" ht="14.5" customHeight="1" x14ac:dyDescent="0.35">
      <c r="A76" s="45" t="s">
        <v>62</v>
      </c>
      <c r="B76" s="100"/>
      <c r="C76" s="45" t="s">
        <v>367</v>
      </c>
      <c r="D76" s="40"/>
      <c r="E76" s="40"/>
      <c r="F76" s="97">
        <f t="shared" si="18"/>
        <v>0</v>
      </c>
      <c r="G76" s="40" t="s">
        <v>195</v>
      </c>
      <c r="H76" s="40" t="s">
        <v>196</v>
      </c>
      <c r="I76" s="40" t="s">
        <v>197</v>
      </c>
      <c r="J76" s="23">
        <f>IF((informe!$J$2-N76)+1&gt;M76,M76,IF((informe!$J$2-N76)+1&lt;0,0,(informe!$J$2-N76)+1))</f>
        <v>29</v>
      </c>
      <c r="K76" s="63">
        <f>SUMIFS(informe!G:G,informe!A:A,presupuesto!B76)</f>
        <v>0</v>
      </c>
      <c r="L76" s="63">
        <f>SUMIFS(informe!F:F,informe!A:A,presupuesto!B76)</f>
        <v>0</v>
      </c>
      <c r="M76" s="23">
        <f t="shared" si="15"/>
        <v>272</v>
      </c>
      <c r="N76" s="23">
        <f t="shared" si="12"/>
        <v>45630</v>
      </c>
      <c r="O76" s="23">
        <f t="shared" si="13"/>
        <v>45901</v>
      </c>
      <c r="P76" s="23">
        <f t="shared" si="17"/>
        <v>0</v>
      </c>
      <c r="Q76" s="23">
        <f t="shared" si="16"/>
        <v>0</v>
      </c>
      <c r="R76" s="23">
        <f t="shared" si="14"/>
        <v>0</v>
      </c>
      <c r="S76" s="4"/>
      <c r="T76" s="4"/>
      <c r="U76" s="4"/>
    </row>
    <row r="77" spans="1:21" s="1" customFormat="1" ht="14.5" customHeight="1" x14ac:dyDescent="0.35">
      <c r="A77" s="46" t="s">
        <v>63</v>
      </c>
      <c r="B77" s="102">
        <v>46</v>
      </c>
      <c r="C77" s="46" t="s">
        <v>368</v>
      </c>
      <c r="D77" s="42" t="s">
        <v>119</v>
      </c>
      <c r="E77" s="42">
        <v>1</v>
      </c>
      <c r="F77" s="97" t="str">
        <f t="shared" si="18"/>
        <v>Tabla: Partida</v>
      </c>
      <c r="G77" s="42" t="s">
        <v>161</v>
      </c>
      <c r="H77" s="42" t="s">
        <v>198</v>
      </c>
      <c r="I77" s="42" t="s">
        <v>197</v>
      </c>
      <c r="J77" s="23">
        <f>IF((informe!$J$2-N77)+1&gt;M77,M77,IF((informe!$J$2-N77)+1&lt;0,0,(informe!$J$2-N77)+1))</f>
        <v>0</v>
      </c>
      <c r="K77" s="63" t="e">
        <f>SUMIFS(informe!G:G,informe!A:A,presupuesto!B77)</f>
        <v>#VALUE!</v>
      </c>
      <c r="L77" s="63">
        <f>SUMIFS(informe!F:F,informe!A:A,presupuesto!B77)</f>
        <v>0</v>
      </c>
      <c r="M77" s="23">
        <f t="shared" si="15"/>
        <v>20</v>
      </c>
      <c r="N77" s="23">
        <f t="shared" si="12"/>
        <v>45882</v>
      </c>
      <c r="O77" s="23">
        <f t="shared" si="13"/>
        <v>45901</v>
      </c>
      <c r="P77" s="23">
        <f t="shared" si="17"/>
        <v>0</v>
      </c>
      <c r="Q77" s="23">
        <f t="shared" si="16"/>
        <v>0.05</v>
      </c>
      <c r="R77" s="23">
        <f t="shared" si="14"/>
        <v>0</v>
      </c>
      <c r="S77" s="4"/>
      <c r="T77" s="4"/>
      <c r="U77" s="4"/>
    </row>
    <row r="78" spans="1:21" s="1" customFormat="1" ht="14.5" customHeight="1" x14ac:dyDescent="0.35">
      <c r="A78" s="44" t="s">
        <v>64</v>
      </c>
      <c r="B78" s="101" t="s">
        <v>105</v>
      </c>
      <c r="C78" s="44" t="s">
        <v>299</v>
      </c>
      <c r="D78" s="41"/>
      <c r="E78" s="41"/>
      <c r="F78" s="97">
        <f t="shared" si="18"/>
        <v>0</v>
      </c>
      <c r="G78" s="41" t="s">
        <v>153</v>
      </c>
      <c r="H78" s="41" t="s">
        <v>196</v>
      </c>
      <c r="I78" s="41" t="s">
        <v>168</v>
      </c>
      <c r="J78" s="23">
        <f>IF((informe!$J$2-N78)+1&gt;M78,M78,IF((informe!$J$2-N78)+1&lt;0,0,(informe!$J$2-N78)+1))</f>
        <v>29</v>
      </c>
      <c r="K78" s="63">
        <f>SUMIFS(informe!G:G,informe!A:A,presupuesto!B78)</f>
        <v>0</v>
      </c>
      <c r="L78" s="63">
        <f>SUMIFS(informe!F:F,informe!A:A,presupuesto!B78)</f>
        <v>0</v>
      </c>
      <c r="M78" s="23">
        <f t="shared" si="15"/>
        <v>120</v>
      </c>
      <c r="N78" s="23">
        <f t="shared" si="12"/>
        <v>45630</v>
      </c>
      <c r="O78" s="23">
        <f t="shared" si="13"/>
        <v>45749</v>
      </c>
      <c r="P78" s="23">
        <f t="shared" si="17"/>
        <v>0</v>
      </c>
      <c r="Q78" s="23">
        <f t="shared" si="16"/>
        <v>0</v>
      </c>
      <c r="R78" s="23">
        <f t="shared" si="14"/>
        <v>0</v>
      </c>
      <c r="S78" s="4"/>
      <c r="T78" s="4"/>
      <c r="U78" s="4"/>
    </row>
    <row r="79" spans="1:21" s="1" customFormat="1" ht="14.5" customHeight="1" x14ac:dyDescent="0.35">
      <c r="A79" s="46" t="s">
        <v>65</v>
      </c>
      <c r="B79" s="102">
        <v>47</v>
      </c>
      <c r="C79" s="46" t="s">
        <v>369</v>
      </c>
      <c r="D79" s="42" t="s">
        <v>28</v>
      </c>
      <c r="E79" s="42">
        <v>663</v>
      </c>
      <c r="F79" s="97" t="str">
        <f t="shared" si="18"/>
        <v>Tabla: Partida</v>
      </c>
      <c r="G79" s="42" t="s">
        <v>199</v>
      </c>
      <c r="H79" s="42" t="s">
        <v>196</v>
      </c>
      <c r="I79" s="42" t="s">
        <v>200</v>
      </c>
      <c r="J79" s="23">
        <f>IF((informe!$J$2-N79)+1&gt;M79,M79,IF((informe!$J$2-N79)+1&lt;0,0,(informe!$J$2-N79)+1))</f>
        <v>18</v>
      </c>
      <c r="K79" s="63" t="e">
        <f>SUMIFS(informe!G:G,informe!A:A,presupuesto!B79)</f>
        <v>#VALUE!</v>
      </c>
      <c r="L79" s="63">
        <f>SUMIFS(informe!F:F,informe!A:A,presupuesto!B79)</f>
        <v>0</v>
      </c>
      <c r="M79" s="23">
        <f t="shared" si="15"/>
        <v>18</v>
      </c>
      <c r="N79" s="23">
        <f t="shared" si="12"/>
        <v>45630</v>
      </c>
      <c r="O79" s="23">
        <f t="shared" si="13"/>
        <v>45647</v>
      </c>
      <c r="P79" s="23">
        <f t="shared" si="17"/>
        <v>0</v>
      </c>
      <c r="Q79" s="23">
        <f t="shared" si="16"/>
        <v>36.833333333333336</v>
      </c>
      <c r="R79" s="23">
        <f t="shared" si="14"/>
        <v>0</v>
      </c>
      <c r="S79" s="4"/>
      <c r="T79" s="4"/>
      <c r="U79" s="4"/>
    </row>
    <row r="80" spans="1:21" s="1" customFormat="1" ht="14.5" customHeight="1" x14ac:dyDescent="0.35">
      <c r="A80" s="46" t="s">
        <v>66</v>
      </c>
      <c r="B80" s="102">
        <v>48</v>
      </c>
      <c r="C80" s="46" t="s">
        <v>370</v>
      </c>
      <c r="D80" s="42" t="s">
        <v>28</v>
      </c>
      <c r="E80" s="42">
        <v>270.8</v>
      </c>
      <c r="F80" s="97" t="str">
        <f t="shared" si="18"/>
        <v>Tabla: Partida</v>
      </c>
      <c r="G80" s="42" t="s">
        <v>199</v>
      </c>
      <c r="H80" s="42" t="s">
        <v>201</v>
      </c>
      <c r="I80" s="42" t="s">
        <v>202</v>
      </c>
      <c r="J80" s="23">
        <f>IF((informe!$J$2-N80)+1&gt;M80,M80,IF((informe!$J$2-N80)+1&lt;0,0,(informe!$J$2-N80)+1))</f>
        <v>0</v>
      </c>
      <c r="K80" s="63" t="e">
        <f>SUMIFS(informe!G:G,informe!A:A,presupuesto!B80)</f>
        <v>#VALUE!</v>
      </c>
      <c r="L80" s="63">
        <f>SUMIFS(informe!F:F,informe!A:A,presupuesto!B80)</f>
        <v>0</v>
      </c>
      <c r="M80" s="23">
        <f t="shared" si="15"/>
        <v>18</v>
      </c>
      <c r="N80" s="23">
        <f t="shared" si="12"/>
        <v>45664</v>
      </c>
      <c r="O80" s="23">
        <f t="shared" si="13"/>
        <v>45681</v>
      </c>
      <c r="P80" s="23">
        <f t="shared" si="17"/>
        <v>0</v>
      </c>
      <c r="Q80" s="23">
        <f t="shared" si="16"/>
        <v>15.044444444444444</v>
      </c>
      <c r="R80" s="23">
        <f t="shared" si="14"/>
        <v>0</v>
      </c>
      <c r="S80" s="4"/>
      <c r="T80" s="4"/>
      <c r="U80" s="4"/>
    </row>
    <row r="81" spans="1:21" s="1" customFormat="1" ht="14.5" customHeight="1" x14ac:dyDescent="0.35">
      <c r="A81" s="46" t="s">
        <v>67</v>
      </c>
      <c r="B81" s="102">
        <v>49</v>
      </c>
      <c r="C81" s="46" t="s">
        <v>371</v>
      </c>
      <c r="D81" s="42" t="s">
        <v>28</v>
      </c>
      <c r="E81" s="42">
        <v>141.5</v>
      </c>
      <c r="F81" s="97" t="str">
        <f t="shared" si="18"/>
        <v>Tabla: Partida</v>
      </c>
      <c r="G81" s="42" t="s">
        <v>93</v>
      </c>
      <c r="H81" s="42" t="s">
        <v>150</v>
      </c>
      <c r="I81" s="42" t="s">
        <v>168</v>
      </c>
      <c r="J81" s="23">
        <f>IF((informe!$J$2-N81)+1&gt;M81,M81,IF((informe!$J$2-N81)+1&lt;0,0,(informe!$J$2-N81)+1))</f>
        <v>0</v>
      </c>
      <c r="K81" s="63" t="e">
        <f>SUMIFS(informe!G:G,informe!A:A,presupuesto!B81)</f>
        <v>#VALUE!</v>
      </c>
      <c r="L81" s="63">
        <f>SUMIFS(informe!F:F,informe!A:A,presupuesto!B81)</f>
        <v>0</v>
      </c>
      <c r="M81" s="23">
        <f t="shared" si="15"/>
        <v>15</v>
      </c>
      <c r="N81" s="23">
        <f t="shared" si="12"/>
        <v>45735</v>
      </c>
      <c r="O81" s="23">
        <f t="shared" si="13"/>
        <v>45749</v>
      </c>
      <c r="P81" s="23">
        <f t="shared" si="17"/>
        <v>0</v>
      </c>
      <c r="Q81" s="23">
        <f t="shared" si="16"/>
        <v>9.4333333333333336</v>
      </c>
      <c r="R81" s="23">
        <f t="shared" si="14"/>
        <v>0</v>
      </c>
      <c r="S81" s="4"/>
      <c r="T81" s="4"/>
      <c r="U81" s="4"/>
    </row>
    <row r="82" spans="1:21" s="1" customFormat="1" ht="14.5" customHeight="1" x14ac:dyDescent="0.35">
      <c r="A82" s="46" t="s">
        <v>372</v>
      </c>
      <c r="B82" s="102">
        <v>50</v>
      </c>
      <c r="C82" s="46" t="s">
        <v>304</v>
      </c>
      <c r="D82" s="42" t="s">
        <v>28</v>
      </c>
      <c r="E82" s="42">
        <v>507.5</v>
      </c>
      <c r="F82" s="97" t="str">
        <f t="shared" si="18"/>
        <v>Tabla: Partida</v>
      </c>
      <c r="G82" s="42" t="s">
        <v>99</v>
      </c>
      <c r="H82" s="42" t="s">
        <v>203</v>
      </c>
      <c r="I82" s="42" t="s">
        <v>200</v>
      </c>
      <c r="J82" s="23">
        <f>IF((informe!$J$2-N82)+1&gt;M82,M82,IF((informe!$J$2-N82)+1&lt;0,0,(informe!$J$2-N82)+1))</f>
        <v>7</v>
      </c>
      <c r="K82" s="63" t="e">
        <f>SUMIFS(informe!G:G,informe!A:A,presupuesto!B82)</f>
        <v>#VALUE!</v>
      </c>
      <c r="L82" s="63">
        <f>SUMIFS(informe!F:F,informe!A:A,presupuesto!B82)</f>
        <v>0</v>
      </c>
      <c r="M82" s="23">
        <f t="shared" si="15"/>
        <v>7</v>
      </c>
      <c r="N82" s="23">
        <f t="shared" si="12"/>
        <v>45641</v>
      </c>
      <c r="O82" s="23">
        <f t="shared" si="13"/>
        <v>45647</v>
      </c>
      <c r="P82" s="23">
        <f t="shared" si="17"/>
        <v>0</v>
      </c>
      <c r="Q82" s="23">
        <f t="shared" si="16"/>
        <v>72.5</v>
      </c>
      <c r="R82" s="23">
        <f t="shared" si="14"/>
        <v>0</v>
      </c>
      <c r="S82" s="4"/>
      <c r="T82" s="4"/>
      <c r="U82" s="4"/>
    </row>
    <row r="83" spans="1:21" s="1" customFormat="1" ht="14.5" customHeight="1" x14ac:dyDescent="0.35">
      <c r="A83" s="44" t="s">
        <v>68</v>
      </c>
      <c r="B83" s="101" t="s">
        <v>112</v>
      </c>
      <c r="C83" s="44" t="s">
        <v>373</v>
      </c>
      <c r="D83" s="41"/>
      <c r="E83" s="41"/>
      <c r="F83" s="97">
        <f t="shared" si="18"/>
        <v>0</v>
      </c>
      <c r="G83" s="41" t="s">
        <v>155</v>
      </c>
      <c r="H83" s="41" t="s">
        <v>204</v>
      </c>
      <c r="I83" s="41" t="s">
        <v>205</v>
      </c>
      <c r="J83" s="23">
        <f>IF((informe!$J$2-N83)+1&gt;M83,M83,IF((informe!$J$2-N83)+1&lt;0,0,(informe!$J$2-N83)+1))</f>
        <v>0</v>
      </c>
      <c r="K83" s="63">
        <f>SUMIFS(informe!G:G,informe!A:A,presupuesto!B83)</f>
        <v>0</v>
      </c>
      <c r="L83" s="63">
        <f>SUMIFS(informe!F:F,informe!A:A,presupuesto!B83)</f>
        <v>0</v>
      </c>
      <c r="M83" s="23">
        <f t="shared" si="15"/>
        <v>38</v>
      </c>
      <c r="N83" s="23">
        <f t="shared" si="12"/>
        <v>45682</v>
      </c>
      <c r="O83" s="23">
        <f t="shared" si="13"/>
        <v>45719</v>
      </c>
      <c r="P83" s="23">
        <f t="shared" si="17"/>
        <v>0</v>
      </c>
      <c r="Q83" s="23">
        <f t="shared" si="16"/>
        <v>0</v>
      </c>
      <c r="R83" s="23">
        <f t="shared" si="14"/>
        <v>0</v>
      </c>
      <c r="S83" s="4"/>
      <c r="T83" s="4"/>
      <c r="U83" s="4"/>
    </row>
    <row r="84" spans="1:21" s="1" customFormat="1" ht="14.5" customHeight="1" x14ac:dyDescent="0.35">
      <c r="A84" s="46" t="s">
        <v>69</v>
      </c>
      <c r="B84" s="102">
        <v>51</v>
      </c>
      <c r="C84" s="46" t="s">
        <v>374</v>
      </c>
      <c r="D84" s="42" t="s">
        <v>28</v>
      </c>
      <c r="E84" s="42">
        <v>1.06</v>
      </c>
      <c r="F84" s="97" t="str">
        <f t="shared" si="18"/>
        <v>Tabla: Partida</v>
      </c>
      <c r="G84" s="42" t="s">
        <v>94</v>
      </c>
      <c r="H84" s="42" t="s">
        <v>204</v>
      </c>
      <c r="I84" s="42" t="s">
        <v>204</v>
      </c>
      <c r="J84" s="23">
        <f>IF((informe!$J$2-N84)+1&gt;M84,M84,IF((informe!$J$2-N84)+1&lt;0,0,(informe!$J$2-N84)+1))</f>
        <v>0</v>
      </c>
      <c r="K84" s="63" t="e">
        <f>SUMIFS(informe!G:G,informe!A:A,presupuesto!B84)</f>
        <v>#VALUE!</v>
      </c>
      <c r="L84" s="63">
        <f>SUMIFS(informe!F:F,informe!A:A,presupuesto!B84)</f>
        <v>0</v>
      </c>
      <c r="M84" s="23">
        <f t="shared" si="15"/>
        <v>1</v>
      </c>
      <c r="N84" s="23">
        <f t="shared" si="12"/>
        <v>45682</v>
      </c>
      <c r="O84" s="23">
        <f t="shared" si="13"/>
        <v>45682</v>
      </c>
      <c r="P84" s="23">
        <f t="shared" si="17"/>
        <v>0</v>
      </c>
      <c r="Q84" s="23">
        <f t="shared" si="16"/>
        <v>1.06</v>
      </c>
      <c r="R84" s="23">
        <f t="shared" si="14"/>
        <v>0</v>
      </c>
      <c r="S84" s="4"/>
      <c r="T84" s="4"/>
      <c r="U84" s="4"/>
    </row>
    <row r="85" spans="1:21" s="1" customFormat="1" ht="14.5" customHeight="1" x14ac:dyDescent="0.35">
      <c r="A85" s="46" t="s">
        <v>375</v>
      </c>
      <c r="B85" s="102">
        <v>52</v>
      </c>
      <c r="C85" s="46" t="s">
        <v>376</v>
      </c>
      <c r="D85" s="42" t="s">
        <v>28</v>
      </c>
      <c r="E85" s="42">
        <v>22.74</v>
      </c>
      <c r="F85" s="97" t="str">
        <f t="shared" si="18"/>
        <v>Tabla: Partida</v>
      </c>
      <c r="G85" s="42" t="s">
        <v>7</v>
      </c>
      <c r="H85" s="42" t="s">
        <v>206</v>
      </c>
      <c r="I85" s="42" t="s">
        <v>205</v>
      </c>
      <c r="J85" s="23">
        <f>IF((informe!$J$2-N85)+1&gt;M85,M85,IF((informe!$J$2-N85)+1&lt;0,0,(informe!$J$2-N85)+1))</f>
        <v>0</v>
      </c>
      <c r="K85" s="63" t="e">
        <f>SUMIFS(informe!G:G,informe!A:A,presupuesto!B85)</f>
        <v>#VALUE!</v>
      </c>
      <c r="L85" s="63">
        <f>SUMIFS(informe!F:F,informe!A:A,presupuesto!B85)</f>
        <v>0</v>
      </c>
      <c r="M85" s="23">
        <f t="shared" si="15"/>
        <v>30</v>
      </c>
      <c r="N85" s="23">
        <f t="shared" si="12"/>
        <v>45690</v>
      </c>
      <c r="O85" s="23">
        <f t="shared" si="13"/>
        <v>45719</v>
      </c>
      <c r="P85" s="23">
        <f t="shared" si="17"/>
        <v>0</v>
      </c>
      <c r="Q85" s="23">
        <f t="shared" si="16"/>
        <v>0.7579999999999999</v>
      </c>
      <c r="R85" s="23">
        <f t="shared" si="14"/>
        <v>0</v>
      </c>
      <c r="S85" s="4"/>
      <c r="T85" s="4"/>
      <c r="U85" s="4"/>
    </row>
    <row r="86" spans="1:21" s="1" customFormat="1" ht="14.5" customHeight="1" x14ac:dyDescent="0.35">
      <c r="A86" s="46" t="s">
        <v>377</v>
      </c>
      <c r="B86" s="102">
        <v>53</v>
      </c>
      <c r="C86" s="46" t="s">
        <v>378</v>
      </c>
      <c r="D86" s="42" t="s">
        <v>117</v>
      </c>
      <c r="E86" s="42">
        <v>2062</v>
      </c>
      <c r="F86" s="97" t="str">
        <f t="shared" si="18"/>
        <v>Tabla: Partida</v>
      </c>
      <c r="G86" s="42" t="s">
        <v>207</v>
      </c>
      <c r="H86" s="42" t="s">
        <v>208</v>
      </c>
      <c r="I86" s="42" t="s">
        <v>209</v>
      </c>
      <c r="J86" s="23">
        <f>IF((informe!$J$2-N86)+1&gt;M86,M86,IF((informe!$J$2-N86)+1&lt;0,0,(informe!$J$2-N86)+1))</f>
        <v>0</v>
      </c>
      <c r="K86" s="63" t="e">
        <f>SUMIFS(informe!G:G,informe!A:A,presupuesto!B86)</f>
        <v>#VALUE!</v>
      </c>
      <c r="L86" s="63">
        <f>SUMIFS(informe!F:F,informe!A:A,presupuesto!B86)</f>
        <v>0</v>
      </c>
      <c r="M86" s="23">
        <f t="shared" si="15"/>
        <v>25</v>
      </c>
      <c r="N86" s="23">
        <f t="shared" si="12"/>
        <v>45685</v>
      </c>
      <c r="O86" s="23">
        <f t="shared" si="13"/>
        <v>45709</v>
      </c>
      <c r="P86" s="23">
        <f t="shared" si="17"/>
        <v>0</v>
      </c>
      <c r="Q86" s="23">
        <f t="shared" si="16"/>
        <v>82.48</v>
      </c>
      <c r="R86" s="23">
        <f t="shared" si="14"/>
        <v>0</v>
      </c>
      <c r="S86" s="4"/>
      <c r="T86" s="4"/>
      <c r="U86" s="4"/>
    </row>
    <row r="87" spans="1:21" s="1" customFormat="1" ht="14.5" customHeight="1" x14ac:dyDescent="0.35">
      <c r="A87" s="44" t="s">
        <v>70</v>
      </c>
      <c r="B87" s="101" t="s">
        <v>36</v>
      </c>
      <c r="C87" s="44" t="s">
        <v>379</v>
      </c>
      <c r="D87" s="41"/>
      <c r="E87" s="41"/>
      <c r="F87" s="97">
        <f t="shared" si="18"/>
        <v>0</v>
      </c>
      <c r="G87" s="41" t="s">
        <v>96</v>
      </c>
      <c r="H87" s="41" t="s">
        <v>210</v>
      </c>
      <c r="I87" s="41" t="s">
        <v>184</v>
      </c>
      <c r="J87" s="23">
        <f>IF((informe!$J$2-N87)+1&gt;M87,M87,IF((informe!$J$2-N87)+1&lt;0,0,(informe!$J$2-N87)+1))</f>
        <v>0</v>
      </c>
      <c r="K87" s="63">
        <f>SUMIFS(informe!G:G,informe!A:A,presupuesto!B87)</f>
        <v>0</v>
      </c>
      <c r="L87" s="63">
        <f>SUMIFS(informe!F:F,informe!A:A,presupuesto!B87)</f>
        <v>0</v>
      </c>
      <c r="M87" s="23">
        <f t="shared" si="15"/>
        <v>97</v>
      </c>
      <c r="N87" s="23">
        <f t="shared" si="12"/>
        <v>45674</v>
      </c>
      <c r="O87" s="23">
        <f t="shared" si="13"/>
        <v>45770</v>
      </c>
      <c r="P87" s="23">
        <f t="shared" si="17"/>
        <v>0</v>
      </c>
      <c r="Q87" s="23">
        <f t="shared" si="16"/>
        <v>0</v>
      </c>
      <c r="R87" s="23">
        <f t="shared" si="14"/>
        <v>0</v>
      </c>
      <c r="S87" s="4"/>
      <c r="T87" s="4"/>
      <c r="U87" s="4"/>
    </row>
    <row r="88" spans="1:21" s="1" customFormat="1" ht="14.5" customHeight="1" x14ac:dyDescent="0.35">
      <c r="A88" s="46" t="s">
        <v>71</v>
      </c>
      <c r="B88" s="102">
        <v>54</v>
      </c>
      <c r="C88" s="46" t="s">
        <v>380</v>
      </c>
      <c r="D88" s="42" t="s">
        <v>38</v>
      </c>
      <c r="E88" s="42">
        <v>32</v>
      </c>
      <c r="F88" s="97" t="str">
        <f t="shared" si="18"/>
        <v>Tabla: Partida</v>
      </c>
      <c r="G88" s="42" t="s">
        <v>144</v>
      </c>
      <c r="H88" s="42" t="s">
        <v>211</v>
      </c>
      <c r="I88" s="42" t="s">
        <v>212</v>
      </c>
      <c r="J88" s="23">
        <f>IF((informe!$J$2-N88)+1&gt;M88,M88,IF((informe!$J$2-N88)+1&lt;0,0,(informe!$J$2-N88)+1))</f>
        <v>0</v>
      </c>
      <c r="K88" s="63" t="e">
        <f>SUMIFS(informe!G:G,informe!A:A,presupuesto!B88)</f>
        <v>#VALUE!</v>
      </c>
      <c r="L88" s="63">
        <f>SUMIFS(informe!F:F,informe!A:A,presupuesto!B88)</f>
        <v>0</v>
      </c>
      <c r="M88" s="23">
        <f t="shared" si="15"/>
        <v>2</v>
      </c>
      <c r="N88" s="23">
        <f t="shared" si="12"/>
        <v>45715</v>
      </c>
      <c r="O88" s="23">
        <f t="shared" si="13"/>
        <v>45716</v>
      </c>
      <c r="P88" s="23">
        <f t="shared" si="17"/>
        <v>0</v>
      </c>
      <c r="Q88" s="23">
        <f t="shared" si="16"/>
        <v>16</v>
      </c>
      <c r="R88" s="23">
        <f t="shared" si="14"/>
        <v>0</v>
      </c>
      <c r="S88" s="4"/>
      <c r="T88" s="4"/>
      <c r="U88" s="4"/>
    </row>
    <row r="89" spans="1:21" s="1" customFormat="1" ht="14.5" customHeight="1" x14ac:dyDescent="0.35">
      <c r="A89" s="46" t="s">
        <v>72</v>
      </c>
      <c r="B89" s="102">
        <v>55</v>
      </c>
      <c r="C89" s="46" t="s">
        <v>381</v>
      </c>
      <c r="D89" s="42" t="s">
        <v>38</v>
      </c>
      <c r="E89" s="42">
        <v>4</v>
      </c>
      <c r="F89" s="97" t="str">
        <f t="shared" si="18"/>
        <v>Tabla: Partida</v>
      </c>
      <c r="G89" s="42" t="s">
        <v>99</v>
      </c>
      <c r="H89" s="42" t="s">
        <v>213</v>
      </c>
      <c r="I89" s="42" t="s">
        <v>214</v>
      </c>
      <c r="J89" s="23">
        <f>IF((informe!$J$2-N89)+1&gt;M89,M89,IF((informe!$J$2-N89)+1&lt;0,0,(informe!$J$2-N89)+1))</f>
        <v>0</v>
      </c>
      <c r="K89" s="63" t="e">
        <f>SUMIFS(informe!G:G,informe!A:A,presupuesto!B89)</f>
        <v>#VALUE!</v>
      </c>
      <c r="L89" s="63">
        <f>SUMIFS(informe!F:F,informe!A:A,presupuesto!B89)</f>
        <v>0</v>
      </c>
      <c r="M89" s="23">
        <f t="shared" si="15"/>
        <v>7</v>
      </c>
      <c r="N89" s="23">
        <f t="shared" si="12"/>
        <v>45757</v>
      </c>
      <c r="O89" s="23">
        <f t="shared" si="13"/>
        <v>45763</v>
      </c>
      <c r="P89" s="23">
        <f t="shared" si="17"/>
        <v>0</v>
      </c>
      <c r="Q89" s="23">
        <f t="shared" si="16"/>
        <v>0.5714285714285714</v>
      </c>
      <c r="R89" s="23">
        <f t="shared" si="14"/>
        <v>0</v>
      </c>
      <c r="S89" s="4"/>
      <c r="T89" s="4"/>
      <c r="U89" s="4"/>
    </row>
    <row r="90" spans="1:21" s="1" customFormat="1" ht="14.5" customHeight="1" x14ac:dyDescent="0.35">
      <c r="A90" s="46" t="s">
        <v>73</v>
      </c>
      <c r="B90" s="102">
        <v>56</v>
      </c>
      <c r="C90" s="46" t="s">
        <v>382</v>
      </c>
      <c r="D90" s="42" t="s">
        <v>109</v>
      </c>
      <c r="E90" s="42">
        <v>5986</v>
      </c>
      <c r="F90" s="97" t="str">
        <f t="shared" si="18"/>
        <v>Tabla: Partida</v>
      </c>
      <c r="G90" s="42" t="s">
        <v>95</v>
      </c>
      <c r="H90" s="42" t="s">
        <v>210</v>
      </c>
      <c r="I90" s="42" t="s">
        <v>214</v>
      </c>
      <c r="J90" s="23">
        <f>IF((informe!$J$2-N90)+1&gt;M90,M90,IF((informe!$J$2-N90)+1&lt;0,0,(informe!$J$2-N90)+1))</f>
        <v>0</v>
      </c>
      <c r="K90" s="63" t="e">
        <f>SUMIFS(informe!G:G,informe!A:A,presupuesto!B90)</f>
        <v>#VALUE!</v>
      </c>
      <c r="L90" s="63">
        <f>SUMIFS(informe!F:F,informe!A:A,presupuesto!B90)</f>
        <v>0</v>
      </c>
      <c r="M90" s="23">
        <f t="shared" si="15"/>
        <v>90</v>
      </c>
      <c r="N90" s="23">
        <f t="shared" si="12"/>
        <v>45674</v>
      </c>
      <c r="O90" s="23">
        <f t="shared" si="13"/>
        <v>45763</v>
      </c>
      <c r="P90" s="23">
        <f t="shared" si="17"/>
        <v>0</v>
      </c>
      <c r="Q90" s="23">
        <f t="shared" si="16"/>
        <v>66.511111111111106</v>
      </c>
      <c r="R90" s="23">
        <f t="shared" si="14"/>
        <v>0</v>
      </c>
      <c r="S90" s="4"/>
      <c r="T90" s="4"/>
      <c r="U90" s="4"/>
    </row>
    <row r="91" spans="1:21" s="1" customFormat="1" ht="14.5" customHeight="1" x14ac:dyDescent="0.35">
      <c r="A91" s="46" t="s">
        <v>383</v>
      </c>
      <c r="B91" s="102">
        <v>57</v>
      </c>
      <c r="C91" s="46" t="s">
        <v>384</v>
      </c>
      <c r="D91" s="42" t="s">
        <v>109</v>
      </c>
      <c r="E91" s="42">
        <v>1273.5</v>
      </c>
      <c r="F91" s="97" t="str">
        <f t="shared" si="18"/>
        <v>Tabla: Partida</v>
      </c>
      <c r="G91" s="42" t="s">
        <v>95</v>
      </c>
      <c r="H91" s="42" t="s">
        <v>210</v>
      </c>
      <c r="I91" s="42" t="s">
        <v>214</v>
      </c>
      <c r="J91" s="23">
        <f>IF((informe!$J$2-N91)+1&gt;M91,M91,IF((informe!$J$2-N91)+1&lt;0,0,(informe!$J$2-N91)+1))</f>
        <v>0</v>
      </c>
      <c r="K91" s="63" t="e">
        <f>SUMIFS(informe!G:G,informe!A:A,presupuesto!B91)</f>
        <v>#VALUE!</v>
      </c>
      <c r="L91" s="63">
        <f>SUMIFS(informe!F:F,informe!A:A,presupuesto!B91)</f>
        <v>0</v>
      </c>
      <c r="M91" s="23">
        <f t="shared" ref="M91:M154" si="19">(O91-N91)+1</f>
        <v>90</v>
      </c>
      <c r="N91" s="23">
        <f t="shared" si="12"/>
        <v>45674</v>
      </c>
      <c r="O91" s="23">
        <f t="shared" si="13"/>
        <v>45763</v>
      </c>
      <c r="P91" s="23">
        <f t="shared" ref="P91:P154" si="20">L91/M91</f>
        <v>0</v>
      </c>
      <c r="Q91" s="23">
        <f t="shared" si="16"/>
        <v>14.15</v>
      </c>
      <c r="R91" s="23">
        <f t="shared" si="14"/>
        <v>0</v>
      </c>
      <c r="S91" s="4"/>
      <c r="T91" s="4"/>
      <c r="U91" s="4"/>
    </row>
    <row r="92" spans="1:21" s="1" customFormat="1" ht="14.5" customHeight="1" x14ac:dyDescent="0.35">
      <c r="A92" s="46" t="s">
        <v>385</v>
      </c>
      <c r="B92" s="102">
        <v>58</v>
      </c>
      <c r="C92" s="46" t="s">
        <v>386</v>
      </c>
      <c r="D92" s="42" t="s">
        <v>109</v>
      </c>
      <c r="E92" s="42">
        <v>3324.4</v>
      </c>
      <c r="F92" s="97" t="str">
        <f t="shared" si="18"/>
        <v>Tabla: Partida</v>
      </c>
      <c r="G92" s="42" t="s">
        <v>95</v>
      </c>
      <c r="H92" s="42" t="s">
        <v>210</v>
      </c>
      <c r="I92" s="42" t="s">
        <v>214</v>
      </c>
      <c r="J92" s="23">
        <f>IF((informe!$J$2-N92)+1&gt;M92,M92,IF((informe!$J$2-N92)+1&lt;0,0,(informe!$J$2-N92)+1))</f>
        <v>0</v>
      </c>
      <c r="K92" s="63" t="e">
        <f>SUMIFS(informe!G:G,informe!A:A,presupuesto!B92)</f>
        <v>#VALUE!</v>
      </c>
      <c r="L92" s="63">
        <f>SUMIFS(informe!F:F,informe!A:A,presupuesto!B92)</f>
        <v>0</v>
      </c>
      <c r="M92" s="23">
        <f t="shared" si="19"/>
        <v>90</v>
      </c>
      <c r="N92" s="23">
        <f t="shared" si="12"/>
        <v>45674</v>
      </c>
      <c r="O92" s="23">
        <f t="shared" si="13"/>
        <v>45763</v>
      </c>
      <c r="P92" s="23">
        <f t="shared" si="20"/>
        <v>0</v>
      </c>
      <c r="Q92" s="23">
        <f t="shared" si="16"/>
        <v>36.937777777777782</v>
      </c>
      <c r="R92" s="23">
        <f t="shared" si="14"/>
        <v>0</v>
      </c>
      <c r="S92" s="4"/>
      <c r="T92" s="4"/>
      <c r="U92" s="4"/>
    </row>
    <row r="93" spans="1:21" s="1" customFormat="1" ht="14.5" customHeight="1" x14ac:dyDescent="0.35">
      <c r="A93" s="46" t="s">
        <v>387</v>
      </c>
      <c r="B93" s="102">
        <v>59</v>
      </c>
      <c r="C93" s="46" t="s">
        <v>388</v>
      </c>
      <c r="D93" s="42" t="s">
        <v>109</v>
      </c>
      <c r="E93" s="42">
        <v>18</v>
      </c>
      <c r="F93" s="97" t="str">
        <f t="shared" si="18"/>
        <v>Tabla: Partida</v>
      </c>
      <c r="G93" s="42" t="s">
        <v>164</v>
      </c>
      <c r="H93" s="42" t="s">
        <v>205</v>
      </c>
      <c r="I93" s="42" t="s">
        <v>214</v>
      </c>
      <c r="J93" s="23">
        <f>IF((informe!$J$2-N93)+1&gt;M93,M93,IF((informe!$J$2-N93)+1&lt;0,0,(informe!$J$2-N93)+1))</f>
        <v>0</v>
      </c>
      <c r="K93" s="63" t="e">
        <f>SUMIFS(informe!G:G,informe!A:A,presupuesto!B93)</f>
        <v>#VALUE!</v>
      </c>
      <c r="L93" s="63">
        <f>SUMIFS(informe!F:F,informe!A:A,presupuesto!B93)</f>
        <v>0</v>
      </c>
      <c r="M93" s="23">
        <f t="shared" si="19"/>
        <v>45</v>
      </c>
      <c r="N93" s="23">
        <f t="shared" si="12"/>
        <v>45719</v>
      </c>
      <c r="O93" s="23">
        <f t="shared" si="13"/>
        <v>45763</v>
      </c>
      <c r="P93" s="23">
        <f t="shared" si="20"/>
        <v>0</v>
      </c>
      <c r="Q93" s="23">
        <f t="shared" si="16"/>
        <v>0.4</v>
      </c>
      <c r="R93" s="23">
        <f t="shared" si="14"/>
        <v>0</v>
      </c>
      <c r="S93" s="4"/>
      <c r="T93" s="4"/>
      <c r="U93" s="4"/>
    </row>
    <row r="94" spans="1:21" s="1" customFormat="1" ht="14.5" customHeight="1" x14ac:dyDescent="0.35">
      <c r="A94" s="46" t="s">
        <v>389</v>
      </c>
      <c r="B94" s="102">
        <v>60</v>
      </c>
      <c r="C94" s="46" t="s">
        <v>390</v>
      </c>
      <c r="D94" s="42" t="s">
        <v>109</v>
      </c>
      <c r="E94" s="42">
        <v>325.39999999999998</v>
      </c>
      <c r="F94" s="97" t="str">
        <f t="shared" si="18"/>
        <v>Tabla: Partida</v>
      </c>
      <c r="G94" s="42" t="s">
        <v>164</v>
      </c>
      <c r="H94" s="42" t="s">
        <v>205</v>
      </c>
      <c r="I94" s="42" t="s">
        <v>214</v>
      </c>
      <c r="J94" s="23">
        <f>IF((informe!$J$2-N94)+1&gt;M94,M94,IF((informe!$J$2-N94)+1&lt;0,0,(informe!$J$2-N94)+1))</f>
        <v>0</v>
      </c>
      <c r="K94" s="63" t="e">
        <f>SUMIFS(informe!G:G,informe!A:A,presupuesto!B94)</f>
        <v>#VALUE!</v>
      </c>
      <c r="L94" s="63">
        <f>SUMIFS(informe!F:F,informe!A:A,presupuesto!B94)</f>
        <v>0</v>
      </c>
      <c r="M94" s="23">
        <f t="shared" si="19"/>
        <v>45</v>
      </c>
      <c r="N94" s="23">
        <f t="shared" si="12"/>
        <v>45719</v>
      </c>
      <c r="O94" s="23">
        <f t="shared" si="13"/>
        <v>45763</v>
      </c>
      <c r="P94" s="23">
        <f t="shared" si="20"/>
        <v>0</v>
      </c>
      <c r="Q94" s="23">
        <f t="shared" si="16"/>
        <v>7.2311111111111108</v>
      </c>
      <c r="R94" s="23">
        <f t="shared" si="14"/>
        <v>0</v>
      </c>
      <c r="S94" s="4"/>
      <c r="T94" s="4"/>
      <c r="U94" s="4"/>
    </row>
    <row r="95" spans="1:21" s="1" customFormat="1" ht="14.5" customHeight="1" x14ac:dyDescent="0.35">
      <c r="A95" s="46" t="s">
        <v>391</v>
      </c>
      <c r="B95" s="102">
        <v>61</v>
      </c>
      <c r="C95" s="46" t="s">
        <v>392</v>
      </c>
      <c r="D95" s="42" t="s">
        <v>119</v>
      </c>
      <c r="E95" s="42">
        <v>1</v>
      </c>
      <c r="F95" s="97" t="str">
        <f t="shared" si="18"/>
        <v>Tabla: Partida</v>
      </c>
      <c r="G95" s="42" t="s">
        <v>7</v>
      </c>
      <c r="H95" s="42" t="s">
        <v>148</v>
      </c>
      <c r="I95" s="42" t="s">
        <v>214</v>
      </c>
      <c r="J95" s="23">
        <f>IF((informe!$J$2-N95)+1&gt;M95,M95,IF((informe!$J$2-N95)+1&lt;0,0,(informe!$J$2-N95)+1))</f>
        <v>0</v>
      </c>
      <c r="K95" s="63" t="e">
        <f>SUMIFS(informe!G:G,informe!A:A,presupuesto!B95)</f>
        <v>#VALUE!</v>
      </c>
      <c r="L95" s="63">
        <f>SUMIFS(informe!F:F,informe!A:A,presupuesto!B95)</f>
        <v>0</v>
      </c>
      <c r="M95" s="23">
        <f t="shared" si="19"/>
        <v>30</v>
      </c>
      <c r="N95" s="23">
        <f t="shared" si="12"/>
        <v>45734</v>
      </c>
      <c r="O95" s="23">
        <f t="shared" si="13"/>
        <v>45763</v>
      </c>
      <c r="P95" s="23">
        <f t="shared" si="20"/>
        <v>0</v>
      </c>
      <c r="Q95" s="23">
        <f t="shared" si="16"/>
        <v>3.3333333333333333E-2</v>
      </c>
      <c r="R95" s="23">
        <f t="shared" si="14"/>
        <v>0</v>
      </c>
      <c r="S95" s="4"/>
      <c r="T95" s="4"/>
      <c r="U95" s="4"/>
    </row>
    <row r="96" spans="1:21" s="1" customFormat="1" ht="14.5" customHeight="1" x14ac:dyDescent="0.35">
      <c r="A96" s="46" t="s">
        <v>393</v>
      </c>
      <c r="B96" s="102">
        <v>62</v>
      </c>
      <c r="C96" s="46" t="s">
        <v>394</v>
      </c>
      <c r="D96" s="42" t="s">
        <v>119</v>
      </c>
      <c r="E96" s="42">
        <v>1</v>
      </c>
      <c r="F96" s="97" t="str">
        <f t="shared" si="18"/>
        <v>Tabla: Partida</v>
      </c>
      <c r="G96" s="42" t="s">
        <v>7</v>
      </c>
      <c r="H96" s="42" t="s">
        <v>148</v>
      </c>
      <c r="I96" s="42" t="s">
        <v>214</v>
      </c>
      <c r="J96" s="23">
        <f>IF((informe!$J$2-N96)+1&gt;M96,M96,IF((informe!$J$2-N96)+1&lt;0,0,(informe!$J$2-N96)+1))</f>
        <v>0</v>
      </c>
      <c r="K96" s="63" t="e">
        <f>SUMIFS(informe!G:G,informe!A:A,presupuesto!B96)</f>
        <v>#VALUE!</v>
      </c>
      <c r="L96" s="63">
        <f>SUMIFS(informe!F:F,informe!A:A,presupuesto!B96)</f>
        <v>0</v>
      </c>
      <c r="M96" s="23">
        <f t="shared" si="19"/>
        <v>30</v>
      </c>
      <c r="N96" s="23">
        <f t="shared" si="12"/>
        <v>45734</v>
      </c>
      <c r="O96" s="23">
        <f t="shared" si="13"/>
        <v>45763</v>
      </c>
      <c r="P96" s="23">
        <f t="shared" si="20"/>
        <v>0</v>
      </c>
      <c r="Q96" s="23">
        <f t="shared" si="16"/>
        <v>3.3333333333333333E-2</v>
      </c>
      <c r="R96" s="23">
        <f t="shared" si="14"/>
        <v>0</v>
      </c>
      <c r="S96" s="4"/>
      <c r="T96" s="4"/>
      <c r="U96" s="4"/>
    </row>
    <row r="97" spans="1:21" s="1" customFormat="1" ht="14.5" customHeight="1" x14ac:dyDescent="0.35">
      <c r="A97" s="46" t="s">
        <v>395</v>
      </c>
      <c r="B97" s="102">
        <v>63</v>
      </c>
      <c r="C97" s="46" t="s">
        <v>396</v>
      </c>
      <c r="D97" s="42" t="s">
        <v>119</v>
      </c>
      <c r="E97" s="42">
        <v>1</v>
      </c>
      <c r="F97" s="97" t="str">
        <f t="shared" si="18"/>
        <v>Tabla: Partida</v>
      </c>
      <c r="G97" s="42" t="s">
        <v>7</v>
      </c>
      <c r="H97" s="42" t="s">
        <v>151</v>
      </c>
      <c r="I97" s="42" t="s">
        <v>184</v>
      </c>
      <c r="J97" s="23">
        <f>IF((informe!$J$2-N97)+1&gt;M97,M97,IF((informe!$J$2-N97)+1&lt;0,0,(informe!$J$2-N97)+1))</f>
        <v>0</v>
      </c>
      <c r="K97" s="63" t="e">
        <f>SUMIFS(informe!G:G,informe!A:A,presupuesto!B97)</f>
        <v>#VALUE!</v>
      </c>
      <c r="L97" s="63">
        <f>SUMIFS(informe!F:F,informe!A:A,presupuesto!B97)</f>
        <v>0</v>
      </c>
      <c r="M97" s="23">
        <f t="shared" si="19"/>
        <v>30</v>
      </c>
      <c r="N97" s="23">
        <f t="shared" si="12"/>
        <v>45741</v>
      </c>
      <c r="O97" s="23">
        <f t="shared" si="13"/>
        <v>45770</v>
      </c>
      <c r="P97" s="23">
        <f t="shared" si="20"/>
        <v>0</v>
      </c>
      <c r="Q97" s="23">
        <f t="shared" si="16"/>
        <v>3.3333333333333333E-2</v>
      </c>
      <c r="R97" s="23">
        <f t="shared" si="14"/>
        <v>0</v>
      </c>
      <c r="S97" s="4"/>
      <c r="T97" s="4"/>
      <c r="U97" s="4"/>
    </row>
    <row r="98" spans="1:21" s="1" customFormat="1" ht="14.5" customHeight="1" x14ac:dyDescent="0.35">
      <c r="A98" s="44" t="s">
        <v>397</v>
      </c>
      <c r="B98" s="101" t="s">
        <v>125</v>
      </c>
      <c r="C98" s="44" t="s">
        <v>306</v>
      </c>
      <c r="D98" s="41"/>
      <c r="E98" s="41"/>
      <c r="F98" s="97">
        <f t="shared" si="18"/>
        <v>0</v>
      </c>
      <c r="G98" s="41" t="s">
        <v>215</v>
      </c>
      <c r="H98" s="41" t="s">
        <v>216</v>
      </c>
      <c r="I98" s="41" t="s">
        <v>217</v>
      </c>
      <c r="J98" s="23">
        <f>IF((informe!$J$2-N98)+1&gt;M98,M98,IF((informe!$J$2-N98)+1&lt;0,0,(informe!$J$2-N98)+1))</f>
        <v>0</v>
      </c>
      <c r="K98" s="63">
        <f>SUMIFS(informe!G:G,informe!A:A,presupuesto!B98)</f>
        <v>0</v>
      </c>
      <c r="L98" s="63">
        <f>SUMIFS(informe!F:F,informe!A:A,presupuesto!B98)</f>
        <v>0</v>
      </c>
      <c r="M98" s="23">
        <f t="shared" si="19"/>
        <v>32</v>
      </c>
      <c r="N98" s="23">
        <f t="shared" si="12"/>
        <v>45771</v>
      </c>
      <c r="O98" s="23">
        <f t="shared" si="13"/>
        <v>45802</v>
      </c>
      <c r="P98" s="23">
        <f t="shared" si="20"/>
        <v>0</v>
      </c>
      <c r="Q98" s="23">
        <f t="shared" si="16"/>
        <v>0</v>
      </c>
      <c r="R98" s="23">
        <f t="shared" si="14"/>
        <v>0</v>
      </c>
      <c r="S98" s="4"/>
      <c r="T98" s="4"/>
      <c r="U98" s="4"/>
    </row>
    <row r="99" spans="1:21" s="1" customFormat="1" ht="14.5" customHeight="1" x14ac:dyDescent="0.35">
      <c r="A99" s="44" t="s">
        <v>398</v>
      </c>
      <c r="B99" s="101" t="s">
        <v>126</v>
      </c>
      <c r="C99" s="44" t="s">
        <v>351</v>
      </c>
      <c r="D99" s="41"/>
      <c r="E99" s="41"/>
      <c r="F99" s="97">
        <f t="shared" si="18"/>
        <v>0</v>
      </c>
      <c r="G99" s="41" t="s">
        <v>144</v>
      </c>
      <c r="H99" s="41" t="s">
        <v>218</v>
      </c>
      <c r="I99" s="41" t="s">
        <v>217</v>
      </c>
      <c r="J99" s="23">
        <f>IF((informe!$J$2-N99)+1&gt;M99,M99,IF((informe!$J$2-N99)+1&lt;0,0,(informe!$J$2-N99)+1))</f>
        <v>0</v>
      </c>
      <c r="K99" s="63">
        <f>SUMIFS(informe!G:G,informe!A:A,presupuesto!B99)</f>
        <v>0</v>
      </c>
      <c r="L99" s="63">
        <f>SUMIFS(informe!F:F,informe!A:A,presupuesto!B99)</f>
        <v>0</v>
      </c>
      <c r="M99" s="23">
        <f t="shared" si="19"/>
        <v>2</v>
      </c>
      <c r="N99" s="23">
        <f t="shared" ref="N99:N130" si="21">DATEVALUE(RIGHT(H99,8))</f>
        <v>45801</v>
      </c>
      <c r="O99" s="23">
        <f t="shared" ref="O99:O130" si="22">DATEVALUE(RIGHT(I99,8))</f>
        <v>45802</v>
      </c>
      <c r="P99" s="23">
        <f t="shared" si="20"/>
        <v>0</v>
      </c>
      <c r="Q99" s="23">
        <f t="shared" si="16"/>
        <v>0</v>
      </c>
      <c r="R99" s="23">
        <f t="shared" ref="R99:R130" si="23">IFERROR(((IF(($R$1-$N99)+1&gt;$M99,$M99,IF(($R$1-$N99)+1&lt;0,0,($R$1-$N99)+1)))*$P99*1)/$L99,0)</f>
        <v>0</v>
      </c>
      <c r="S99" s="4"/>
      <c r="T99" s="4"/>
      <c r="U99" s="4"/>
    </row>
    <row r="100" spans="1:21" s="1" customFormat="1" ht="14.5" customHeight="1" x14ac:dyDescent="0.35">
      <c r="A100" s="46" t="s">
        <v>399</v>
      </c>
      <c r="B100" s="102">
        <v>64</v>
      </c>
      <c r="C100" s="46" t="s">
        <v>352</v>
      </c>
      <c r="D100" s="42" t="s">
        <v>114</v>
      </c>
      <c r="E100" s="42">
        <v>4.2</v>
      </c>
      <c r="F100" s="97" t="str">
        <f t="shared" si="18"/>
        <v>Tabla: Partida</v>
      </c>
      <c r="G100" s="42" t="s">
        <v>144</v>
      </c>
      <c r="H100" s="42" t="s">
        <v>218</v>
      </c>
      <c r="I100" s="42" t="s">
        <v>217</v>
      </c>
      <c r="J100" s="23">
        <f>IF((informe!$J$2-N100)+1&gt;M100,M100,IF((informe!$J$2-N100)+1&lt;0,0,(informe!$J$2-N100)+1))</f>
        <v>0</v>
      </c>
      <c r="K100" s="63" t="e">
        <f>SUMIFS(informe!G:G,informe!A:A,presupuesto!B100)</f>
        <v>#VALUE!</v>
      </c>
      <c r="L100" s="63">
        <f>SUMIFS(informe!F:F,informe!A:A,presupuesto!B100)</f>
        <v>0</v>
      </c>
      <c r="M100" s="23">
        <f t="shared" si="19"/>
        <v>2</v>
      </c>
      <c r="N100" s="23">
        <f t="shared" si="21"/>
        <v>45801</v>
      </c>
      <c r="O100" s="23">
        <f t="shared" si="22"/>
        <v>45802</v>
      </c>
      <c r="P100" s="23">
        <f t="shared" si="20"/>
        <v>0</v>
      </c>
      <c r="Q100" s="23">
        <f t="shared" si="16"/>
        <v>2.1</v>
      </c>
      <c r="R100" s="23">
        <f t="shared" si="23"/>
        <v>0</v>
      </c>
      <c r="S100" s="4"/>
      <c r="T100" s="4"/>
      <c r="U100" s="4"/>
    </row>
    <row r="101" spans="1:21" s="1" customFormat="1" ht="14.5" customHeight="1" x14ac:dyDescent="0.35">
      <c r="A101" s="44" t="s">
        <v>400</v>
      </c>
      <c r="B101" s="101" t="s">
        <v>127</v>
      </c>
      <c r="C101" s="44" t="s">
        <v>312</v>
      </c>
      <c r="D101" s="41"/>
      <c r="E101" s="41"/>
      <c r="F101" s="97">
        <f t="shared" si="18"/>
        <v>0</v>
      </c>
      <c r="G101" s="41" t="s">
        <v>7</v>
      </c>
      <c r="H101" s="41" t="s">
        <v>216</v>
      </c>
      <c r="I101" s="41" t="s">
        <v>219</v>
      </c>
      <c r="J101" s="23">
        <f>IF((informe!$J$2-N101)+1&gt;M101,M101,IF((informe!$J$2-N101)+1&lt;0,0,(informe!$J$2-N101)+1))</f>
        <v>0</v>
      </c>
      <c r="K101" s="63">
        <f>SUMIFS(informe!G:G,informe!A:A,presupuesto!B101)</f>
        <v>0</v>
      </c>
      <c r="L101" s="63">
        <f>SUMIFS(informe!F:F,informe!A:A,presupuesto!B101)</f>
        <v>0</v>
      </c>
      <c r="M101" s="23">
        <f t="shared" si="19"/>
        <v>30</v>
      </c>
      <c r="N101" s="23">
        <f t="shared" si="21"/>
        <v>45771</v>
      </c>
      <c r="O101" s="23">
        <f t="shared" si="22"/>
        <v>45800</v>
      </c>
      <c r="P101" s="23">
        <f t="shared" si="20"/>
        <v>0</v>
      </c>
      <c r="Q101" s="23">
        <f t="shared" si="16"/>
        <v>0</v>
      </c>
      <c r="R101" s="23">
        <f t="shared" si="23"/>
        <v>0</v>
      </c>
      <c r="S101" s="4"/>
      <c r="T101" s="4"/>
      <c r="U101" s="4"/>
    </row>
    <row r="102" spans="1:21" ht="14.5" customHeight="1" x14ac:dyDescent="0.35">
      <c r="A102" s="46" t="s">
        <v>401</v>
      </c>
      <c r="B102" s="102">
        <v>65</v>
      </c>
      <c r="C102" s="46" t="s">
        <v>402</v>
      </c>
      <c r="D102" s="42" t="s">
        <v>114</v>
      </c>
      <c r="E102" s="42">
        <v>54.9</v>
      </c>
      <c r="F102" s="97" t="str">
        <f t="shared" si="18"/>
        <v>Tabla: Partida</v>
      </c>
      <c r="G102" s="42" t="s">
        <v>7</v>
      </c>
      <c r="H102" s="42" t="s">
        <v>216</v>
      </c>
      <c r="I102" s="42" t="s">
        <v>219</v>
      </c>
      <c r="J102" s="23">
        <f>IF((informe!$J$2-N102)+1&gt;M102,M102,IF((informe!$J$2-N102)+1&lt;0,0,(informe!$J$2-N102)+1))</f>
        <v>0</v>
      </c>
      <c r="K102" s="63" t="e">
        <f>SUMIFS(informe!G:G,informe!A:A,presupuesto!B102)</f>
        <v>#VALUE!</v>
      </c>
      <c r="L102" s="63">
        <f>SUMIFS(informe!F:F,informe!A:A,presupuesto!B102)</f>
        <v>0</v>
      </c>
      <c r="M102" s="23">
        <f t="shared" si="19"/>
        <v>30</v>
      </c>
      <c r="N102" s="23">
        <f t="shared" si="21"/>
        <v>45771</v>
      </c>
      <c r="O102" s="23">
        <f t="shared" si="22"/>
        <v>45800</v>
      </c>
      <c r="P102" s="23">
        <f t="shared" si="20"/>
        <v>0</v>
      </c>
      <c r="Q102" s="23">
        <f t="shared" si="16"/>
        <v>1.8299999999999998</v>
      </c>
      <c r="R102" s="23">
        <f t="shared" si="23"/>
        <v>0</v>
      </c>
      <c r="S102" s="2"/>
      <c r="T102" s="2"/>
      <c r="U102" s="2"/>
    </row>
    <row r="103" spans="1:21" ht="14.5" customHeight="1" x14ac:dyDescent="0.35">
      <c r="A103" s="44" t="s">
        <v>403</v>
      </c>
      <c r="B103" s="101" t="s">
        <v>128</v>
      </c>
      <c r="C103" s="44" t="s">
        <v>316</v>
      </c>
      <c r="D103" s="41"/>
      <c r="E103" s="41"/>
      <c r="F103" s="97">
        <f t="shared" si="18"/>
        <v>0</v>
      </c>
      <c r="G103" s="41" t="s">
        <v>7</v>
      </c>
      <c r="H103" s="41" t="s">
        <v>216</v>
      </c>
      <c r="I103" s="41" t="s">
        <v>219</v>
      </c>
      <c r="J103" s="23">
        <f>IF((informe!$J$2-N103)+1&gt;M103,M103,IF((informe!$J$2-N103)+1&lt;0,0,(informe!$J$2-N103)+1))</f>
        <v>0</v>
      </c>
      <c r="K103" s="63">
        <f>SUMIFS(informe!G:G,informe!A:A,presupuesto!B103)</f>
        <v>0</v>
      </c>
      <c r="L103" s="63">
        <f>SUMIFS(informe!F:F,informe!A:A,presupuesto!B103)</f>
        <v>0</v>
      </c>
      <c r="M103" s="23">
        <f t="shared" si="19"/>
        <v>30</v>
      </c>
      <c r="N103" s="23">
        <f t="shared" si="21"/>
        <v>45771</v>
      </c>
      <c r="O103" s="23">
        <f t="shared" si="22"/>
        <v>45800</v>
      </c>
      <c r="P103" s="23">
        <f t="shared" si="20"/>
        <v>0</v>
      </c>
      <c r="Q103" s="23">
        <f t="shared" si="16"/>
        <v>0</v>
      </c>
      <c r="R103" s="23">
        <f t="shared" si="23"/>
        <v>0</v>
      </c>
      <c r="S103" s="2"/>
      <c r="T103" s="2"/>
      <c r="U103" s="2"/>
    </row>
    <row r="104" spans="1:21" ht="14.5" customHeight="1" x14ac:dyDescent="0.35">
      <c r="A104" s="46" t="s">
        <v>404</v>
      </c>
      <c r="B104" s="102">
        <v>66</v>
      </c>
      <c r="C104" s="46" t="s">
        <v>320</v>
      </c>
      <c r="D104" s="42" t="s">
        <v>109</v>
      </c>
      <c r="E104" s="42">
        <v>619</v>
      </c>
      <c r="F104" s="97" t="str">
        <f t="shared" si="18"/>
        <v>Tabla: Partida</v>
      </c>
      <c r="G104" s="42" t="s">
        <v>7</v>
      </c>
      <c r="H104" s="42" t="s">
        <v>216</v>
      </c>
      <c r="I104" s="42" t="s">
        <v>219</v>
      </c>
      <c r="J104" s="23">
        <f>IF((informe!$J$2-N104)+1&gt;M104,M104,IF((informe!$J$2-N104)+1&lt;0,0,(informe!$J$2-N104)+1))</f>
        <v>0</v>
      </c>
      <c r="K104" s="63" t="e">
        <f>SUMIFS(informe!G:G,informe!A:A,presupuesto!B104)</f>
        <v>#VALUE!</v>
      </c>
      <c r="L104" s="63">
        <f>SUMIFS(informe!F:F,informe!A:A,presupuesto!B104)</f>
        <v>0</v>
      </c>
      <c r="M104" s="23">
        <f t="shared" si="19"/>
        <v>30</v>
      </c>
      <c r="N104" s="23">
        <f t="shared" si="21"/>
        <v>45771</v>
      </c>
      <c r="O104" s="23">
        <f t="shared" si="22"/>
        <v>45800</v>
      </c>
      <c r="P104" s="23">
        <f t="shared" si="20"/>
        <v>0</v>
      </c>
      <c r="Q104" s="23">
        <f t="shared" si="16"/>
        <v>20.633333333333333</v>
      </c>
      <c r="R104" s="23">
        <f t="shared" si="23"/>
        <v>0</v>
      </c>
      <c r="S104" s="2"/>
      <c r="T104" s="2"/>
      <c r="U104" s="2"/>
    </row>
    <row r="105" spans="1:21" ht="14.5" customHeight="1" x14ac:dyDescent="0.35">
      <c r="A105" s="46" t="s">
        <v>405</v>
      </c>
      <c r="B105" s="102">
        <v>67</v>
      </c>
      <c r="C105" s="46" t="s">
        <v>322</v>
      </c>
      <c r="D105" s="42" t="s">
        <v>109</v>
      </c>
      <c r="E105" s="42">
        <v>74.8</v>
      </c>
      <c r="F105" s="97" t="str">
        <f t="shared" si="18"/>
        <v>Tabla: Partida</v>
      </c>
      <c r="G105" s="42" t="s">
        <v>93</v>
      </c>
      <c r="H105" s="42" t="s">
        <v>220</v>
      </c>
      <c r="I105" s="42" t="s">
        <v>219</v>
      </c>
      <c r="J105" s="23">
        <f>IF((informe!$J$2-N105)+1&gt;M105,M105,IF((informe!$J$2-N105)+1&lt;0,0,(informe!$J$2-N105)+1))</f>
        <v>0</v>
      </c>
      <c r="K105" s="63" t="e">
        <f>SUMIFS(informe!G:G,informe!A:A,presupuesto!B105)</f>
        <v>#VALUE!</v>
      </c>
      <c r="L105" s="63">
        <f>SUMIFS(informe!F:F,informe!A:A,presupuesto!B105)</f>
        <v>0</v>
      </c>
      <c r="M105" s="23">
        <f t="shared" si="19"/>
        <v>15</v>
      </c>
      <c r="N105" s="23">
        <f t="shared" si="21"/>
        <v>45786</v>
      </c>
      <c r="O105" s="23">
        <f t="shared" si="22"/>
        <v>45800</v>
      </c>
      <c r="P105" s="23">
        <f t="shared" si="20"/>
        <v>0</v>
      </c>
      <c r="Q105" s="23">
        <f t="shared" si="16"/>
        <v>4.9866666666666664</v>
      </c>
      <c r="R105" s="23">
        <f t="shared" si="23"/>
        <v>0</v>
      </c>
      <c r="S105" s="2"/>
      <c r="T105" s="2"/>
      <c r="U105" s="2"/>
    </row>
    <row r="106" spans="1:21" ht="14.5" customHeight="1" x14ac:dyDescent="0.35">
      <c r="A106" s="46" t="s">
        <v>406</v>
      </c>
      <c r="B106" s="102">
        <v>68</v>
      </c>
      <c r="C106" s="46" t="s">
        <v>359</v>
      </c>
      <c r="D106" s="42" t="s">
        <v>109</v>
      </c>
      <c r="E106" s="42">
        <v>4.8</v>
      </c>
      <c r="F106" s="97" t="str">
        <f t="shared" si="18"/>
        <v>Tabla: Partida</v>
      </c>
      <c r="G106" s="42" t="s">
        <v>144</v>
      </c>
      <c r="H106" s="42" t="s">
        <v>221</v>
      </c>
      <c r="I106" s="42" t="s">
        <v>219</v>
      </c>
      <c r="J106" s="23">
        <f>IF((informe!$J$2-N106)+1&gt;M106,M106,IF((informe!$J$2-N106)+1&lt;0,0,(informe!$J$2-N106)+1))</f>
        <v>0</v>
      </c>
      <c r="K106" s="63" t="e">
        <f>SUMIFS(informe!G:G,informe!A:A,presupuesto!B106)</f>
        <v>#VALUE!</v>
      </c>
      <c r="L106" s="63">
        <f>SUMIFS(informe!F:F,informe!A:A,presupuesto!B106)</f>
        <v>0</v>
      </c>
      <c r="M106" s="23">
        <f t="shared" si="19"/>
        <v>2</v>
      </c>
      <c r="N106" s="23">
        <f t="shared" si="21"/>
        <v>45799</v>
      </c>
      <c r="O106" s="23">
        <f t="shared" si="22"/>
        <v>45800</v>
      </c>
      <c r="P106" s="23">
        <f t="shared" si="20"/>
        <v>0</v>
      </c>
      <c r="Q106" s="23">
        <f t="shared" si="16"/>
        <v>2.4</v>
      </c>
      <c r="R106" s="23">
        <f t="shared" si="23"/>
        <v>0</v>
      </c>
      <c r="S106" s="2"/>
      <c r="T106" s="2"/>
      <c r="U106" s="2"/>
    </row>
    <row r="107" spans="1:21" ht="14.5" customHeight="1" x14ac:dyDescent="0.35">
      <c r="A107" s="46" t="s">
        <v>407</v>
      </c>
      <c r="B107" s="102">
        <v>69</v>
      </c>
      <c r="C107" s="46" t="s">
        <v>361</v>
      </c>
      <c r="D107" s="42" t="s">
        <v>109</v>
      </c>
      <c r="E107" s="42">
        <v>178</v>
      </c>
      <c r="F107" s="97" t="str">
        <f t="shared" si="18"/>
        <v>Tabla: Partida</v>
      </c>
      <c r="G107" s="42" t="s">
        <v>161</v>
      </c>
      <c r="H107" s="42" t="s">
        <v>186</v>
      </c>
      <c r="I107" s="42" t="s">
        <v>219</v>
      </c>
      <c r="J107" s="23">
        <f>IF((informe!$J$2-N107)+1&gt;M107,M107,IF((informe!$J$2-N107)+1&lt;0,0,(informe!$J$2-N107)+1))</f>
        <v>0</v>
      </c>
      <c r="K107" s="63" t="e">
        <f>SUMIFS(informe!G:G,informe!A:A,presupuesto!B107)</f>
        <v>#VALUE!</v>
      </c>
      <c r="L107" s="63">
        <f>SUMIFS(informe!F:F,informe!A:A,presupuesto!B107)</f>
        <v>0</v>
      </c>
      <c r="M107" s="23">
        <f t="shared" si="19"/>
        <v>20</v>
      </c>
      <c r="N107" s="23">
        <f t="shared" si="21"/>
        <v>45781</v>
      </c>
      <c r="O107" s="23">
        <f t="shared" si="22"/>
        <v>45800</v>
      </c>
      <c r="P107" s="23">
        <f t="shared" si="20"/>
        <v>0</v>
      </c>
      <c r="Q107" s="23">
        <f t="shared" si="16"/>
        <v>8.9</v>
      </c>
      <c r="R107" s="23">
        <f t="shared" si="23"/>
        <v>0</v>
      </c>
      <c r="S107" s="2"/>
      <c r="T107" s="2"/>
      <c r="U107" s="2"/>
    </row>
    <row r="108" spans="1:21" ht="14.5" customHeight="1" x14ac:dyDescent="0.35">
      <c r="A108" s="46" t="s">
        <v>408</v>
      </c>
      <c r="B108" s="102">
        <v>70</v>
      </c>
      <c r="C108" s="46" t="s">
        <v>363</v>
      </c>
      <c r="D108" s="42" t="s">
        <v>119</v>
      </c>
      <c r="E108" s="42">
        <v>1</v>
      </c>
      <c r="F108" s="97" t="str">
        <f t="shared" si="18"/>
        <v>Tabla: Partida</v>
      </c>
      <c r="G108" s="42" t="s">
        <v>161</v>
      </c>
      <c r="H108" s="42" t="s">
        <v>186</v>
      </c>
      <c r="I108" s="42" t="s">
        <v>219</v>
      </c>
      <c r="J108" s="23">
        <f>IF((informe!$J$2-N108)+1&gt;M108,M108,IF((informe!$J$2-N108)+1&lt;0,0,(informe!$J$2-N108)+1))</f>
        <v>0</v>
      </c>
      <c r="K108" s="63" t="e">
        <f>SUMIFS(informe!G:G,informe!A:A,presupuesto!B108)</f>
        <v>#VALUE!</v>
      </c>
      <c r="L108" s="63">
        <f>SUMIFS(informe!F:F,informe!A:A,presupuesto!B108)</f>
        <v>0</v>
      </c>
      <c r="M108" s="23">
        <f t="shared" si="19"/>
        <v>20</v>
      </c>
      <c r="N108" s="23">
        <f t="shared" si="21"/>
        <v>45781</v>
      </c>
      <c r="O108" s="23">
        <f t="shared" si="22"/>
        <v>45800</v>
      </c>
      <c r="P108" s="23">
        <f t="shared" si="20"/>
        <v>0</v>
      </c>
      <c r="Q108" s="23">
        <f t="shared" si="16"/>
        <v>0.05</v>
      </c>
      <c r="R108" s="23">
        <f t="shared" si="23"/>
        <v>0</v>
      </c>
      <c r="S108" s="2"/>
      <c r="T108" s="2"/>
      <c r="U108" s="2"/>
    </row>
    <row r="109" spans="1:21" ht="14.5" customHeight="1" x14ac:dyDescent="0.35">
      <c r="A109" s="44" t="s">
        <v>409</v>
      </c>
      <c r="B109" s="101" t="s">
        <v>129</v>
      </c>
      <c r="C109" s="44" t="s">
        <v>289</v>
      </c>
      <c r="D109" s="41"/>
      <c r="E109" s="41"/>
      <c r="F109" s="97">
        <f t="shared" si="18"/>
        <v>0</v>
      </c>
      <c r="G109" s="41" t="s">
        <v>93</v>
      </c>
      <c r="H109" s="41" t="s">
        <v>218</v>
      </c>
      <c r="I109" s="41" t="s">
        <v>222</v>
      </c>
      <c r="J109" s="23">
        <f>IF((informe!$J$2-N109)+1&gt;M109,M109,IF((informe!$J$2-N109)+1&lt;0,0,(informe!$J$2-N109)+1))</f>
        <v>0</v>
      </c>
      <c r="K109" s="63">
        <f>SUMIFS(informe!G:G,informe!A:A,presupuesto!B109)</f>
        <v>0</v>
      </c>
      <c r="L109" s="63">
        <f>SUMIFS(informe!F:F,informe!A:A,presupuesto!B109)</f>
        <v>0</v>
      </c>
      <c r="M109" s="23">
        <f t="shared" si="19"/>
        <v>15</v>
      </c>
      <c r="N109" s="23">
        <f t="shared" si="21"/>
        <v>45801</v>
      </c>
      <c r="O109" s="23">
        <f t="shared" si="22"/>
        <v>45815</v>
      </c>
      <c r="P109" s="23">
        <f t="shared" si="20"/>
        <v>0</v>
      </c>
      <c r="Q109" s="23">
        <f t="shared" si="16"/>
        <v>0</v>
      </c>
      <c r="R109" s="23">
        <f t="shared" si="23"/>
        <v>0</v>
      </c>
      <c r="S109" s="2"/>
      <c r="T109" s="2"/>
      <c r="U109" s="2"/>
    </row>
    <row r="110" spans="1:21" ht="14.5" customHeight="1" x14ac:dyDescent="0.35">
      <c r="A110" s="47" t="s">
        <v>410</v>
      </c>
      <c r="B110" s="102">
        <v>71</v>
      </c>
      <c r="C110" s="46" t="s">
        <v>411</v>
      </c>
      <c r="D110" s="42" t="s">
        <v>37</v>
      </c>
      <c r="E110" s="42">
        <v>12</v>
      </c>
      <c r="F110" s="97" t="str">
        <f t="shared" si="18"/>
        <v>Tabla: Partida</v>
      </c>
      <c r="G110" s="42" t="s">
        <v>99</v>
      </c>
      <c r="H110" s="42" t="s">
        <v>218</v>
      </c>
      <c r="I110" s="42" t="s">
        <v>223</v>
      </c>
      <c r="J110" s="23">
        <f>IF((informe!$J$2-N110)+1&gt;M110,M110,IF((informe!$J$2-N110)+1&lt;0,0,(informe!$J$2-N110)+1))</f>
        <v>0</v>
      </c>
      <c r="K110" s="63" t="e">
        <f>SUMIFS(informe!G:G,informe!A:A,presupuesto!B110)</f>
        <v>#VALUE!</v>
      </c>
      <c r="L110" s="63">
        <f>SUMIFS(informe!F:F,informe!A:A,presupuesto!B110)</f>
        <v>0</v>
      </c>
      <c r="M110" s="23">
        <f t="shared" si="19"/>
        <v>7</v>
      </c>
      <c r="N110" s="23">
        <f t="shared" si="21"/>
        <v>45801</v>
      </c>
      <c r="O110" s="23">
        <f t="shared" si="22"/>
        <v>45807</v>
      </c>
      <c r="P110" s="23">
        <f t="shared" si="20"/>
        <v>0</v>
      </c>
      <c r="Q110" s="23">
        <f t="shared" si="16"/>
        <v>1.7142857142857142</v>
      </c>
      <c r="R110" s="23">
        <f t="shared" si="23"/>
        <v>0</v>
      </c>
      <c r="S110" s="2"/>
      <c r="T110" s="2"/>
      <c r="U110" s="2"/>
    </row>
    <row r="111" spans="1:21" ht="14.5" customHeight="1" x14ac:dyDescent="0.35">
      <c r="A111" s="47" t="s">
        <v>412</v>
      </c>
      <c r="B111" s="102">
        <v>72</v>
      </c>
      <c r="C111" s="46" t="s">
        <v>413</v>
      </c>
      <c r="D111" s="42" t="s">
        <v>119</v>
      </c>
      <c r="E111" s="42">
        <v>1</v>
      </c>
      <c r="F111" s="97" t="str">
        <f t="shared" si="18"/>
        <v>Tabla: Partida</v>
      </c>
      <c r="G111" s="42" t="s">
        <v>93</v>
      </c>
      <c r="H111" s="42" t="s">
        <v>218</v>
      </c>
      <c r="I111" s="42" t="s">
        <v>222</v>
      </c>
      <c r="J111" s="23">
        <f>IF((informe!$J$2-N111)+1&gt;M111,M111,IF((informe!$J$2-N111)+1&lt;0,0,(informe!$J$2-N111)+1))</f>
        <v>0</v>
      </c>
      <c r="K111" s="63" t="e">
        <f>SUMIFS(informe!G:G,informe!A:A,presupuesto!B111)</f>
        <v>#VALUE!</v>
      </c>
      <c r="L111" s="63">
        <f>SUMIFS(informe!F:F,informe!A:A,presupuesto!B111)</f>
        <v>0</v>
      </c>
      <c r="M111" s="23">
        <f t="shared" si="19"/>
        <v>15</v>
      </c>
      <c r="N111" s="23">
        <f t="shared" si="21"/>
        <v>45801</v>
      </c>
      <c r="O111" s="23">
        <f t="shared" si="22"/>
        <v>45815</v>
      </c>
      <c r="P111" s="23">
        <f t="shared" si="20"/>
        <v>0</v>
      </c>
      <c r="Q111" s="23">
        <f t="shared" si="16"/>
        <v>6.6666666666666666E-2</v>
      </c>
      <c r="R111" s="23">
        <f t="shared" si="23"/>
        <v>0</v>
      </c>
    </row>
    <row r="112" spans="1:21" ht="14.5" customHeight="1" x14ac:dyDescent="0.35">
      <c r="A112" s="45" t="s">
        <v>74</v>
      </c>
      <c r="B112" s="100"/>
      <c r="C112" s="45" t="s">
        <v>414</v>
      </c>
      <c r="D112" s="40"/>
      <c r="E112" s="40"/>
      <c r="F112" s="97">
        <f t="shared" si="18"/>
        <v>0</v>
      </c>
      <c r="G112" s="40" t="s">
        <v>224</v>
      </c>
      <c r="H112" s="40" t="s">
        <v>225</v>
      </c>
      <c r="I112" s="40" t="s">
        <v>226</v>
      </c>
      <c r="J112" s="23">
        <f>IF((informe!$J$2-N112)+1&gt;M112,M112,IF((informe!$J$2-N112)+1&lt;0,0,(informe!$J$2-N112)+1))</f>
        <v>59</v>
      </c>
      <c r="K112" s="63">
        <f>SUMIFS(informe!G:G,informe!A:A,presupuesto!B112)</f>
        <v>0</v>
      </c>
      <c r="L112" s="63">
        <f>SUMIFS(informe!F:F,informe!A:A,presupuesto!B112)</f>
        <v>0</v>
      </c>
      <c r="M112" s="23">
        <f t="shared" si="19"/>
        <v>306</v>
      </c>
      <c r="N112" s="23">
        <f t="shared" si="21"/>
        <v>45600</v>
      </c>
      <c r="O112" s="23">
        <f t="shared" si="22"/>
        <v>45905</v>
      </c>
      <c r="P112" s="23">
        <f t="shared" si="20"/>
        <v>0</v>
      </c>
      <c r="Q112" s="23">
        <f t="shared" si="16"/>
        <v>0</v>
      </c>
      <c r="R112" s="23">
        <f t="shared" si="23"/>
        <v>0</v>
      </c>
    </row>
    <row r="113" spans="1:18" ht="14.5" customHeight="1" x14ac:dyDescent="0.35">
      <c r="A113" s="44" t="s">
        <v>75</v>
      </c>
      <c r="B113" s="101" t="s">
        <v>105</v>
      </c>
      <c r="C113" s="44" t="s">
        <v>415</v>
      </c>
      <c r="D113" s="41"/>
      <c r="E113" s="41"/>
      <c r="F113" s="97">
        <f t="shared" si="18"/>
        <v>0</v>
      </c>
      <c r="G113" s="41" t="s">
        <v>224</v>
      </c>
      <c r="H113" s="41" t="s">
        <v>225</v>
      </c>
      <c r="I113" s="41" t="s">
        <v>227</v>
      </c>
      <c r="J113" s="23">
        <f>IF((informe!$J$2-N113)+1&gt;M113,M113,IF((informe!$J$2-N113)+1&lt;0,0,(informe!$J$2-N113)+1))</f>
        <v>59</v>
      </c>
      <c r="K113" s="63">
        <f>SUMIFS(informe!G:G,informe!A:A,presupuesto!B113)</f>
        <v>0</v>
      </c>
      <c r="L113" s="63">
        <f>SUMIFS(informe!F:F,informe!A:A,presupuesto!B113)</f>
        <v>0</v>
      </c>
      <c r="M113" s="23">
        <f t="shared" si="19"/>
        <v>305</v>
      </c>
      <c r="N113" s="23">
        <f t="shared" si="21"/>
        <v>45600</v>
      </c>
      <c r="O113" s="23">
        <f t="shared" si="22"/>
        <v>45904</v>
      </c>
      <c r="P113" s="23">
        <f t="shared" si="20"/>
        <v>0</v>
      </c>
      <c r="Q113" s="23">
        <f t="shared" si="16"/>
        <v>0</v>
      </c>
      <c r="R113" s="23">
        <f t="shared" si="23"/>
        <v>0</v>
      </c>
    </row>
    <row r="114" spans="1:18" ht="14.5" customHeight="1" x14ac:dyDescent="0.35">
      <c r="A114" s="46" t="s">
        <v>17</v>
      </c>
      <c r="B114" s="102">
        <v>73</v>
      </c>
      <c r="C114" s="46" t="s">
        <v>300</v>
      </c>
      <c r="D114" s="42" t="s">
        <v>28</v>
      </c>
      <c r="E114" s="42">
        <v>13681.4</v>
      </c>
      <c r="F114" s="97" t="str">
        <f t="shared" si="18"/>
        <v>Tabla: Partida</v>
      </c>
      <c r="G114" s="42" t="s">
        <v>224</v>
      </c>
      <c r="H114" s="42" t="s">
        <v>225</v>
      </c>
      <c r="I114" s="42" t="s">
        <v>227</v>
      </c>
      <c r="J114" s="23">
        <f>IF((informe!$J$2-N114)+1&gt;M114,M114,IF((informe!$J$2-N114)+1&lt;0,0,(informe!$J$2-N114)+1))</f>
        <v>59</v>
      </c>
      <c r="K114" s="63" t="e">
        <f>SUMIFS(informe!G:G,informe!A:A,presupuesto!B114)</f>
        <v>#VALUE!</v>
      </c>
      <c r="L114" s="63">
        <f>SUMIFS(informe!F:F,informe!A:A,presupuesto!B114)</f>
        <v>0</v>
      </c>
      <c r="M114" s="23">
        <f t="shared" si="19"/>
        <v>305</v>
      </c>
      <c r="N114" s="23">
        <f t="shared" si="21"/>
        <v>45600</v>
      </c>
      <c r="O114" s="23">
        <f t="shared" si="22"/>
        <v>45904</v>
      </c>
      <c r="P114" s="23">
        <f t="shared" si="20"/>
        <v>0</v>
      </c>
      <c r="Q114" s="23">
        <f t="shared" si="16"/>
        <v>44.85704918032787</v>
      </c>
      <c r="R114" s="23">
        <f t="shared" si="23"/>
        <v>0</v>
      </c>
    </row>
    <row r="115" spans="1:18" ht="14.5" customHeight="1" x14ac:dyDescent="0.35">
      <c r="A115" s="46" t="s">
        <v>416</v>
      </c>
      <c r="B115" s="102">
        <v>74</v>
      </c>
      <c r="C115" s="46" t="s">
        <v>417</v>
      </c>
      <c r="D115" s="42" t="s">
        <v>28</v>
      </c>
      <c r="E115" s="42">
        <v>899.9</v>
      </c>
      <c r="F115" s="97" t="str">
        <f t="shared" si="18"/>
        <v>Tabla: Partida</v>
      </c>
      <c r="G115" s="42" t="s">
        <v>228</v>
      </c>
      <c r="H115" s="42" t="s">
        <v>229</v>
      </c>
      <c r="I115" s="42" t="s">
        <v>227</v>
      </c>
      <c r="J115" s="23">
        <f>IF((informe!$J$2-N115)+1&gt;M115,M115,IF((informe!$J$2-N115)+1&lt;0,0,(informe!$J$2-N115)+1))</f>
        <v>0</v>
      </c>
      <c r="K115" s="63" t="e">
        <f>SUMIFS(informe!G:G,informe!A:A,presupuesto!B115)</f>
        <v>#VALUE!</v>
      </c>
      <c r="L115" s="63">
        <f>SUMIFS(informe!F:F,informe!A:A,presupuesto!B115)</f>
        <v>0</v>
      </c>
      <c r="M115" s="23">
        <f t="shared" si="19"/>
        <v>210</v>
      </c>
      <c r="N115" s="23">
        <f t="shared" si="21"/>
        <v>45695</v>
      </c>
      <c r="O115" s="23">
        <f t="shared" si="22"/>
        <v>45904</v>
      </c>
      <c r="P115" s="23">
        <f t="shared" si="20"/>
        <v>0</v>
      </c>
      <c r="Q115" s="23">
        <f t="shared" si="16"/>
        <v>4.2852380952380953</v>
      </c>
      <c r="R115" s="23">
        <f t="shared" si="23"/>
        <v>0</v>
      </c>
    </row>
    <row r="116" spans="1:18" ht="14.5" customHeight="1" x14ac:dyDescent="0.35">
      <c r="A116" s="46" t="s">
        <v>418</v>
      </c>
      <c r="B116" s="102">
        <v>75</v>
      </c>
      <c r="C116" s="46" t="s">
        <v>301</v>
      </c>
      <c r="D116" s="42" t="s">
        <v>28</v>
      </c>
      <c r="E116" s="42">
        <v>1060.5</v>
      </c>
      <c r="F116" s="97" t="str">
        <f t="shared" si="18"/>
        <v>Tabla: Partida</v>
      </c>
      <c r="G116" s="42" t="s">
        <v>224</v>
      </c>
      <c r="H116" s="42" t="s">
        <v>225</v>
      </c>
      <c r="I116" s="42" t="s">
        <v>227</v>
      </c>
      <c r="J116" s="23">
        <f>IF((informe!$J$2-N116)+1&gt;M116,M116,IF((informe!$J$2-N116)+1&lt;0,0,(informe!$J$2-N116)+1))</f>
        <v>59</v>
      </c>
      <c r="K116" s="63" t="e">
        <f>SUMIFS(informe!G:G,informe!A:A,presupuesto!B116)</f>
        <v>#VALUE!</v>
      </c>
      <c r="L116" s="63">
        <f>SUMIFS(informe!F:F,informe!A:A,presupuesto!B116)</f>
        <v>0</v>
      </c>
      <c r="M116" s="23">
        <f t="shared" si="19"/>
        <v>305</v>
      </c>
      <c r="N116" s="23">
        <f t="shared" si="21"/>
        <v>45600</v>
      </c>
      <c r="O116" s="23">
        <f t="shared" si="22"/>
        <v>45904</v>
      </c>
      <c r="P116" s="23">
        <f t="shared" si="20"/>
        <v>0</v>
      </c>
      <c r="Q116" s="23">
        <f t="shared" si="16"/>
        <v>3.4770491803278687</v>
      </c>
      <c r="R116" s="23">
        <f t="shared" si="23"/>
        <v>0</v>
      </c>
    </row>
    <row r="117" spans="1:18" ht="14.5" customHeight="1" x14ac:dyDescent="0.35">
      <c r="A117" s="46" t="s">
        <v>419</v>
      </c>
      <c r="B117" s="102">
        <v>76</v>
      </c>
      <c r="C117" s="46" t="s">
        <v>420</v>
      </c>
      <c r="D117" s="42" t="s">
        <v>28</v>
      </c>
      <c r="E117" s="42">
        <v>14323.8</v>
      </c>
      <c r="F117" s="97" t="str">
        <f t="shared" si="18"/>
        <v>Tabla: Partida</v>
      </c>
      <c r="G117" s="42" t="s">
        <v>224</v>
      </c>
      <c r="H117" s="42" t="s">
        <v>225</v>
      </c>
      <c r="I117" s="42" t="s">
        <v>227</v>
      </c>
      <c r="J117" s="23">
        <f>IF((informe!$J$2-N117)+1&gt;M117,M117,IF((informe!$J$2-N117)+1&lt;0,0,(informe!$J$2-N117)+1))</f>
        <v>59</v>
      </c>
      <c r="K117" s="63" t="e">
        <f>SUMIFS(informe!G:G,informe!A:A,presupuesto!B117)</f>
        <v>#VALUE!</v>
      </c>
      <c r="L117" s="63">
        <f>SUMIFS(informe!F:F,informe!A:A,presupuesto!B117)</f>
        <v>0</v>
      </c>
      <c r="M117" s="23">
        <f t="shared" si="19"/>
        <v>305</v>
      </c>
      <c r="N117" s="23">
        <f t="shared" si="21"/>
        <v>45600</v>
      </c>
      <c r="O117" s="23">
        <f t="shared" si="22"/>
        <v>45904</v>
      </c>
      <c r="P117" s="23">
        <f t="shared" si="20"/>
        <v>0</v>
      </c>
      <c r="Q117" s="23">
        <f t="shared" si="16"/>
        <v>46.963278688524589</v>
      </c>
      <c r="R117" s="23">
        <f t="shared" si="23"/>
        <v>0</v>
      </c>
    </row>
    <row r="118" spans="1:18" ht="14.5" customHeight="1" x14ac:dyDescent="0.35">
      <c r="A118" s="46" t="s">
        <v>421</v>
      </c>
      <c r="B118" s="102">
        <v>77</v>
      </c>
      <c r="C118" s="46" t="s">
        <v>304</v>
      </c>
      <c r="D118" s="42" t="s">
        <v>28</v>
      </c>
      <c r="E118" s="42">
        <v>3179.2</v>
      </c>
      <c r="F118" s="97" t="str">
        <f t="shared" si="18"/>
        <v>Tabla: Partida</v>
      </c>
      <c r="G118" s="42" t="s">
        <v>224</v>
      </c>
      <c r="H118" s="42" t="s">
        <v>225</v>
      </c>
      <c r="I118" s="42" t="s">
        <v>227</v>
      </c>
      <c r="J118" s="23">
        <f>IF((informe!$J$2-N118)+1&gt;M118,M118,IF((informe!$J$2-N118)+1&lt;0,0,(informe!$J$2-N118)+1))</f>
        <v>59</v>
      </c>
      <c r="K118" s="63" t="e">
        <f>SUMIFS(informe!G:G,informe!A:A,presupuesto!B118)</f>
        <v>#VALUE!</v>
      </c>
      <c r="L118" s="63">
        <f>SUMIFS(informe!F:F,informe!A:A,presupuesto!B118)</f>
        <v>0</v>
      </c>
      <c r="M118" s="23">
        <f t="shared" si="19"/>
        <v>305</v>
      </c>
      <c r="N118" s="23">
        <f t="shared" si="21"/>
        <v>45600</v>
      </c>
      <c r="O118" s="23">
        <f t="shared" si="22"/>
        <v>45904</v>
      </c>
      <c r="P118" s="23">
        <f t="shared" si="20"/>
        <v>0</v>
      </c>
      <c r="Q118" s="23">
        <f t="shared" si="16"/>
        <v>10.423606557377049</v>
      </c>
      <c r="R118" s="23">
        <f t="shared" si="23"/>
        <v>0</v>
      </c>
    </row>
    <row r="119" spans="1:18" ht="14.5" customHeight="1" x14ac:dyDescent="0.35">
      <c r="A119" s="44" t="s">
        <v>76</v>
      </c>
      <c r="B119" s="101" t="s">
        <v>112</v>
      </c>
      <c r="C119" s="44" t="s">
        <v>306</v>
      </c>
      <c r="D119" s="41"/>
      <c r="E119" s="41"/>
      <c r="F119" s="97">
        <f t="shared" si="18"/>
        <v>0</v>
      </c>
      <c r="G119" s="41" t="s">
        <v>224</v>
      </c>
      <c r="H119" s="41" t="s">
        <v>225</v>
      </c>
      <c r="I119" s="41" t="s">
        <v>227</v>
      </c>
      <c r="J119" s="23">
        <f>IF((informe!$J$2-N119)+1&gt;M119,M119,IF((informe!$J$2-N119)+1&lt;0,0,(informe!$J$2-N119)+1))</f>
        <v>59</v>
      </c>
      <c r="K119" s="63">
        <f>SUMIFS(informe!G:G,informe!A:A,presupuesto!B119)</f>
        <v>0</v>
      </c>
      <c r="L119" s="63">
        <f>SUMIFS(informe!F:F,informe!A:A,presupuesto!B119)</f>
        <v>0</v>
      </c>
      <c r="M119" s="23">
        <f t="shared" si="19"/>
        <v>305</v>
      </c>
      <c r="N119" s="23">
        <f t="shared" si="21"/>
        <v>45600</v>
      </c>
      <c r="O119" s="23">
        <f t="shared" si="22"/>
        <v>45904</v>
      </c>
      <c r="P119" s="23">
        <f t="shared" si="20"/>
        <v>0</v>
      </c>
      <c r="Q119" s="23">
        <f t="shared" si="16"/>
        <v>0</v>
      </c>
      <c r="R119" s="23">
        <f t="shared" si="23"/>
        <v>0</v>
      </c>
    </row>
    <row r="120" spans="1:18" ht="14.5" customHeight="1" x14ac:dyDescent="0.35">
      <c r="A120" s="44" t="s">
        <v>77</v>
      </c>
      <c r="B120" s="101" t="s">
        <v>113</v>
      </c>
      <c r="C120" s="44" t="s">
        <v>308</v>
      </c>
      <c r="D120" s="41"/>
      <c r="E120" s="41"/>
      <c r="F120" s="97">
        <f t="shared" si="18"/>
        <v>0</v>
      </c>
      <c r="G120" s="41" t="s">
        <v>224</v>
      </c>
      <c r="H120" s="41" t="s">
        <v>225</v>
      </c>
      <c r="I120" s="41" t="s">
        <v>227</v>
      </c>
      <c r="J120" s="23">
        <f>IF((informe!$J$2-N120)+1&gt;M120,M120,IF((informe!$J$2-N120)+1&lt;0,0,(informe!$J$2-N120)+1))</f>
        <v>59</v>
      </c>
      <c r="K120" s="63">
        <f>SUMIFS(informe!G:G,informe!A:A,presupuesto!B120)</f>
        <v>0</v>
      </c>
      <c r="L120" s="63">
        <f>SUMIFS(informe!F:F,informe!A:A,presupuesto!B120)</f>
        <v>0</v>
      </c>
      <c r="M120" s="23">
        <f t="shared" si="19"/>
        <v>305</v>
      </c>
      <c r="N120" s="23">
        <f t="shared" si="21"/>
        <v>45600</v>
      </c>
      <c r="O120" s="23">
        <f t="shared" si="22"/>
        <v>45904</v>
      </c>
      <c r="P120" s="23">
        <f t="shared" si="20"/>
        <v>0</v>
      </c>
      <c r="Q120" s="23">
        <f t="shared" si="16"/>
        <v>0</v>
      </c>
      <c r="R120" s="23">
        <f t="shared" si="23"/>
        <v>0</v>
      </c>
    </row>
    <row r="121" spans="1:18" ht="14.5" customHeight="1" x14ac:dyDescent="0.35">
      <c r="A121" s="46" t="s">
        <v>78</v>
      </c>
      <c r="B121" s="102">
        <v>78</v>
      </c>
      <c r="C121" s="46" t="s">
        <v>422</v>
      </c>
      <c r="D121" s="42" t="s">
        <v>114</v>
      </c>
      <c r="E121" s="42">
        <v>17364</v>
      </c>
      <c r="F121" s="97" t="str">
        <f t="shared" si="18"/>
        <v>Tabla: Partida</v>
      </c>
      <c r="G121" s="42" t="s">
        <v>224</v>
      </c>
      <c r="H121" s="42" t="s">
        <v>225</v>
      </c>
      <c r="I121" s="42" t="s">
        <v>227</v>
      </c>
      <c r="J121" s="23">
        <f>IF((informe!$J$2-N121)+1&gt;M121,M121,IF((informe!$J$2-N121)+1&lt;0,0,(informe!$J$2-N121)+1))</f>
        <v>59</v>
      </c>
      <c r="K121" s="63" t="e">
        <f>SUMIFS(informe!G:G,informe!A:A,presupuesto!B121)</f>
        <v>#VALUE!</v>
      </c>
      <c r="L121" s="63">
        <f>SUMIFS(informe!F:F,informe!A:A,presupuesto!B121)</f>
        <v>0</v>
      </c>
      <c r="M121" s="23">
        <f t="shared" si="19"/>
        <v>305</v>
      </c>
      <c r="N121" s="23">
        <f t="shared" si="21"/>
        <v>45600</v>
      </c>
      <c r="O121" s="23">
        <f t="shared" si="22"/>
        <v>45904</v>
      </c>
      <c r="P121" s="23">
        <f t="shared" si="20"/>
        <v>0</v>
      </c>
      <c r="Q121" s="23">
        <f t="shared" si="16"/>
        <v>56.931147540983609</v>
      </c>
      <c r="R121" s="23">
        <f t="shared" si="23"/>
        <v>0</v>
      </c>
    </row>
    <row r="122" spans="1:18" ht="14.5" customHeight="1" x14ac:dyDescent="0.35">
      <c r="A122" s="44" t="s">
        <v>79</v>
      </c>
      <c r="B122" s="101" t="s">
        <v>115</v>
      </c>
      <c r="C122" s="44" t="s">
        <v>312</v>
      </c>
      <c r="D122" s="41"/>
      <c r="E122" s="41"/>
      <c r="F122" s="97">
        <f t="shared" si="18"/>
        <v>0</v>
      </c>
      <c r="G122" s="41" t="s">
        <v>230</v>
      </c>
      <c r="H122" s="41" t="s">
        <v>149</v>
      </c>
      <c r="I122" s="41" t="s">
        <v>231</v>
      </c>
      <c r="J122" s="23">
        <f>IF((informe!$J$2-N122)+1&gt;M122,M122,IF((informe!$J$2-N122)+1&lt;0,0,(informe!$J$2-N122)+1))</f>
        <v>0</v>
      </c>
      <c r="K122" s="63">
        <f>SUMIFS(informe!G:G,informe!A:A,presupuesto!B122)</f>
        <v>0</v>
      </c>
      <c r="L122" s="63">
        <f>SUMIFS(informe!F:F,informe!A:A,presupuesto!B122)</f>
        <v>0</v>
      </c>
      <c r="M122" s="23">
        <f t="shared" si="19"/>
        <v>150</v>
      </c>
      <c r="N122" s="23">
        <f t="shared" si="21"/>
        <v>45740</v>
      </c>
      <c r="O122" s="23">
        <f t="shared" si="22"/>
        <v>45889</v>
      </c>
      <c r="P122" s="23">
        <f t="shared" si="20"/>
        <v>0</v>
      </c>
      <c r="Q122" s="23">
        <f t="shared" si="16"/>
        <v>0</v>
      </c>
      <c r="R122" s="23">
        <f t="shared" si="23"/>
        <v>0</v>
      </c>
    </row>
    <row r="123" spans="1:18" ht="14.5" customHeight="1" x14ac:dyDescent="0.35">
      <c r="A123" s="46" t="s">
        <v>80</v>
      </c>
      <c r="B123" s="102">
        <v>79</v>
      </c>
      <c r="C123" s="46" t="s">
        <v>423</v>
      </c>
      <c r="D123" s="42" t="s">
        <v>114</v>
      </c>
      <c r="E123" s="42">
        <v>183</v>
      </c>
      <c r="F123" s="97" t="str">
        <f t="shared" si="18"/>
        <v>Tabla: Partida</v>
      </c>
      <c r="G123" s="42" t="s">
        <v>230</v>
      </c>
      <c r="H123" s="42" t="s">
        <v>149</v>
      </c>
      <c r="I123" s="42" t="s">
        <v>231</v>
      </c>
      <c r="J123" s="23">
        <f>IF((informe!$J$2-N123)+1&gt;M123,M123,IF((informe!$J$2-N123)+1&lt;0,0,(informe!$J$2-N123)+1))</f>
        <v>0</v>
      </c>
      <c r="K123" s="63" t="e">
        <f>SUMIFS(informe!G:G,informe!A:A,presupuesto!B123)</f>
        <v>#VALUE!</v>
      </c>
      <c r="L123" s="63">
        <f>SUMIFS(informe!F:F,informe!A:A,presupuesto!B123)</f>
        <v>0</v>
      </c>
      <c r="M123" s="23">
        <f t="shared" si="19"/>
        <v>150</v>
      </c>
      <c r="N123" s="23">
        <f t="shared" si="21"/>
        <v>45740</v>
      </c>
      <c r="O123" s="23">
        <f t="shared" si="22"/>
        <v>45889</v>
      </c>
      <c r="P123" s="23">
        <f t="shared" si="20"/>
        <v>0</v>
      </c>
      <c r="Q123" s="23">
        <f t="shared" si="16"/>
        <v>1.22</v>
      </c>
      <c r="R123" s="23">
        <f t="shared" si="23"/>
        <v>0</v>
      </c>
    </row>
    <row r="124" spans="1:18" ht="14.5" customHeight="1" x14ac:dyDescent="0.35">
      <c r="A124" s="46" t="s">
        <v>81</v>
      </c>
      <c r="B124" s="102">
        <v>80</v>
      </c>
      <c r="C124" s="46" t="s">
        <v>424</v>
      </c>
      <c r="D124" s="42" t="s">
        <v>114</v>
      </c>
      <c r="E124" s="42">
        <v>45</v>
      </c>
      <c r="F124" s="97" t="str">
        <f t="shared" si="18"/>
        <v>Tabla: Partida</v>
      </c>
      <c r="G124" s="42" t="s">
        <v>95</v>
      </c>
      <c r="H124" s="42" t="s">
        <v>193</v>
      </c>
      <c r="I124" s="42" t="s">
        <v>232</v>
      </c>
      <c r="J124" s="23">
        <f>IF((informe!$J$2-N124)+1&gt;M124,M124,IF((informe!$J$2-N124)+1&lt;0,0,(informe!$J$2-N124)+1))</f>
        <v>0</v>
      </c>
      <c r="K124" s="63" t="e">
        <f>SUMIFS(informe!G:G,informe!A:A,presupuesto!B124)</f>
        <v>#VALUE!</v>
      </c>
      <c r="L124" s="63">
        <f>SUMIFS(informe!F:F,informe!A:A,presupuesto!B124)</f>
        <v>0</v>
      </c>
      <c r="M124" s="23">
        <f t="shared" si="19"/>
        <v>90</v>
      </c>
      <c r="N124" s="23">
        <f t="shared" si="21"/>
        <v>45785</v>
      </c>
      <c r="O124" s="23">
        <f t="shared" si="22"/>
        <v>45874</v>
      </c>
      <c r="P124" s="23">
        <f t="shared" si="20"/>
        <v>0</v>
      </c>
      <c r="Q124" s="23">
        <f t="shared" si="16"/>
        <v>0.5</v>
      </c>
      <c r="R124" s="23">
        <f t="shared" si="23"/>
        <v>0</v>
      </c>
    </row>
    <row r="125" spans="1:18" ht="14.5" customHeight="1" x14ac:dyDescent="0.35">
      <c r="A125" s="44" t="s">
        <v>82</v>
      </c>
      <c r="B125" s="101" t="s">
        <v>116</v>
      </c>
      <c r="C125" s="44" t="s">
        <v>316</v>
      </c>
      <c r="D125" s="41"/>
      <c r="E125" s="41"/>
      <c r="F125" s="97">
        <f t="shared" si="18"/>
        <v>0</v>
      </c>
      <c r="G125" s="41" t="s">
        <v>233</v>
      </c>
      <c r="H125" s="41" t="s">
        <v>234</v>
      </c>
      <c r="I125" s="41" t="s">
        <v>227</v>
      </c>
      <c r="J125" s="23">
        <f>IF((informe!$J$2-N125)+1&gt;M125,M125,IF((informe!$J$2-N125)+1&lt;0,0,(informe!$J$2-N125)+1))</f>
        <v>0</v>
      </c>
      <c r="K125" s="63">
        <f>SUMIFS(informe!G:G,informe!A:A,presupuesto!B125)</f>
        <v>0</v>
      </c>
      <c r="L125" s="63">
        <f>SUMIFS(informe!F:F,informe!A:A,presupuesto!B125)</f>
        <v>0</v>
      </c>
      <c r="M125" s="23">
        <f t="shared" si="19"/>
        <v>180</v>
      </c>
      <c r="N125" s="23">
        <f t="shared" si="21"/>
        <v>45725</v>
      </c>
      <c r="O125" s="23">
        <f t="shared" si="22"/>
        <v>45904</v>
      </c>
      <c r="P125" s="23">
        <f t="shared" si="20"/>
        <v>0</v>
      </c>
      <c r="Q125" s="23">
        <f t="shared" si="16"/>
        <v>0</v>
      </c>
      <c r="R125" s="23">
        <f t="shared" si="23"/>
        <v>0</v>
      </c>
    </row>
    <row r="126" spans="1:18" ht="14.5" customHeight="1" x14ac:dyDescent="0.35">
      <c r="A126" s="46" t="s">
        <v>83</v>
      </c>
      <c r="B126" s="102">
        <v>81</v>
      </c>
      <c r="C126" s="46" t="s">
        <v>318</v>
      </c>
      <c r="D126" s="42" t="s">
        <v>117</v>
      </c>
      <c r="E126" s="42">
        <v>227</v>
      </c>
      <c r="F126" s="97" t="str">
        <f t="shared" si="18"/>
        <v>Tabla: Partida</v>
      </c>
      <c r="G126" s="42" t="s">
        <v>233</v>
      </c>
      <c r="H126" s="42" t="s">
        <v>234</v>
      </c>
      <c r="I126" s="42" t="s">
        <v>227</v>
      </c>
      <c r="J126" s="23">
        <f>IF((informe!$J$2-N126)+1&gt;M126,M126,IF((informe!$J$2-N126)+1&lt;0,0,(informe!$J$2-N126)+1))</f>
        <v>0</v>
      </c>
      <c r="K126" s="63" t="e">
        <f>SUMIFS(informe!G:G,informe!A:A,presupuesto!B126)</f>
        <v>#VALUE!</v>
      </c>
      <c r="L126" s="63">
        <f>SUMIFS(informe!F:F,informe!A:A,presupuesto!B126)</f>
        <v>0</v>
      </c>
      <c r="M126" s="23">
        <f t="shared" si="19"/>
        <v>180</v>
      </c>
      <c r="N126" s="23">
        <f t="shared" si="21"/>
        <v>45725</v>
      </c>
      <c r="O126" s="23">
        <f t="shared" si="22"/>
        <v>45904</v>
      </c>
      <c r="P126" s="23">
        <f t="shared" si="20"/>
        <v>0</v>
      </c>
      <c r="Q126" s="23">
        <f t="shared" si="16"/>
        <v>1.2611111111111111</v>
      </c>
      <c r="R126" s="23">
        <f t="shared" si="23"/>
        <v>0</v>
      </c>
    </row>
    <row r="127" spans="1:18" ht="14.5" customHeight="1" x14ac:dyDescent="0.35">
      <c r="A127" s="46" t="s">
        <v>84</v>
      </c>
      <c r="B127" s="102">
        <v>82</v>
      </c>
      <c r="C127" s="46" t="s">
        <v>320</v>
      </c>
      <c r="D127" s="42" t="s">
        <v>109</v>
      </c>
      <c r="E127" s="42">
        <v>5196.1000000000004</v>
      </c>
      <c r="F127" s="97" t="str">
        <f t="shared" si="18"/>
        <v>Tabla: Partida</v>
      </c>
      <c r="G127" s="42" t="s">
        <v>230</v>
      </c>
      <c r="H127" s="42" t="s">
        <v>149</v>
      </c>
      <c r="I127" s="42" t="s">
        <v>231</v>
      </c>
      <c r="J127" s="23">
        <f>IF((informe!$J$2-N127)+1&gt;M127,M127,IF((informe!$J$2-N127)+1&lt;0,0,(informe!$J$2-N127)+1))</f>
        <v>0</v>
      </c>
      <c r="K127" s="63" t="e">
        <f>SUMIFS(informe!G:G,informe!A:A,presupuesto!B127)</f>
        <v>#VALUE!</v>
      </c>
      <c r="L127" s="63">
        <f>SUMIFS(informe!F:F,informe!A:A,presupuesto!B127)</f>
        <v>0</v>
      </c>
      <c r="M127" s="23">
        <f t="shared" si="19"/>
        <v>150</v>
      </c>
      <c r="N127" s="23">
        <f t="shared" si="21"/>
        <v>45740</v>
      </c>
      <c r="O127" s="23">
        <f t="shared" si="22"/>
        <v>45889</v>
      </c>
      <c r="P127" s="23">
        <f t="shared" si="20"/>
        <v>0</v>
      </c>
      <c r="Q127" s="23">
        <f t="shared" si="16"/>
        <v>34.640666666666668</v>
      </c>
      <c r="R127" s="23">
        <f t="shared" si="23"/>
        <v>0</v>
      </c>
    </row>
    <row r="128" spans="1:18" ht="14.5" customHeight="1" x14ac:dyDescent="0.35">
      <c r="A128" s="46" t="s">
        <v>85</v>
      </c>
      <c r="B128" s="102">
        <v>83</v>
      </c>
      <c r="C128" s="46" t="s">
        <v>425</v>
      </c>
      <c r="D128" s="42" t="s">
        <v>109</v>
      </c>
      <c r="E128" s="42">
        <v>1174.5</v>
      </c>
      <c r="F128" s="97" t="str">
        <f t="shared" si="18"/>
        <v>Tabla: Partida</v>
      </c>
      <c r="G128" s="42" t="s">
        <v>230</v>
      </c>
      <c r="H128" s="42" t="s">
        <v>149</v>
      </c>
      <c r="I128" s="42" t="s">
        <v>231</v>
      </c>
      <c r="J128" s="23">
        <f>IF((informe!$J$2-N128)+1&gt;M128,M128,IF((informe!$J$2-N128)+1&lt;0,0,(informe!$J$2-N128)+1))</f>
        <v>0</v>
      </c>
      <c r="K128" s="63" t="e">
        <f>SUMIFS(informe!G:G,informe!A:A,presupuesto!B128)</f>
        <v>#VALUE!</v>
      </c>
      <c r="L128" s="63">
        <f>SUMIFS(informe!F:F,informe!A:A,presupuesto!B128)</f>
        <v>0</v>
      </c>
      <c r="M128" s="23">
        <f t="shared" si="19"/>
        <v>150</v>
      </c>
      <c r="N128" s="23">
        <f t="shared" si="21"/>
        <v>45740</v>
      </c>
      <c r="O128" s="23">
        <f t="shared" si="22"/>
        <v>45889</v>
      </c>
      <c r="P128" s="23">
        <f t="shared" si="20"/>
        <v>0</v>
      </c>
      <c r="Q128" s="23">
        <f t="shared" si="16"/>
        <v>7.83</v>
      </c>
      <c r="R128" s="23">
        <f t="shared" si="23"/>
        <v>0</v>
      </c>
    </row>
    <row r="129" spans="1:18" ht="14.5" customHeight="1" x14ac:dyDescent="0.35">
      <c r="A129" s="46" t="s">
        <v>86</v>
      </c>
      <c r="B129" s="102">
        <v>84</v>
      </c>
      <c r="C129" s="46" t="s">
        <v>361</v>
      </c>
      <c r="D129" s="42" t="s">
        <v>109</v>
      </c>
      <c r="E129" s="42">
        <v>3799</v>
      </c>
      <c r="F129" s="97" t="str">
        <f t="shared" si="18"/>
        <v>Tabla: Partida</v>
      </c>
      <c r="G129" s="42" t="s">
        <v>230</v>
      </c>
      <c r="H129" s="42" t="s">
        <v>149</v>
      </c>
      <c r="I129" s="42" t="s">
        <v>231</v>
      </c>
      <c r="J129" s="23">
        <f>IF((informe!$J$2-N129)+1&gt;M129,M129,IF((informe!$J$2-N129)+1&lt;0,0,(informe!$J$2-N129)+1))</f>
        <v>0</v>
      </c>
      <c r="K129" s="63" t="e">
        <f>SUMIFS(informe!G:G,informe!A:A,presupuesto!B129)</f>
        <v>#VALUE!</v>
      </c>
      <c r="L129" s="63">
        <f>SUMIFS(informe!F:F,informe!A:A,presupuesto!B129)</f>
        <v>0</v>
      </c>
      <c r="M129" s="23">
        <f t="shared" si="19"/>
        <v>150</v>
      </c>
      <c r="N129" s="23">
        <f t="shared" si="21"/>
        <v>45740</v>
      </c>
      <c r="O129" s="23">
        <f t="shared" si="22"/>
        <v>45889</v>
      </c>
      <c r="P129" s="23">
        <f t="shared" si="20"/>
        <v>0</v>
      </c>
      <c r="Q129" s="23">
        <f t="shared" si="16"/>
        <v>25.326666666666668</v>
      </c>
      <c r="R129" s="23">
        <f t="shared" si="23"/>
        <v>0</v>
      </c>
    </row>
    <row r="130" spans="1:18" ht="14.5" customHeight="1" x14ac:dyDescent="0.35">
      <c r="A130" s="44" t="s">
        <v>426</v>
      </c>
      <c r="B130" s="101" t="s">
        <v>118</v>
      </c>
      <c r="C130" s="44" t="s">
        <v>326</v>
      </c>
      <c r="D130" s="41"/>
      <c r="E130" s="41"/>
      <c r="F130" s="97">
        <f t="shared" si="18"/>
        <v>0</v>
      </c>
      <c r="G130" s="41" t="s">
        <v>228</v>
      </c>
      <c r="H130" s="41" t="s">
        <v>229</v>
      </c>
      <c r="I130" s="41" t="s">
        <v>227</v>
      </c>
      <c r="J130" s="23">
        <f>IF((informe!$J$2-N130)+1&gt;M130,M130,IF((informe!$J$2-N130)+1&lt;0,0,(informe!$J$2-N130)+1))</f>
        <v>0</v>
      </c>
      <c r="K130" s="63">
        <f>SUMIFS(informe!G:G,informe!A:A,presupuesto!B130)</f>
        <v>0</v>
      </c>
      <c r="L130" s="63">
        <f>SUMIFS(informe!F:F,informe!A:A,presupuesto!B130)</f>
        <v>0</v>
      </c>
      <c r="M130" s="23">
        <f t="shared" si="19"/>
        <v>210</v>
      </c>
      <c r="N130" s="23">
        <f t="shared" si="21"/>
        <v>45695</v>
      </c>
      <c r="O130" s="23">
        <f t="shared" si="22"/>
        <v>45904</v>
      </c>
      <c r="P130" s="23">
        <f t="shared" si="20"/>
        <v>0</v>
      </c>
      <c r="Q130" s="23">
        <f t="shared" si="16"/>
        <v>0</v>
      </c>
      <c r="R130" s="23">
        <f t="shared" si="23"/>
        <v>0</v>
      </c>
    </row>
    <row r="131" spans="1:18" ht="14.5" customHeight="1" x14ac:dyDescent="0.35">
      <c r="A131" s="46" t="s">
        <v>427</v>
      </c>
      <c r="B131" s="102">
        <v>85</v>
      </c>
      <c r="C131" s="46" t="s">
        <v>428</v>
      </c>
      <c r="D131" s="42" t="s">
        <v>119</v>
      </c>
      <c r="E131" s="42">
        <v>20</v>
      </c>
      <c r="F131" s="97" t="str">
        <f t="shared" si="18"/>
        <v>Tabla: Partida</v>
      </c>
      <c r="G131" s="42" t="s">
        <v>93</v>
      </c>
      <c r="H131" s="42" t="s">
        <v>235</v>
      </c>
      <c r="I131" s="42" t="s">
        <v>236</v>
      </c>
      <c r="J131" s="23">
        <f>IF((informe!$J$2-N131)+1&gt;M131,M131,IF((informe!$J$2-N131)+1&lt;0,0,(informe!$J$2-N131)+1))</f>
        <v>0</v>
      </c>
      <c r="K131" s="63" t="e">
        <f>SUMIFS(informe!G:G,informe!A:A,presupuesto!B131)</f>
        <v>#VALUE!</v>
      </c>
      <c r="L131" s="63">
        <f>SUMIFS(informe!F:F,informe!A:A,presupuesto!B131)</f>
        <v>0</v>
      </c>
      <c r="M131" s="23">
        <f t="shared" si="19"/>
        <v>15</v>
      </c>
      <c r="N131" s="23">
        <f t="shared" ref="N131:N162" si="24">DATEVALUE(RIGHT(H131,8))</f>
        <v>45883</v>
      </c>
      <c r="O131" s="23">
        <f t="shared" ref="O131:O162" si="25">DATEVALUE(RIGHT(I131,8))</f>
        <v>45897</v>
      </c>
      <c r="P131" s="23">
        <f t="shared" si="20"/>
        <v>0</v>
      </c>
      <c r="Q131" s="23">
        <f t="shared" si="16"/>
        <v>1.3333333333333333</v>
      </c>
      <c r="R131" s="23">
        <f t="shared" ref="R131:R162" si="26">IFERROR(((IF(($R$1-$N131)+1&gt;$M131,$M131,IF(($R$1-$N131)+1&lt;0,0,($R$1-$N131)+1)))*$P131*1)/$L131,0)</f>
        <v>0</v>
      </c>
    </row>
    <row r="132" spans="1:18" ht="14.5" customHeight="1" x14ac:dyDescent="0.35">
      <c r="A132" s="46" t="s">
        <v>429</v>
      </c>
      <c r="B132" s="102">
        <v>86</v>
      </c>
      <c r="C132" s="46" t="s">
        <v>328</v>
      </c>
      <c r="D132" s="42" t="s">
        <v>119</v>
      </c>
      <c r="E132" s="42">
        <v>213</v>
      </c>
      <c r="F132" s="97" t="str">
        <f t="shared" si="18"/>
        <v>Tabla: Partida</v>
      </c>
      <c r="G132" s="42" t="s">
        <v>228</v>
      </c>
      <c r="H132" s="42" t="s">
        <v>229</v>
      </c>
      <c r="I132" s="42" t="s">
        <v>227</v>
      </c>
      <c r="J132" s="23">
        <f>IF((informe!$J$2-N132)+1&gt;M132,M132,IF((informe!$J$2-N132)+1&lt;0,0,(informe!$J$2-N132)+1))</f>
        <v>0</v>
      </c>
      <c r="K132" s="63" t="e">
        <f>SUMIFS(informe!G:G,informe!A:A,presupuesto!B132)</f>
        <v>#VALUE!</v>
      </c>
      <c r="L132" s="63">
        <f>SUMIFS(informe!F:F,informe!A:A,presupuesto!B132)</f>
        <v>0</v>
      </c>
      <c r="M132" s="23">
        <f t="shared" si="19"/>
        <v>210</v>
      </c>
      <c r="N132" s="23">
        <f t="shared" si="24"/>
        <v>45695</v>
      </c>
      <c r="O132" s="23">
        <f t="shared" si="25"/>
        <v>45904</v>
      </c>
      <c r="P132" s="23">
        <f t="shared" si="20"/>
        <v>0</v>
      </c>
      <c r="Q132" s="23">
        <f t="shared" ref="Q132:Q172" si="27">E132/((O132-N132)+1)</f>
        <v>1.0142857142857142</v>
      </c>
      <c r="R132" s="23">
        <f t="shared" si="26"/>
        <v>0</v>
      </c>
    </row>
    <row r="133" spans="1:18" ht="14.5" customHeight="1" x14ac:dyDescent="0.35">
      <c r="A133" s="46" t="s">
        <v>430</v>
      </c>
      <c r="B133" s="102">
        <v>87</v>
      </c>
      <c r="C133" s="46" t="s">
        <v>330</v>
      </c>
      <c r="D133" s="42" t="s">
        <v>119</v>
      </c>
      <c r="E133" s="42">
        <v>835</v>
      </c>
      <c r="F133" s="97" t="str">
        <f t="shared" si="18"/>
        <v>Tabla: Partida</v>
      </c>
      <c r="G133" s="42" t="s">
        <v>230</v>
      </c>
      <c r="H133" s="42" t="s">
        <v>149</v>
      </c>
      <c r="I133" s="42" t="s">
        <v>231</v>
      </c>
      <c r="J133" s="23">
        <f>IF((informe!$J$2-N133)+1&gt;M133,M133,IF((informe!$J$2-N133)+1&lt;0,0,(informe!$J$2-N133)+1))</f>
        <v>0</v>
      </c>
      <c r="K133" s="63" t="e">
        <f>SUMIFS(informe!G:G,informe!A:A,presupuesto!B133)</f>
        <v>#VALUE!</v>
      </c>
      <c r="L133" s="63">
        <f>SUMIFS(informe!F:F,informe!A:A,presupuesto!B133)</f>
        <v>0</v>
      </c>
      <c r="M133" s="23">
        <f t="shared" si="19"/>
        <v>150</v>
      </c>
      <c r="N133" s="23">
        <f t="shared" si="24"/>
        <v>45740</v>
      </c>
      <c r="O133" s="23">
        <f t="shared" si="25"/>
        <v>45889</v>
      </c>
      <c r="P133" s="23">
        <f t="shared" si="20"/>
        <v>0</v>
      </c>
      <c r="Q133" s="23">
        <f t="shared" si="27"/>
        <v>5.5666666666666664</v>
      </c>
      <c r="R133" s="23">
        <f t="shared" si="26"/>
        <v>0</v>
      </c>
    </row>
    <row r="134" spans="1:18" ht="14.5" customHeight="1" x14ac:dyDescent="0.35">
      <c r="A134" s="46" t="s">
        <v>431</v>
      </c>
      <c r="B134" s="102">
        <v>88</v>
      </c>
      <c r="C134" s="46" t="s">
        <v>332</v>
      </c>
      <c r="D134" s="42" t="s">
        <v>119</v>
      </c>
      <c r="E134" s="42">
        <v>81</v>
      </c>
      <c r="F134" s="97" t="str">
        <f t="shared" si="18"/>
        <v>Tabla: Partida</v>
      </c>
      <c r="G134" s="42" t="s">
        <v>153</v>
      </c>
      <c r="H134" s="42" t="s">
        <v>184</v>
      </c>
      <c r="I134" s="42" t="s">
        <v>231</v>
      </c>
      <c r="J134" s="23">
        <f>IF((informe!$J$2-N134)+1&gt;M134,M134,IF((informe!$J$2-N134)+1&lt;0,0,(informe!$J$2-N134)+1))</f>
        <v>0</v>
      </c>
      <c r="K134" s="63" t="e">
        <f>SUMIFS(informe!G:G,informe!A:A,presupuesto!B134)</f>
        <v>#VALUE!</v>
      </c>
      <c r="L134" s="63">
        <f>SUMIFS(informe!F:F,informe!A:A,presupuesto!B134)</f>
        <v>0</v>
      </c>
      <c r="M134" s="23">
        <f t="shared" si="19"/>
        <v>120</v>
      </c>
      <c r="N134" s="23">
        <f t="shared" si="24"/>
        <v>45770</v>
      </c>
      <c r="O134" s="23">
        <f t="shared" si="25"/>
        <v>45889</v>
      </c>
      <c r="P134" s="23">
        <f t="shared" si="20"/>
        <v>0</v>
      </c>
      <c r="Q134" s="23">
        <f t="shared" si="27"/>
        <v>0.67500000000000004</v>
      </c>
      <c r="R134" s="23">
        <f t="shared" si="26"/>
        <v>0</v>
      </c>
    </row>
    <row r="135" spans="1:18" ht="14.5" customHeight="1" x14ac:dyDescent="0.35">
      <c r="A135" s="46" t="s">
        <v>432</v>
      </c>
      <c r="B135" s="102">
        <v>89</v>
      </c>
      <c r="C135" s="46" t="s">
        <v>433</v>
      </c>
      <c r="D135" s="42" t="s">
        <v>119</v>
      </c>
      <c r="E135" s="42">
        <v>210</v>
      </c>
      <c r="F135" s="97" t="str">
        <f t="shared" si="18"/>
        <v>Tabla: Partida</v>
      </c>
      <c r="G135" s="42" t="s">
        <v>230</v>
      </c>
      <c r="H135" s="42" t="s">
        <v>149</v>
      </c>
      <c r="I135" s="42" t="s">
        <v>231</v>
      </c>
      <c r="J135" s="23">
        <f>IF((informe!$J$2-N135)+1&gt;M135,M135,IF((informe!$J$2-N135)+1&lt;0,0,(informe!$J$2-N135)+1))</f>
        <v>0</v>
      </c>
      <c r="K135" s="63" t="e">
        <f>SUMIFS(informe!G:G,informe!A:A,presupuesto!B135)</f>
        <v>#VALUE!</v>
      </c>
      <c r="L135" s="63">
        <f>SUMIFS(informe!F:F,informe!A:A,presupuesto!B135)</f>
        <v>0</v>
      </c>
      <c r="M135" s="23">
        <f t="shared" si="19"/>
        <v>150</v>
      </c>
      <c r="N135" s="23">
        <f t="shared" si="24"/>
        <v>45740</v>
      </c>
      <c r="O135" s="23">
        <f t="shared" si="25"/>
        <v>45889</v>
      </c>
      <c r="P135" s="23">
        <f t="shared" si="20"/>
        <v>0</v>
      </c>
      <c r="Q135" s="23">
        <f t="shared" si="27"/>
        <v>1.4</v>
      </c>
      <c r="R135" s="23">
        <f t="shared" si="26"/>
        <v>0</v>
      </c>
    </row>
    <row r="136" spans="1:18" ht="14.5" customHeight="1" x14ac:dyDescent="0.35">
      <c r="A136" s="44" t="s">
        <v>87</v>
      </c>
      <c r="B136" s="101" t="s">
        <v>36</v>
      </c>
      <c r="C136" s="44" t="s">
        <v>434</v>
      </c>
      <c r="D136" s="41"/>
      <c r="E136" s="41"/>
      <c r="F136" s="97">
        <f t="shared" ref="F136:F172" si="28">IF(ISBLANK(E136),0,"Tabla: Partida")</f>
        <v>0</v>
      </c>
      <c r="G136" s="41" t="s">
        <v>237</v>
      </c>
      <c r="H136" s="41" t="s">
        <v>196</v>
      </c>
      <c r="I136" s="41" t="s">
        <v>226</v>
      </c>
      <c r="J136" s="23">
        <f>IF((informe!$J$2-N136)+1&gt;M136,M136,IF((informe!$J$2-N136)+1&lt;0,0,(informe!$J$2-N136)+1))</f>
        <v>29</v>
      </c>
      <c r="K136" s="63">
        <f>SUMIFS(informe!G:G,informe!A:A,presupuesto!B136)</f>
        <v>0</v>
      </c>
      <c r="L136" s="63">
        <f>SUMIFS(informe!F:F,informe!A:A,presupuesto!B136)</f>
        <v>0</v>
      </c>
      <c r="M136" s="23">
        <f t="shared" si="19"/>
        <v>276</v>
      </c>
      <c r="N136" s="23">
        <f t="shared" si="24"/>
        <v>45630</v>
      </c>
      <c r="O136" s="23">
        <f t="shared" si="25"/>
        <v>45905</v>
      </c>
      <c r="P136" s="23">
        <f t="shared" si="20"/>
        <v>0</v>
      </c>
      <c r="Q136" s="23">
        <f t="shared" si="27"/>
        <v>0</v>
      </c>
      <c r="R136" s="23">
        <f t="shared" si="26"/>
        <v>0</v>
      </c>
    </row>
    <row r="137" spans="1:18" ht="14.5" customHeight="1" x14ac:dyDescent="0.35">
      <c r="A137" s="46" t="s">
        <v>88</v>
      </c>
      <c r="B137" s="102">
        <v>90</v>
      </c>
      <c r="C137" s="46" t="s">
        <v>435</v>
      </c>
      <c r="D137" s="42" t="s">
        <v>119</v>
      </c>
      <c r="E137" s="42">
        <v>78</v>
      </c>
      <c r="F137" s="97" t="str">
        <f t="shared" si="28"/>
        <v>Tabla: Partida</v>
      </c>
      <c r="G137" s="42" t="s">
        <v>238</v>
      </c>
      <c r="H137" s="42" t="s">
        <v>196</v>
      </c>
      <c r="I137" s="42" t="s">
        <v>239</v>
      </c>
      <c r="J137" s="23">
        <f>IF((informe!$J$2-N137)+1&gt;M137,M137,IF((informe!$J$2-N137)+1&lt;0,0,(informe!$J$2-N137)+1))</f>
        <v>29</v>
      </c>
      <c r="K137" s="63" t="e">
        <f>SUMIFS(informe!G:G,informe!A:A,presupuesto!B137)</f>
        <v>#VALUE!</v>
      </c>
      <c r="L137" s="63">
        <f>SUMIFS(informe!F:F,informe!A:A,presupuesto!B137)</f>
        <v>0</v>
      </c>
      <c r="M137" s="23">
        <f t="shared" si="19"/>
        <v>230</v>
      </c>
      <c r="N137" s="23">
        <f t="shared" si="24"/>
        <v>45630</v>
      </c>
      <c r="O137" s="23">
        <f t="shared" si="25"/>
        <v>45859</v>
      </c>
      <c r="P137" s="23">
        <f t="shared" si="20"/>
        <v>0</v>
      </c>
      <c r="Q137" s="23">
        <f t="shared" si="27"/>
        <v>0.33913043478260868</v>
      </c>
      <c r="R137" s="23">
        <f t="shared" si="26"/>
        <v>0</v>
      </c>
    </row>
    <row r="138" spans="1:18" ht="14.5" customHeight="1" x14ac:dyDescent="0.35">
      <c r="A138" s="46" t="s">
        <v>436</v>
      </c>
      <c r="B138" s="102">
        <v>91</v>
      </c>
      <c r="C138" s="46" t="s">
        <v>437</v>
      </c>
      <c r="D138" s="42" t="s">
        <v>119</v>
      </c>
      <c r="E138" s="42">
        <v>5</v>
      </c>
      <c r="F138" s="97" t="str">
        <f t="shared" si="28"/>
        <v>Tabla: Partida</v>
      </c>
      <c r="G138" s="42" t="s">
        <v>7</v>
      </c>
      <c r="H138" s="42" t="s">
        <v>240</v>
      </c>
      <c r="I138" s="42" t="s">
        <v>231</v>
      </c>
      <c r="J138" s="23">
        <f>IF((informe!$J$2-N138)+1&gt;M138,M138,IF((informe!$J$2-N138)+1&lt;0,0,(informe!$J$2-N138)+1))</f>
        <v>0</v>
      </c>
      <c r="K138" s="63" t="e">
        <f>SUMIFS(informe!G:G,informe!A:A,presupuesto!B138)</f>
        <v>#VALUE!</v>
      </c>
      <c r="L138" s="63">
        <f>SUMIFS(informe!F:F,informe!A:A,presupuesto!B138)</f>
        <v>0</v>
      </c>
      <c r="M138" s="23">
        <f t="shared" si="19"/>
        <v>30</v>
      </c>
      <c r="N138" s="23">
        <f t="shared" si="24"/>
        <v>45860</v>
      </c>
      <c r="O138" s="23">
        <f t="shared" si="25"/>
        <v>45889</v>
      </c>
      <c r="P138" s="23">
        <f t="shared" si="20"/>
        <v>0</v>
      </c>
      <c r="Q138" s="23">
        <f t="shared" si="27"/>
        <v>0.16666666666666666</v>
      </c>
      <c r="R138" s="23">
        <f t="shared" si="26"/>
        <v>0</v>
      </c>
    </row>
    <row r="139" spans="1:18" ht="14.5" customHeight="1" x14ac:dyDescent="0.35">
      <c r="A139" s="46" t="s">
        <v>438</v>
      </c>
      <c r="B139" s="102">
        <v>92</v>
      </c>
      <c r="C139" s="46" t="s">
        <v>439</v>
      </c>
      <c r="D139" s="42" t="s">
        <v>119</v>
      </c>
      <c r="E139" s="42">
        <v>19</v>
      </c>
      <c r="F139" s="97" t="str">
        <f t="shared" si="28"/>
        <v>Tabla: Partida</v>
      </c>
      <c r="G139" s="42" t="s">
        <v>172</v>
      </c>
      <c r="H139" s="42" t="s">
        <v>241</v>
      </c>
      <c r="I139" s="42" t="s">
        <v>226</v>
      </c>
      <c r="J139" s="23">
        <f>IF((informe!$J$2-N139)+1&gt;M139,M139,IF((informe!$J$2-N139)+1&lt;0,0,(informe!$J$2-N139)+1))</f>
        <v>0</v>
      </c>
      <c r="K139" s="63" t="e">
        <f>SUMIFS(informe!G:G,informe!A:A,presupuesto!B139)</f>
        <v>#VALUE!</v>
      </c>
      <c r="L139" s="63">
        <f>SUMIFS(informe!F:F,informe!A:A,presupuesto!B139)</f>
        <v>0</v>
      </c>
      <c r="M139" s="23">
        <f t="shared" si="19"/>
        <v>6</v>
      </c>
      <c r="N139" s="23">
        <f t="shared" si="24"/>
        <v>45900</v>
      </c>
      <c r="O139" s="23">
        <f t="shared" si="25"/>
        <v>45905</v>
      </c>
      <c r="P139" s="23">
        <f t="shared" si="20"/>
        <v>0</v>
      </c>
      <c r="Q139" s="23">
        <f t="shared" si="27"/>
        <v>3.1666666666666665</v>
      </c>
      <c r="R139" s="23">
        <f t="shared" si="26"/>
        <v>0</v>
      </c>
    </row>
    <row r="140" spans="1:18" ht="14.5" customHeight="1" x14ac:dyDescent="0.35">
      <c r="A140" s="44" t="s">
        <v>440</v>
      </c>
      <c r="B140" s="101" t="s">
        <v>125</v>
      </c>
      <c r="C140" s="44" t="s">
        <v>289</v>
      </c>
      <c r="D140" s="41"/>
      <c r="E140" s="41"/>
      <c r="F140" s="97">
        <f t="shared" si="28"/>
        <v>0</v>
      </c>
      <c r="G140" s="41" t="s">
        <v>242</v>
      </c>
      <c r="H140" s="41" t="s">
        <v>137</v>
      </c>
      <c r="I140" s="41" t="s">
        <v>227</v>
      </c>
      <c r="J140" s="23">
        <f>IF((informe!$J$2-N140)+1&gt;M140,M140,IF((informe!$J$2-N140)+1&lt;0,0,(informe!$J$2-N140)+1))</f>
        <v>0</v>
      </c>
      <c r="K140" s="63">
        <f>SUMIFS(informe!G:G,informe!A:A,presupuesto!B140)</f>
        <v>0</v>
      </c>
      <c r="L140" s="63">
        <f>SUMIFS(informe!F:F,informe!A:A,presupuesto!B140)</f>
        <v>0</v>
      </c>
      <c r="M140" s="23">
        <f t="shared" si="19"/>
        <v>185</v>
      </c>
      <c r="N140" s="23">
        <f t="shared" si="24"/>
        <v>45720</v>
      </c>
      <c r="O140" s="23">
        <f t="shared" si="25"/>
        <v>45904</v>
      </c>
      <c r="P140" s="23">
        <f t="shared" si="20"/>
        <v>0</v>
      </c>
      <c r="Q140" s="23">
        <f t="shared" si="27"/>
        <v>0</v>
      </c>
      <c r="R140" s="23">
        <f t="shared" si="26"/>
        <v>0</v>
      </c>
    </row>
    <row r="141" spans="1:18" ht="14.5" customHeight="1" x14ac:dyDescent="0.35">
      <c r="A141" s="46" t="s">
        <v>441</v>
      </c>
      <c r="B141" s="102">
        <v>93</v>
      </c>
      <c r="C141" s="46" t="s">
        <v>442</v>
      </c>
      <c r="D141" s="42" t="s">
        <v>119</v>
      </c>
      <c r="E141" s="42">
        <v>257</v>
      </c>
      <c r="F141" s="97" t="str">
        <f t="shared" si="28"/>
        <v>Tabla: Partida</v>
      </c>
      <c r="G141" s="42" t="s">
        <v>153</v>
      </c>
      <c r="H141" s="42" t="s">
        <v>193</v>
      </c>
      <c r="I141" s="42" t="s">
        <v>227</v>
      </c>
      <c r="J141" s="23">
        <f>IF((informe!$J$2-N141)+1&gt;M141,M141,IF((informe!$J$2-N141)+1&lt;0,0,(informe!$J$2-N141)+1))</f>
        <v>0</v>
      </c>
      <c r="K141" s="63" t="e">
        <f>SUMIFS(informe!G:G,informe!A:A,presupuesto!B141)</f>
        <v>#VALUE!</v>
      </c>
      <c r="L141" s="63">
        <f>SUMIFS(informe!F:F,informe!A:A,presupuesto!B141)</f>
        <v>0</v>
      </c>
      <c r="M141" s="23">
        <f t="shared" si="19"/>
        <v>120</v>
      </c>
      <c r="N141" s="23">
        <f t="shared" si="24"/>
        <v>45785</v>
      </c>
      <c r="O141" s="23">
        <f t="shared" si="25"/>
        <v>45904</v>
      </c>
      <c r="P141" s="23">
        <f t="shared" si="20"/>
        <v>0</v>
      </c>
      <c r="Q141" s="23">
        <f t="shared" si="27"/>
        <v>2.1416666666666666</v>
      </c>
      <c r="R141" s="23">
        <f t="shared" si="26"/>
        <v>0</v>
      </c>
    </row>
    <row r="142" spans="1:18" ht="14.5" customHeight="1" x14ac:dyDescent="0.35">
      <c r="A142" s="46" t="s">
        <v>443</v>
      </c>
      <c r="B142" s="102">
        <v>94</v>
      </c>
      <c r="C142" s="46" t="s">
        <v>444</v>
      </c>
      <c r="D142" s="42" t="s">
        <v>119</v>
      </c>
      <c r="E142" s="42">
        <v>23</v>
      </c>
      <c r="F142" s="97" t="str">
        <f t="shared" si="28"/>
        <v>Tabla: Partida</v>
      </c>
      <c r="G142" s="42" t="s">
        <v>101</v>
      </c>
      <c r="H142" s="42" t="s">
        <v>137</v>
      </c>
      <c r="I142" s="42" t="s">
        <v>243</v>
      </c>
      <c r="J142" s="23">
        <f>IF((informe!$J$2-N142)+1&gt;M142,M142,IF((informe!$J$2-N142)+1&lt;0,0,(informe!$J$2-N142)+1))</f>
        <v>0</v>
      </c>
      <c r="K142" s="63" t="e">
        <f>SUMIFS(informe!G:G,informe!A:A,presupuesto!B142)</f>
        <v>#VALUE!</v>
      </c>
      <c r="L142" s="63">
        <f>SUMIFS(informe!F:F,informe!A:A,presupuesto!B142)</f>
        <v>0</v>
      </c>
      <c r="M142" s="23">
        <f t="shared" si="19"/>
        <v>70</v>
      </c>
      <c r="N142" s="23">
        <f t="shared" si="24"/>
        <v>45720</v>
      </c>
      <c r="O142" s="23">
        <f t="shared" si="25"/>
        <v>45789</v>
      </c>
      <c r="P142" s="23">
        <f t="shared" si="20"/>
        <v>0</v>
      </c>
      <c r="Q142" s="23">
        <f t="shared" si="27"/>
        <v>0.32857142857142857</v>
      </c>
      <c r="R142" s="23">
        <f t="shared" si="26"/>
        <v>0</v>
      </c>
    </row>
    <row r="143" spans="1:18" ht="14.5" customHeight="1" x14ac:dyDescent="0.35">
      <c r="A143" s="46" t="s">
        <v>445</v>
      </c>
      <c r="B143" s="102">
        <v>95</v>
      </c>
      <c r="C143" s="46" t="s">
        <v>446</v>
      </c>
      <c r="D143" s="42" t="s">
        <v>119</v>
      </c>
      <c r="E143" s="42">
        <v>29</v>
      </c>
      <c r="F143" s="97" t="str">
        <f t="shared" si="28"/>
        <v>Tabla: Partida</v>
      </c>
      <c r="G143" s="42" t="s">
        <v>98</v>
      </c>
      <c r="H143" s="42" t="s">
        <v>244</v>
      </c>
      <c r="I143" s="42" t="s">
        <v>245</v>
      </c>
      <c r="J143" s="23">
        <f>IF((informe!$J$2-N143)+1&gt;M143,M143,IF((informe!$J$2-N143)+1&lt;0,0,(informe!$J$2-N143)+1))</f>
        <v>0</v>
      </c>
      <c r="K143" s="63" t="e">
        <f>SUMIFS(informe!G:G,informe!A:A,presupuesto!B143)</f>
        <v>#VALUE!</v>
      </c>
      <c r="L143" s="63">
        <f>SUMIFS(informe!F:F,informe!A:A,presupuesto!B143)</f>
        <v>0</v>
      </c>
      <c r="M143" s="23">
        <f t="shared" si="19"/>
        <v>95</v>
      </c>
      <c r="N143" s="23">
        <f t="shared" si="24"/>
        <v>45790</v>
      </c>
      <c r="O143" s="23">
        <f t="shared" si="25"/>
        <v>45884</v>
      </c>
      <c r="P143" s="23">
        <f>L143/M143</f>
        <v>0</v>
      </c>
      <c r="Q143" s="23">
        <f t="shared" si="27"/>
        <v>0.30526315789473685</v>
      </c>
      <c r="R143" s="23">
        <f t="shared" si="26"/>
        <v>0</v>
      </c>
    </row>
    <row r="144" spans="1:18" ht="14.5" customHeight="1" x14ac:dyDescent="0.35">
      <c r="A144" s="46" t="s">
        <v>447</v>
      </c>
      <c r="B144" s="102">
        <v>96</v>
      </c>
      <c r="C144" s="46" t="s">
        <v>448</v>
      </c>
      <c r="D144" s="42" t="s">
        <v>119</v>
      </c>
      <c r="E144" s="42">
        <v>1</v>
      </c>
      <c r="F144" s="97" t="str">
        <f t="shared" si="28"/>
        <v>Tabla: Partida</v>
      </c>
      <c r="G144" s="42" t="s">
        <v>7</v>
      </c>
      <c r="H144" s="42" t="s">
        <v>244</v>
      </c>
      <c r="I144" s="42" t="s">
        <v>246</v>
      </c>
      <c r="J144" s="23">
        <f>IF((informe!$J$2-N144)+1&gt;M144,M144,IF((informe!$J$2-N144)+1&lt;0,0,(informe!$J$2-N144)+1))</f>
        <v>0</v>
      </c>
      <c r="K144" s="63" t="e">
        <f>SUMIFS(informe!G:G,informe!A:A,presupuesto!B144)</f>
        <v>#VALUE!</v>
      </c>
      <c r="L144" s="63">
        <f>SUMIFS(informe!F:F,informe!A:A,presupuesto!B144)</f>
        <v>0</v>
      </c>
      <c r="M144" s="23">
        <f t="shared" si="19"/>
        <v>30</v>
      </c>
      <c r="N144" s="23">
        <f t="shared" si="24"/>
        <v>45790</v>
      </c>
      <c r="O144" s="23">
        <f t="shared" si="25"/>
        <v>45819</v>
      </c>
      <c r="P144" s="23">
        <f t="shared" si="20"/>
        <v>0</v>
      </c>
      <c r="Q144" s="23">
        <f t="shared" si="27"/>
        <v>3.3333333333333333E-2</v>
      </c>
      <c r="R144" s="23">
        <f t="shared" si="26"/>
        <v>0</v>
      </c>
    </row>
    <row r="145" spans="1:18" ht="14.5" customHeight="1" x14ac:dyDescent="0.35">
      <c r="A145" s="45" t="s">
        <v>89</v>
      </c>
      <c r="B145" s="100"/>
      <c r="C145" s="45" t="s">
        <v>449</v>
      </c>
      <c r="D145" s="40"/>
      <c r="E145" s="40"/>
      <c r="F145" s="97">
        <f t="shared" si="28"/>
        <v>0</v>
      </c>
      <c r="G145" s="40" t="s">
        <v>247</v>
      </c>
      <c r="H145" s="40" t="s">
        <v>193</v>
      </c>
      <c r="I145" s="40" t="s">
        <v>231</v>
      </c>
      <c r="J145" s="23">
        <f>IF((informe!$J$2-N145)+1&gt;M145,M145,IF((informe!$J$2-N145)+1&lt;0,0,(informe!$J$2-N145)+1))</f>
        <v>0</v>
      </c>
      <c r="K145" s="63">
        <f>SUMIFS(informe!G:G,informe!A:A,presupuesto!B145)</f>
        <v>0</v>
      </c>
      <c r="L145" s="63">
        <f>SUMIFS(informe!F:F,informe!A:A,presupuesto!B145)</f>
        <v>0</v>
      </c>
      <c r="M145" s="23">
        <f t="shared" si="19"/>
        <v>105</v>
      </c>
      <c r="N145" s="23">
        <f t="shared" si="24"/>
        <v>45785</v>
      </c>
      <c r="O145" s="23">
        <f t="shared" si="25"/>
        <v>45889</v>
      </c>
      <c r="P145" s="23">
        <f t="shared" si="20"/>
        <v>0</v>
      </c>
      <c r="Q145" s="23">
        <f t="shared" si="27"/>
        <v>0</v>
      </c>
      <c r="R145" s="23">
        <f t="shared" si="26"/>
        <v>0</v>
      </c>
    </row>
    <row r="146" spans="1:18" ht="14.5" customHeight="1" x14ac:dyDescent="0.35">
      <c r="A146" s="46" t="s">
        <v>90</v>
      </c>
      <c r="B146" s="102">
        <v>97</v>
      </c>
      <c r="C146" s="46" t="s">
        <v>450</v>
      </c>
      <c r="D146" s="42" t="s">
        <v>114</v>
      </c>
      <c r="E146" s="42">
        <v>19.3</v>
      </c>
      <c r="F146" s="97" t="str">
        <f t="shared" si="28"/>
        <v>Tabla: Partida</v>
      </c>
      <c r="G146" s="42" t="s">
        <v>172</v>
      </c>
      <c r="H146" s="42" t="s">
        <v>193</v>
      </c>
      <c r="I146" s="42" t="s">
        <v>243</v>
      </c>
      <c r="J146" s="23">
        <f>IF((informe!$J$2-N146)+1&gt;M146,M146,IF((informe!$J$2-N146)+1&lt;0,0,(informe!$J$2-N146)+1))</f>
        <v>0</v>
      </c>
      <c r="K146" s="63" t="e">
        <f>SUMIFS(informe!G:G,informe!A:A,presupuesto!B146)</f>
        <v>#VALUE!</v>
      </c>
      <c r="L146" s="63">
        <f>SUMIFS(informe!F:F,informe!A:A,presupuesto!B146)</f>
        <v>0</v>
      </c>
      <c r="M146" s="23">
        <f t="shared" si="19"/>
        <v>5</v>
      </c>
      <c r="N146" s="23">
        <f t="shared" si="24"/>
        <v>45785</v>
      </c>
      <c r="O146" s="23">
        <f t="shared" si="25"/>
        <v>45789</v>
      </c>
      <c r="P146" s="23">
        <f t="shared" si="20"/>
        <v>0</v>
      </c>
      <c r="Q146" s="23">
        <f t="shared" si="27"/>
        <v>3.8600000000000003</v>
      </c>
      <c r="R146" s="23">
        <f t="shared" si="26"/>
        <v>0</v>
      </c>
    </row>
    <row r="147" spans="1:18" ht="14.5" customHeight="1" x14ac:dyDescent="0.35">
      <c r="A147" s="46" t="s">
        <v>91</v>
      </c>
      <c r="B147" s="102">
        <v>98</v>
      </c>
      <c r="C147" s="46" t="s">
        <v>451</v>
      </c>
      <c r="D147" s="42" t="s">
        <v>114</v>
      </c>
      <c r="E147" s="42">
        <v>56.2</v>
      </c>
      <c r="F147" s="97" t="str">
        <f t="shared" si="28"/>
        <v>Tabla: Partida</v>
      </c>
      <c r="G147" s="42" t="s">
        <v>9</v>
      </c>
      <c r="H147" s="42" t="s">
        <v>222</v>
      </c>
      <c r="I147" s="42" t="s">
        <v>232</v>
      </c>
      <c r="J147" s="23">
        <f>IF((informe!$J$2-N147)+1&gt;M147,M147,IF((informe!$J$2-N147)+1&lt;0,0,(informe!$J$2-N147)+1))</f>
        <v>0</v>
      </c>
      <c r="K147" s="63" t="e">
        <f>SUMIFS(informe!G:G,informe!A:A,presupuesto!B147)</f>
        <v>#VALUE!</v>
      </c>
      <c r="L147" s="63">
        <f>SUMIFS(informe!F:F,informe!A:A,presupuesto!B147)</f>
        <v>0</v>
      </c>
      <c r="M147" s="23">
        <f t="shared" si="19"/>
        <v>60</v>
      </c>
      <c r="N147" s="23">
        <f t="shared" si="24"/>
        <v>45815</v>
      </c>
      <c r="O147" s="23">
        <f t="shared" si="25"/>
        <v>45874</v>
      </c>
      <c r="P147" s="23">
        <f t="shared" si="20"/>
        <v>0</v>
      </c>
      <c r="Q147" s="23">
        <f t="shared" si="27"/>
        <v>0.93666666666666676</v>
      </c>
      <c r="R147" s="23">
        <f t="shared" si="26"/>
        <v>0</v>
      </c>
    </row>
    <row r="148" spans="1:18" ht="14.5" customHeight="1" x14ac:dyDescent="0.35">
      <c r="A148" s="46" t="s">
        <v>92</v>
      </c>
      <c r="B148" s="102">
        <v>99</v>
      </c>
      <c r="C148" s="46" t="s">
        <v>452</v>
      </c>
      <c r="D148" s="42" t="s">
        <v>114</v>
      </c>
      <c r="E148" s="42">
        <v>39</v>
      </c>
      <c r="F148" s="97" t="str">
        <f t="shared" si="28"/>
        <v>Tabla: Partida</v>
      </c>
      <c r="G148" s="42" t="s">
        <v>7</v>
      </c>
      <c r="H148" s="42" t="s">
        <v>240</v>
      </c>
      <c r="I148" s="42" t="s">
        <v>231</v>
      </c>
      <c r="J148" s="23">
        <f>IF((informe!$J$2-N148)+1&gt;M148,M148,IF((informe!$J$2-N148)+1&lt;0,0,(informe!$J$2-N148)+1))</f>
        <v>0</v>
      </c>
      <c r="K148" s="63" t="e">
        <f>SUMIFS(informe!G:G,informe!A:A,presupuesto!B148)</f>
        <v>#VALUE!</v>
      </c>
      <c r="L148" s="63">
        <f>SUMIFS(informe!F:F,informe!A:A,presupuesto!B148)</f>
        <v>0</v>
      </c>
      <c r="M148" s="23">
        <f t="shared" si="19"/>
        <v>30</v>
      </c>
      <c r="N148" s="23">
        <f t="shared" si="24"/>
        <v>45860</v>
      </c>
      <c r="O148" s="23">
        <f t="shared" si="25"/>
        <v>45889</v>
      </c>
      <c r="P148" s="23">
        <f t="shared" si="20"/>
        <v>0</v>
      </c>
      <c r="Q148" s="23">
        <f t="shared" si="27"/>
        <v>1.3</v>
      </c>
      <c r="R148" s="23">
        <f t="shared" si="26"/>
        <v>0</v>
      </c>
    </row>
    <row r="149" spans="1:18" ht="14.5" customHeight="1" x14ac:dyDescent="0.35">
      <c r="A149" s="45" t="s">
        <v>453</v>
      </c>
      <c r="B149" s="100"/>
      <c r="C149" s="45" t="s">
        <v>454</v>
      </c>
      <c r="D149" s="40"/>
      <c r="E149" s="40"/>
      <c r="F149" s="97">
        <f t="shared" si="28"/>
        <v>0</v>
      </c>
      <c r="G149" s="40" t="s">
        <v>7</v>
      </c>
      <c r="H149" s="40" t="s">
        <v>226</v>
      </c>
      <c r="I149" s="40" t="s">
        <v>133</v>
      </c>
      <c r="J149" s="23">
        <f>IF((informe!$J$2-N149)+1&gt;M149,M149,IF((informe!$J$2-N149)+1&lt;0,0,(informe!$J$2-N149)+1))</f>
        <v>0</v>
      </c>
      <c r="K149" s="63">
        <f>SUMIFS(informe!G:G,informe!A:A,presupuesto!B149)</f>
        <v>0</v>
      </c>
      <c r="L149" s="63">
        <f>SUMIFS(informe!F:F,informe!A:A,presupuesto!B149)</f>
        <v>0</v>
      </c>
      <c r="M149" s="23">
        <f t="shared" si="19"/>
        <v>30</v>
      </c>
      <c r="N149" s="23">
        <f t="shared" si="24"/>
        <v>45905</v>
      </c>
      <c r="O149" s="23">
        <f t="shared" si="25"/>
        <v>45934</v>
      </c>
      <c r="P149" s="23">
        <f t="shared" si="20"/>
        <v>0</v>
      </c>
      <c r="Q149" s="23">
        <f t="shared" si="27"/>
        <v>0</v>
      </c>
      <c r="R149" s="23">
        <f t="shared" si="26"/>
        <v>0</v>
      </c>
    </row>
    <row r="150" spans="1:18" ht="14.5" customHeight="1" x14ac:dyDescent="0.35">
      <c r="A150" s="46" t="s">
        <v>455</v>
      </c>
      <c r="B150" s="102">
        <v>100</v>
      </c>
      <c r="C150" s="46" t="s">
        <v>456</v>
      </c>
      <c r="D150" s="42" t="s">
        <v>130</v>
      </c>
      <c r="E150" s="42">
        <v>30</v>
      </c>
      <c r="F150" s="97" t="str">
        <f t="shared" si="28"/>
        <v>Tabla: Partida</v>
      </c>
      <c r="G150" s="42" t="s">
        <v>7</v>
      </c>
      <c r="H150" s="42" t="s">
        <v>226</v>
      </c>
      <c r="I150" s="42" t="s">
        <v>133</v>
      </c>
      <c r="J150" s="23">
        <f>IF((informe!$J$2-N150)+1&gt;M150,M150,IF((informe!$J$2-N150)+1&lt;0,0,(informe!$J$2-N150)+1))</f>
        <v>0</v>
      </c>
      <c r="K150" s="63" t="e">
        <f>SUMIFS(informe!G:G,informe!A:A,presupuesto!B150)</f>
        <v>#VALUE!</v>
      </c>
      <c r="L150" s="63">
        <f>SUMIFS(informe!F:F,informe!A:A,presupuesto!B150)</f>
        <v>0</v>
      </c>
      <c r="M150" s="23">
        <f t="shared" si="19"/>
        <v>30</v>
      </c>
      <c r="N150" s="23">
        <f t="shared" si="24"/>
        <v>45905</v>
      </c>
      <c r="O150" s="23">
        <f t="shared" si="25"/>
        <v>45934</v>
      </c>
      <c r="P150" s="23">
        <f t="shared" si="20"/>
        <v>0</v>
      </c>
      <c r="Q150" s="23">
        <f t="shared" si="27"/>
        <v>1</v>
      </c>
      <c r="R150" s="23">
        <f t="shared" si="26"/>
        <v>0</v>
      </c>
    </row>
    <row r="151" spans="1:18" ht="14.5" customHeight="1" x14ac:dyDescent="0.35">
      <c r="A151" s="45" t="s">
        <v>457</v>
      </c>
      <c r="B151" s="100"/>
      <c r="C151" s="45" t="s">
        <v>458</v>
      </c>
      <c r="D151" s="40"/>
      <c r="E151" s="40"/>
      <c r="F151" s="97">
        <f t="shared" si="28"/>
        <v>0</v>
      </c>
      <c r="G151" s="40" t="s">
        <v>153</v>
      </c>
      <c r="H151" s="40" t="s">
        <v>159</v>
      </c>
      <c r="I151" s="40" t="s">
        <v>248</v>
      </c>
      <c r="J151" s="23">
        <f>IF((informe!$J$2-N151)+1&gt;M151,M151,IF((informe!$J$2-N151)+1&lt;0,0,(informe!$J$2-N151)+1))</f>
        <v>0</v>
      </c>
      <c r="K151" s="63">
        <f>SUMIFS(informe!G:G,informe!A:A,presupuesto!B151)</f>
        <v>0</v>
      </c>
      <c r="L151" s="63">
        <f>SUMIFS(informe!F:F,informe!A:A,presupuesto!B151)</f>
        <v>0</v>
      </c>
      <c r="M151" s="23">
        <f t="shared" si="19"/>
        <v>120</v>
      </c>
      <c r="N151" s="23">
        <f t="shared" si="24"/>
        <v>45762</v>
      </c>
      <c r="O151" s="23">
        <f t="shared" si="25"/>
        <v>45881</v>
      </c>
      <c r="P151" s="23">
        <f t="shared" si="20"/>
        <v>0</v>
      </c>
      <c r="Q151" s="23">
        <f t="shared" si="27"/>
        <v>0</v>
      </c>
      <c r="R151" s="23">
        <f t="shared" si="26"/>
        <v>0</v>
      </c>
    </row>
    <row r="152" spans="1:18" ht="14.5" customHeight="1" x14ac:dyDescent="0.35">
      <c r="A152" s="46" t="s">
        <v>459</v>
      </c>
      <c r="B152" s="102">
        <v>101</v>
      </c>
      <c r="C152" s="46" t="s">
        <v>460</v>
      </c>
      <c r="D152" s="42" t="s">
        <v>119</v>
      </c>
      <c r="E152" s="42">
        <v>1</v>
      </c>
      <c r="F152" s="97" t="str">
        <f t="shared" si="28"/>
        <v>Tabla: Partida</v>
      </c>
      <c r="G152" s="42" t="s">
        <v>7</v>
      </c>
      <c r="H152" s="42" t="s">
        <v>249</v>
      </c>
      <c r="I152" s="42" t="s">
        <v>248</v>
      </c>
      <c r="J152" s="23">
        <f>IF((informe!$J$2-N152)+1&gt;M152,M152,IF((informe!$J$2-N152)+1&lt;0,0,(informe!$J$2-N152)+1))</f>
        <v>0</v>
      </c>
      <c r="K152" s="63" t="e">
        <f>SUMIFS(informe!G:G,informe!A:A,presupuesto!B152)</f>
        <v>#VALUE!</v>
      </c>
      <c r="L152" s="63">
        <f>SUMIFS(informe!F:F,informe!A:A,presupuesto!B152)</f>
        <v>0</v>
      </c>
      <c r="M152" s="23">
        <f t="shared" si="19"/>
        <v>30</v>
      </c>
      <c r="N152" s="23">
        <f t="shared" si="24"/>
        <v>45852</v>
      </c>
      <c r="O152" s="23">
        <f t="shared" si="25"/>
        <v>45881</v>
      </c>
      <c r="P152" s="23">
        <f t="shared" si="20"/>
        <v>0</v>
      </c>
      <c r="Q152" s="23">
        <f t="shared" si="27"/>
        <v>3.3333333333333333E-2</v>
      </c>
      <c r="R152" s="23">
        <f t="shared" si="26"/>
        <v>0</v>
      </c>
    </row>
    <row r="153" spans="1:18" ht="14.5" customHeight="1" x14ac:dyDescent="0.35">
      <c r="A153" s="46" t="s">
        <v>461</v>
      </c>
      <c r="B153" s="102">
        <v>102</v>
      </c>
      <c r="C153" s="46" t="s">
        <v>462</v>
      </c>
      <c r="D153" s="42" t="s">
        <v>119</v>
      </c>
      <c r="E153" s="42">
        <v>1</v>
      </c>
      <c r="F153" s="97" t="str">
        <f t="shared" si="28"/>
        <v>Tabla: Partida</v>
      </c>
      <c r="G153" s="42" t="s">
        <v>153</v>
      </c>
      <c r="H153" s="42" t="s">
        <v>159</v>
      </c>
      <c r="I153" s="42" t="s">
        <v>248</v>
      </c>
      <c r="J153" s="23">
        <f>IF((informe!$J$2-N153)+1&gt;M153,M153,IF((informe!$J$2-N153)+1&lt;0,0,(informe!$J$2-N153)+1))</f>
        <v>0</v>
      </c>
      <c r="K153" s="63" t="e">
        <f>SUMIFS(informe!G:G,informe!A:A,presupuesto!B153)</f>
        <v>#VALUE!</v>
      </c>
      <c r="L153" s="63">
        <f>SUMIFS(informe!F:F,informe!A:A,presupuesto!B153)</f>
        <v>0</v>
      </c>
      <c r="M153" s="23">
        <f t="shared" si="19"/>
        <v>120</v>
      </c>
      <c r="N153" s="23">
        <f t="shared" si="24"/>
        <v>45762</v>
      </c>
      <c r="O153" s="23">
        <f t="shared" si="25"/>
        <v>45881</v>
      </c>
      <c r="P153" s="23">
        <f t="shared" si="20"/>
        <v>0</v>
      </c>
      <c r="Q153" s="23">
        <f t="shared" si="27"/>
        <v>8.3333333333333332E-3</v>
      </c>
      <c r="R153" s="23">
        <f t="shared" si="26"/>
        <v>0</v>
      </c>
    </row>
    <row r="154" spans="1:18" ht="14.5" customHeight="1" x14ac:dyDescent="0.35">
      <c r="A154" s="46" t="s">
        <v>463</v>
      </c>
      <c r="B154" s="102">
        <v>103</v>
      </c>
      <c r="C154" s="46" t="s">
        <v>464</v>
      </c>
      <c r="D154" s="42" t="s">
        <v>119</v>
      </c>
      <c r="E154" s="42">
        <v>1</v>
      </c>
      <c r="F154" s="97" t="str">
        <f t="shared" si="28"/>
        <v>Tabla: Partida</v>
      </c>
      <c r="G154" s="42" t="s">
        <v>93</v>
      </c>
      <c r="H154" s="42" t="s">
        <v>159</v>
      </c>
      <c r="I154" s="42" t="s">
        <v>250</v>
      </c>
      <c r="J154" s="23">
        <f>IF((informe!$J$2-N154)+1&gt;M154,M154,IF((informe!$J$2-N154)+1&lt;0,0,(informe!$J$2-N154)+1))</f>
        <v>0</v>
      </c>
      <c r="K154" s="63" t="e">
        <f>SUMIFS(informe!G:G,informe!A:A,presupuesto!B154)</f>
        <v>#VALUE!</v>
      </c>
      <c r="L154" s="63">
        <f>SUMIFS(informe!F:F,informe!A:A,presupuesto!B154)</f>
        <v>0</v>
      </c>
      <c r="M154" s="23">
        <f t="shared" si="19"/>
        <v>15</v>
      </c>
      <c r="N154" s="23">
        <f t="shared" si="24"/>
        <v>45762</v>
      </c>
      <c r="O154" s="23">
        <f t="shared" si="25"/>
        <v>45776</v>
      </c>
      <c r="P154" s="23">
        <f t="shared" si="20"/>
        <v>0</v>
      </c>
      <c r="Q154" s="23">
        <f t="shared" si="27"/>
        <v>6.6666666666666666E-2</v>
      </c>
      <c r="R154" s="23">
        <f t="shared" si="26"/>
        <v>0</v>
      </c>
    </row>
    <row r="155" spans="1:18" ht="14.5" customHeight="1" x14ac:dyDescent="0.35">
      <c r="A155" s="46" t="s">
        <v>465</v>
      </c>
      <c r="B155" s="102">
        <v>104</v>
      </c>
      <c r="C155" s="46" t="s">
        <v>466</v>
      </c>
      <c r="D155" s="42" t="s">
        <v>119</v>
      </c>
      <c r="E155" s="42">
        <v>1</v>
      </c>
      <c r="F155" s="97" t="str">
        <f t="shared" si="28"/>
        <v>Tabla: Partida</v>
      </c>
      <c r="G155" s="42" t="s">
        <v>7</v>
      </c>
      <c r="H155" s="42" t="s">
        <v>159</v>
      </c>
      <c r="I155" s="42" t="s">
        <v>157</v>
      </c>
      <c r="J155" s="23">
        <f>IF((informe!$J$2-N155)+1&gt;M155,M155,IF((informe!$J$2-N155)+1&lt;0,0,(informe!$J$2-N155)+1))</f>
        <v>0</v>
      </c>
      <c r="K155" s="63" t="e">
        <f>SUMIFS(informe!G:G,informe!A:A,presupuesto!B155)</f>
        <v>#VALUE!</v>
      </c>
      <c r="L155" s="63">
        <f>SUMIFS(informe!F:F,informe!A:A,presupuesto!B155)</f>
        <v>0</v>
      </c>
      <c r="M155" s="23">
        <f t="shared" ref="M155:M172" si="29">(O155-N155)+1</f>
        <v>30</v>
      </c>
      <c r="N155" s="23">
        <f t="shared" si="24"/>
        <v>45762</v>
      </c>
      <c r="O155" s="23">
        <f t="shared" si="25"/>
        <v>45791</v>
      </c>
      <c r="P155" s="23">
        <f t="shared" ref="P155:P172" si="30">L155/M155</f>
        <v>0</v>
      </c>
      <c r="Q155" s="23">
        <f t="shared" si="27"/>
        <v>3.3333333333333333E-2</v>
      </c>
      <c r="R155" s="23">
        <f t="shared" si="26"/>
        <v>0</v>
      </c>
    </row>
    <row r="156" spans="1:18" ht="14.5" customHeight="1" x14ac:dyDescent="0.35">
      <c r="A156" s="46" t="s">
        <v>467</v>
      </c>
      <c r="B156" s="102">
        <v>105</v>
      </c>
      <c r="C156" s="46" t="s">
        <v>468</v>
      </c>
      <c r="D156" s="42" t="s">
        <v>119</v>
      </c>
      <c r="E156" s="42">
        <v>1</v>
      </c>
      <c r="F156" s="97" t="str">
        <f t="shared" si="28"/>
        <v>Tabla: Partida</v>
      </c>
      <c r="G156" s="42" t="s">
        <v>7</v>
      </c>
      <c r="H156" s="42" t="s">
        <v>160</v>
      </c>
      <c r="I156" s="42" t="s">
        <v>180</v>
      </c>
      <c r="J156" s="23">
        <f>IF((informe!$J$2-N156)+1&gt;M156,M156,IF((informe!$J$2-N156)+1&lt;0,0,(informe!$J$2-N156)+1))</f>
        <v>0</v>
      </c>
      <c r="K156" s="63" t="e">
        <f>SUMIFS(informe!G:G,informe!A:A,presupuesto!B156)</f>
        <v>#VALUE!</v>
      </c>
      <c r="L156" s="63">
        <f>SUMIFS(informe!F:F,informe!A:A,presupuesto!B156)</f>
        <v>0</v>
      </c>
      <c r="M156" s="23">
        <f t="shared" si="29"/>
        <v>30</v>
      </c>
      <c r="N156" s="23">
        <f t="shared" si="24"/>
        <v>45765</v>
      </c>
      <c r="O156" s="23">
        <f t="shared" si="25"/>
        <v>45794</v>
      </c>
      <c r="P156" s="23">
        <f t="shared" si="30"/>
        <v>0</v>
      </c>
      <c r="Q156" s="23">
        <f t="shared" si="27"/>
        <v>3.3333333333333333E-2</v>
      </c>
      <c r="R156" s="23">
        <f t="shared" si="26"/>
        <v>0</v>
      </c>
    </row>
    <row r="157" spans="1:18" ht="14.5" customHeight="1" x14ac:dyDescent="0.35">
      <c r="A157" s="46" t="s">
        <v>469</v>
      </c>
      <c r="B157" s="102">
        <v>106</v>
      </c>
      <c r="C157" s="46" t="s">
        <v>470</v>
      </c>
      <c r="D157" s="42" t="s">
        <v>119</v>
      </c>
      <c r="E157" s="42">
        <v>1</v>
      </c>
      <c r="F157" s="97" t="str">
        <f t="shared" si="28"/>
        <v>Tabla: Partida</v>
      </c>
      <c r="G157" s="42" t="s">
        <v>161</v>
      </c>
      <c r="H157" s="42" t="s">
        <v>159</v>
      </c>
      <c r="I157" s="42" t="s">
        <v>186</v>
      </c>
      <c r="J157" s="23">
        <f>IF((informe!$J$2-N157)+1&gt;M157,M157,IF((informe!$J$2-N157)+1&lt;0,0,(informe!$J$2-N157)+1))</f>
        <v>0</v>
      </c>
      <c r="K157" s="63" t="e">
        <f>SUMIFS(informe!G:G,informe!A:A,presupuesto!B157)</f>
        <v>#VALUE!</v>
      </c>
      <c r="L157" s="63">
        <f>SUMIFS(informe!F:F,informe!A:A,presupuesto!B157)</f>
        <v>0</v>
      </c>
      <c r="M157" s="23">
        <f t="shared" si="29"/>
        <v>20</v>
      </c>
      <c r="N157" s="23">
        <f t="shared" si="24"/>
        <v>45762</v>
      </c>
      <c r="O157" s="23">
        <f t="shared" si="25"/>
        <v>45781</v>
      </c>
      <c r="P157" s="23">
        <f t="shared" si="30"/>
        <v>0</v>
      </c>
      <c r="Q157" s="23">
        <f t="shared" si="27"/>
        <v>0.05</v>
      </c>
      <c r="R157" s="23">
        <f t="shared" si="26"/>
        <v>0</v>
      </c>
    </row>
    <row r="158" spans="1:18" ht="14.5" customHeight="1" x14ac:dyDescent="0.35">
      <c r="A158" s="46" t="s">
        <v>471</v>
      </c>
      <c r="B158" s="102">
        <v>107</v>
      </c>
      <c r="C158" s="46" t="s">
        <v>472</v>
      </c>
      <c r="D158" s="42" t="s">
        <v>119</v>
      </c>
      <c r="E158" s="42">
        <v>1</v>
      </c>
      <c r="F158" s="97" t="str">
        <f t="shared" si="28"/>
        <v>Tabla: Partida</v>
      </c>
      <c r="G158" s="42" t="s">
        <v>7</v>
      </c>
      <c r="H158" s="42" t="s">
        <v>159</v>
      </c>
      <c r="I158" s="42" t="s">
        <v>157</v>
      </c>
      <c r="J158" s="23">
        <f>IF((informe!$J$2-N158)+1&gt;M158,M158,IF((informe!$J$2-N158)+1&lt;0,0,(informe!$J$2-N158)+1))</f>
        <v>0</v>
      </c>
      <c r="K158" s="63" t="e">
        <f>SUMIFS(informe!G:G,informe!A:A,presupuesto!B158)</f>
        <v>#VALUE!</v>
      </c>
      <c r="L158" s="63">
        <f>SUMIFS(informe!F:F,informe!A:A,presupuesto!B158)</f>
        <v>0</v>
      </c>
      <c r="M158" s="23">
        <f t="shared" si="29"/>
        <v>30</v>
      </c>
      <c r="N158" s="23">
        <f t="shared" si="24"/>
        <v>45762</v>
      </c>
      <c r="O158" s="23">
        <f t="shared" si="25"/>
        <v>45791</v>
      </c>
      <c r="P158" s="23">
        <f t="shared" si="30"/>
        <v>0</v>
      </c>
      <c r="Q158" s="23">
        <f t="shared" si="27"/>
        <v>3.3333333333333333E-2</v>
      </c>
      <c r="R158" s="23">
        <f t="shared" si="26"/>
        <v>0</v>
      </c>
    </row>
    <row r="159" spans="1:18" ht="14.5" customHeight="1" x14ac:dyDescent="0.35">
      <c r="A159" s="46" t="s">
        <v>473</v>
      </c>
      <c r="B159" s="102">
        <v>108</v>
      </c>
      <c r="C159" s="46" t="s">
        <v>474</v>
      </c>
      <c r="D159" s="42" t="s">
        <v>119</v>
      </c>
      <c r="E159" s="42">
        <v>1</v>
      </c>
      <c r="F159" s="97" t="str">
        <f t="shared" si="28"/>
        <v>Tabla: Partida</v>
      </c>
      <c r="G159" s="42" t="s">
        <v>7</v>
      </c>
      <c r="H159" s="42" t="s">
        <v>159</v>
      </c>
      <c r="I159" s="42" t="s">
        <v>157</v>
      </c>
      <c r="J159" s="23">
        <f>IF((informe!$J$2-N159)+1&gt;M159,M159,IF((informe!$J$2-N159)+1&lt;0,0,(informe!$J$2-N159)+1))</f>
        <v>0</v>
      </c>
      <c r="K159" s="63" t="e">
        <f>SUMIFS(informe!G:G,informe!A:A,presupuesto!B159)</f>
        <v>#VALUE!</v>
      </c>
      <c r="L159" s="63">
        <f>SUMIFS(informe!F:F,informe!A:A,presupuesto!B159)</f>
        <v>0</v>
      </c>
      <c r="M159" s="23">
        <f t="shared" si="29"/>
        <v>30</v>
      </c>
      <c r="N159" s="23">
        <f t="shared" si="24"/>
        <v>45762</v>
      </c>
      <c r="O159" s="23">
        <f t="shared" si="25"/>
        <v>45791</v>
      </c>
      <c r="P159" s="23">
        <f t="shared" si="30"/>
        <v>0</v>
      </c>
      <c r="Q159" s="23">
        <f t="shared" si="27"/>
        <v>3.3333333333333333E-2</v>
      </c>
      <c r="R159" s="23">
        <f t="shared" si="26"/>
        <v>0</v>
      </c>
    </row>
    <row r="160" spans="1:18" ht="14.5" customHeight="1" x14ac:dyDescent="0.35">
      <c r="A160" s="46" t="s">
        <v>475</v>
      </c>
      <c r="B160" s="102">
        <v>109</v>
      </c>
      <c r="C160" s="46" t="s">
        <v>476</v>
      </c>
      <c r="D160" s="42" t="s">
        <v>119</v>
      </c>
      <c r="E160" s="42">
        <v>1</v>
      </c>
      <c r="F160" s="97" t="str">
        <f t="shared" si="28"/>
        <v>Tabla: Partida</v>
      </c>
      <c r="G160" s="42" t="s">
        <v>7</v>
      </c>
      <c r="H160" s="42" t="s">
        <v>160</v>
      </c>
      <c r="I160" s="42" t="s">
        <v>180</v>
      </c>
      <c r="J160" s="23">
        <f>IF((informe!$J$2-N160)+1&gt;M160,M160,IF((informe!$J$2-N160)+1&lt;0,0,(informe!$J$2-N160)+1))</f>
        <v>0</v>
      </c>
      <c r="K160" s="63" t="e">
        <f>SUMIFS(informe!G:G,informe!A:A,presupuesto!B160)</f>
        <v>#VALUE!</v>
      </c>
      <c r="L160" s="63">
        <f>SUMIFS(informe!F:F,informe!A:A,presupuesto!B160)</f>
        <v>0</v>
      </c>
      <c r="M160" s="23">
        <f t="shared" si="29"/>
        <v>30</v>
      </c>
      <c r="N160" s="23">
        <f t="shared" si="24"/>
        <v>45765</v>
      </c>
      <c r="O160" s="23">
        <f t="shared" si="25"/>
        <v>45794</v>
      </c>
      <c r="P160" s="23">
        <f t="shared" si="30"/>
        <v>0</v>
      </c>
      <c r="Q160" s="23">
        <f t="shared" si="27"/>
        <v>3.3333333333333333E-2</v>
      </c>
      <c r="R160" s="23">
        <f t="shared" si="26"/>
        <v>0</v>
      </c>
    </row>
    <row r="161" spans="1:18" ht="14.5" customHeight="1" x14ac:dyDescent="0.35">
      <c r="A161" s="46" t="s">
        <v>477</v>
      </c>
      <c r="B161" s="102">
        <v>110</v>
      </c>
      <c r="C161" s="46" t="s">
        <v>478</v>
      </c>
      <c r="D161" s="42" t="s">
        <v>119</v>
      </c>
      <c r="E161" s="42">
        <v>1</v>
      </c>
      <c r="F161" s="97" t="str">
        <f t="shared" si="28"/>
        <v>Tabla: Partida</v>
      </c>
      <c r="G161" s="42" t="s">
        <v>7</v>
      </c>
      <c r="H161" s="42" t="s">
        <v>159</v>
      </c>
      <c r="I161" s="42" t="s">
        <v>157</v>
      </c>
      <c r="J161" s="23">
        <f>IF((informe!$J$2-N161)+1&gt;M161,M161,IF((informe!$J$2-N161)+1&lt;0,0,(informe!$J$2-N161)+1))</f>
        <v>0</v>
      </c>
      <c r="K161" s="63" t="e">
        <f>SUMIFS(informe!G:G,informe!A:A,presupuesto!B161)</f>
        <v>#VALUE!</v>
      </c>
      <c r="L161" s="63">
        <f>SUMIFS(informe!F:F,informe!A:A,presupuesto!B161)</f>
        <v>0</v>
      </c>
      <c r="M161" s="23">
        <f t="shared" si="29"/>
        <v>30</v>
      </c>
      <c r="N161" s="23">
        <f t="shared" si="24"/>
        <v>45762</v>
      </c>
      <c r="O161" s="23">
        <f t="shared" si="25"/>
        <v>45791</v>
      </c>
      <c r="P161" s="23">
        <f t="shared" si="30"/>
        <v>0</v>
      </c>
      <c r="Q161" s="23">
        <f t="shared" si="27"/>
        <v>3.3333333333333333E-2</v>
      </c>
      <c r="R161" s="23">
        <f t="shared" si="26"/>
        <v>0</v>
      </c>
    </row>
    <row r="162" spans="1:18" ht="14.5" customHeight="1" x14ac:dyDescent="0.35">
      <c r="A162" s="46" t="s">
        <v>479</v>
      </c>
      <c r="B162" s="102">
        <v>111</v>
      </c>
      <c r="C162" s="46" t="s">
        <v>480</v>
      </c>
      <c r="D162" s="42" t="s">
        <v>119</v>
      </c>
      <c r="E162" s="42">
        <v>1</v>
      </c>
      <c r="F162" s="97" t="str">
        <f t="shared" si="28"/>
        <v>Tabla: Partida</v>
      </c>
      <c r="G162" s="42" t="s">
        <v>7</v>
      </c>
      <c r="H162" s="42" t="s">
        <v>159</v>
      </c>
      <c r="I162" s="42" t="s">
        <v>157</v>
      </c>
      <c r="J162" s="23">
        <f>IF((informe!$J$2-N162)+1&gt;M162,M162,IF((informe!$J$2-N162)+1&lt;0,0,(informe!$J$2-N162)+1))</f>
        <v>0</v>
      </c>
      <c r="K162" s="63" t="e">
        <f>SUMIFS(informe!G:G,informe!A:A,presupuesto!B162)</f>
        <v>#VALUE!</v>
      </c>
      <c r="L162" s="63">
        <f>SUMIFS(informe!F:F,informe!A:A,presupuesto!B162)</f>
        <v>0</v>
      </c>
      <c r="M162" s="23">
        <f t="shared" si="29"/>
        <v>30</v>
      </c>
      <c r="N162" s="23">
        <f t="shared" si="24"/>
        <v>45762</v>
      </c>
      <c r="O162" s="23">
        <f t="shared" si="25"/>
        <v>45791</v>
      </c>
      <c r="P162" s="23">
        <f t="shared" si="30"/>
        <v>0</v>
      </c>
      <c r="Q162" s="23">
        <f t="shared" si="27"/>
        <v>3.3333333333333333E-2</v>
      </c>
      <c r="R162" s="23">
        <f t="shared" si="26"/>
        <v>0</v>
      </c>
    </row>
    <row r="163" spans="1:18" ht="14.5" customHeight="1" x14ac:dyDescent="0.35">
      <c r="A163" s="46" t="s">
        <v>481</v>
      </c>
      <c r="B163" s="102">
        <v>112</v>
      </c>
      <c r="C163" s="46" t="s">
        <v>482</v>
      </c>
      <c r="D163" s="42" t="s">
        <v>119</v>
      </c>
      <c r="E163" s="42">
        <v>1</v>
      </c>
      <c r="F163" s="97" t="str">
        <f t="shared" si="28"/>
        <v>Tabla: Partida</v>
      </c>
      <c r="G163" s="42" t="s">
        <v>7</v>
      </c>
      <c r="H163" s="42" t="s">
        <v>160</v>
      </c>
      <c r="I163" s="42" t="s">
        <v>180</v>
      </c>
      <c r="J163" s="23">
        <f>IF((informe!$J$2-N163)+1&gt;M163,M163,IF((informe!$J$2-N163)+1&lt;0,0,(informe!$J$2-N163)+1))</f>
        <v>0</v>
      </c>
      <c r="K163" s="63" t="e">
        <f>SUMIFS(informe!G:G,informe!A:A,presupuesto!B163)</f>
        <v>#VALUE!</v>
      </c>
      <c r="L163" s="63">
        <f>SUMIFS(informe!F:F,informe!A:A,presupuesto!B163)</f>
        <v>0</v>
      </c>
      <c r="M163" s="23">
        <f t="shared" si="29"/>
        <v>30</v>
      </c>
      <c r="N163" s="23">
        <f t="shared" ref="N163:N172" si="31">DATEVALUE(RIGHT(H163,8))</f>
        <v>45765</v>
      </c>
      <c r="O163" s="23">
        <f t="shared" ref="O163:O172" si="32">DATEVALUE(RIGHT(I163,8))</f>
        <v>45794</v>
      </c>
      <c r="P163" s="23">
        <f t="shared" si="30"/>
        <v>0</v>
      </c>
      <c r="Q163" s="23">
        <f t="shared" si="27"/>
        <v>3.3333333333333333E-2</v>
      </c>
      <c r="R163" s="23">
        <f t="shared" ref="R163:R172" si="33">IFERROR(((IF(($R$1-$N163)+1&gt;$M163,$M163,IF(($R$1-$N163)+1&lt;0,0,($R$1-$N163)+1)))*$P163*1)/$L163,0)</f>
        <v>0</v>
      </c>
    </row>
    <row r="164" spans="1:18" ht="14.5" customHeight="1" x14ac:dyDescent="0.35">
      <c r="A164" s="46" t="s">
        <v>483</v>
      </c>
      <c r="B164" s="102">
        <v>113</v>
      </c>
      <c r="C164" s="46" t="s">
        <v>484</v>
      </c>
      <c r="D164" s="42" t="s">
        <v>119</v>
      </c>
      <c r="E164" s="42">
        <v>1</v>
      </c>
      <c r="F164" s="97" t="str">
        <f t="shared" si="28"/>
        <v>Tabla: Partida</v>
      </c>
      <c r="G164" s="42" t="s">
        <v>93</v>
      </c>
      <c r="H164" s="42" t="s">
        <v>184</v>
      </c>
      <c r="I164" s="42" t="s">
        <v>185</v>
      </c>
      <c r="J164" s="23">
        <f>IF((informe!$J$2-N164)+1&gt;M164,M164,IF((informe!$J$2-N164)+1&lt;0,0,(informe!$J$2-N164)+1))</f>
        <v>0</v>
      </c>
      <c r="K164" s="63" t="e">
        <f>SUMIFS(informe!G:G,informe!A:A,presupuesto!B164)</f>
        <v>#VALUE!</v>
      </c>
      <c r="L164" s="63">
        <f>SUMIFS(informe!F:F,informe!A:A,presupuesto!B164)</f>
        <v>0</v>
      </c>
      <c r="M164" s="23">
        <f t="shared" si="29"/>
        <v>15</v>
      </c>
      <c r="N164" s="23">
        <f t="shared" si="31"/>
        <v>45770</v>
      </c>
      <c r="O164" s="23">
        <f t="shared" si="32"/>
        <v>45784</v>
      </c>
      <c r="P164" s="23">
        <f t="shared" si="30"/>
        <v>0</v>
      </c>
      <c r="Q164" s="23">
        <f t="shared" si="27"/>
        <v>6.6666666666666666E-2</v>
      </c>
      <c r="R164" s="23">
        <f t="shared" si="33"/>
        <v>0</v>
      </c>
    </row>
    <row r="165" spans="1:18" ht="14.5" customHeight="1" x14ac:dyDescent="0.35">
      <c r="A165" s="46" t="s">
        <v>485</v>
      </c>
      <c r="B165" s="102">
        <v>114</v>
      </c>
      <c r="C165" s="46" t="s">
        <v>486</v>
      </c>
      <c r="D165" s="42" t="s">
        <v>119</v>
      </c>
      <c r="E165" s="42">
        <v>6</v>
      </c>
      <c r="F165" s="97" t="str">
        <f t="shared" si="28"/>
        <v>Tabla: Partida</v>
      </c>
      <c r="G165" s="42" t="s">
        <v>93</v>
      </c>
      <c r="H165" s="42" t="s">
        <v>162</v>
      </c>
      <c r="I165" s="42" t="s">
        <v>180</v>
      </c>
      <c r="J165" s="23">
        <f>IF((informe!$J$2-N165)+1&gt;M165,M165,IF((informe!$J$2-N165)+1&lt;0,0,(informe!$J$2-N165)+1))</f>
        <v>0</v>
      </c>
      <c r="K165" s="63" t="e">
        <f>SUMIFS(informe!G:G,informe!A:A,presupuesto!B165)</f>
        <v>#VALUE!</v>
      </c>
      <c r="L165" s="63">
        <f>SUMIFS(informe!F:F,informe!A:A,presupuesto!B165)</f>
        <v>0</v>
      </c>
      <c r="M165" s="23">
        <f t="shared" si="29"/>
        <v>15</v>
      </c>
      <c r="N165" s="23">
        <f t="shared" si="31"/>
        <v>45780</v>
      </c>
      <c r="O165" s="23">
        <f t="shared" si="32"/>
        <v>45794</v>
      </c>
      <c r="P165" s="23">
        <f t="shared" si="30"/>
        <v>0</v>
      </c>
      <c r="Q165" s="23">
        <f t="shared" si="27"/>
        <v>0.4</v>
      </c>
      <c r="R165" s="23">
        <f t="shared" si="33"/>
        <v>0</v>
      </c>
    </row>
    <row r="166" spans="1:18" ht="14.5" customHeight="1" x14ac:dyDescent="0.35">
      <c r="A166" s="46" t="s">
        <v>487</v>
      </c>
      <c r="B166" s="102">
        <v>115</v>
      </c>
      <c r="C166" s="46" t="s">
        <v>488</v>
      </c>
      <c r="D166" s="42" t="s">
        <v>119</v>
      </c>
      <c r="E166" s="42">
        <v>1</v>
      </c>
      <c r="F166" s="97" t="str">
        <f t="shared" si="28"/>
        <v>Tabla: Partida</v>
      </c>
      <c r="G166" s="42" t="s">
        <v>93</v>
      </c>
      <c r="H166" s="42" t="s">
        <v>162</v>
      </c>
      <c r="I166" s="42" t="s">
        <v>180</v>
      </c>
      <c r="J166" s="23">
        <f>IF((informe!$J$2-N166)+1&gt;M166,M166,IF((informe!$J$2-N166)+1&lt;0,0,(informe!$J$2-N166)+1))</f>
        <v>0</v>
      </c>
      <c r="K166" s="63" t="e">
        <f>SUMIFS(informe!G:G,informe!A:A,presupuesto!B166)</f>
        <v>#VALUE!</v>
      </c>
      <c r="L166" s="63">
        <f>SUMIFS(informe!F:F,informe!A:A,presupuesto!B166)</f>
        <v>0</v>
      </c>
      <c r="M166" s="23">
        <f t="shared" si="29"/>
        <v>15</v>
      </c>
      <c r="N166" s="23">
        <f t="shared" si="31"/>
        <v>45780</v>
      </c>
      <c r="O166" s="23">
        <f t="shared" si="32"/>
        <v>45794</v>
      </c>
      <c r="P166" s="23">
        <f t="shared" si="30"/>
        <v>0</v>
      </c>
      <c r="Q166" s="23">
        <f t="shared" si="27"/>
        <v>6.6666666666666666E-2</v>
      </c>
      <c r="R166" s="23">
        <f t="shared" si="33"/>
        <v>0</v>
      </c>
    </row>
    <row r="167" spans="1:18" ht="14.5" customHeight="1" x14ac:dyDescent="0.35">
      <c r="A167" s="46" t="s">
        <v>489</v>
      </c>
      <c r="B167" s="102">
        <v>116</v>
      </c>
      <c r="C167" s="46" t="s">
        <v>490</v>
      </c>
      <c r="D167" s="42" t="s">
        <v>119</v>
      </c>
      <c r="E167" s="42">
        <v>1</v>
      </c>
      <c r="F167" s="97" t="str">
        <f t="shared" si="28"/>
        <v>Tabla: Partida</v>
      </c>
      <c r="G167" s="42" t="s">
        <v>161</v>
      </c>
      <c r="H167" s="42" t="s">
        <v>187</v>
      </c>
      <c r="I167" s="42" t="s">
        <v>180</v>
      </c>
      <c r="J167" s="23">
        <f>IF((informe!$J$2-N167)+1&gt;M167,M167,IF((informe!$J$2-N167)+1&lt;0,0,(informe!$J$2-N167)+1))</f>
        <v>0</v>
      </c>
      <c r="K167" s="63" t="e">
        <f>SUMIFS(informe!G:G,informe!A:A,presupuesto!B167)</f>
        <v>#VALUE!</v>
      </c>
      <c r="L167" s="63">
        <f>SUMIFS(informe!F:F,informe!A:A,presupuesto!B167)</f>
        <v>0</v>
      </c>
      <c r="M167" s="23">
        <f t="shared" si="29"/>
        <v>20</v>
      </c>
      <c r="N167" s="23">
        <f t="shared" si="31"/>
        <v>45775</v>
      </c>
      <c r="O167" s="23">
        <f t="shared" si="32"/>
        <v>45794</v>
      </c>
      <c r="P167" s="23">
        <f t="shared" si="30"/>
        <v>0</v>
      </c>
      <c r="Q167" s="23">
        <f t="shared" si="27"/>
        <v>0.05</v>
      </c>
      <c r="R167" s="23">
        <f t="shared" si="33"/>
        <v>0</v>
      </c>
    </row>
    <row r="168" spans="1:18" ht="14.5" customHeight="1" x14ac:dyDescent="0.35">
      <c r="A168" s="45" t="s">
        <v>491</v>
      </c>
      <c r="B168" s="100"/>
      <c r="C168" s="45" t="s">
        <v>492</v>
      </c>
      <c r="D168" s="40"/>
      <c r="E168" s="40"/>
      <c r="F168" s="97">
        <f t="shared" si="28"/>
        <v>0</v>
      </c>
      <c r="G168" s="40" t="s">
        <v>131</v>
      </c>
      <c r="H168" s="40" t="s">
        <v>132</v>
      </c>
      <c r="I168" s="40" t="s">
        <v>133</v>
      </c>
      <c r="J168" s="23">
        <f>IF((informe!$J$2-N168)+1&gt;M168,M168,IF((informe!$J$2-N168)+1&lt;0,0,(informe!$J$2-N168)+1))</f>
        <v>114</v>
      </c>
      <c r="K168" s="63">
        <f>SUMIFS(informe!G:G,informe!A:A,presupuesto!B168)</f>
        <v>0</v>
      </c>
      <c r="L168" s="63">
        <f>SUMIFS(informe!F:F,informe!A:A,presupuesto!B168)</f>
        <v>0</v>
      </c>
      <c r="M168" s="23">
        <f t="shared" si="29"/>
        <v>390</v>
      </c>
      <c r="N168" s="23">
        <f t="shared" si="31"/>
        <v>45545</v>
      </c>
      <c r="O168" s="23">
        <f t="shared" si="32"/>
        <v>45934</v>
      </c>
      <c r="P168" s="23">
        <f t="shared" si="30"/>
        <v>0</v>
      </c>
      <c r="Q168" s="23">
        <f t="shared" si="27"/>
        <v>0</v>
      </c>
      <c r="R168" s="23">
        <f t="shared" si="33"/>
        <v>0</v>
      </c>
    </row>
    <row r="169" spans="1:18" ht="14.5" customHeight="1" x14ac:dyDescent="0.35">
      <c r="A169" s="46" t="s">
        <v>493</v>
      </c>
      <c r="B169" s="103"/>
      <c r="C169" s="46" t="s">
        <v>494</v>
      </c>
      <c r="D169" s="42"/>
      <c r="E169" s="42"/>
      <c r="F169" s="97">
        <f t="shared" si="28"/>
        <v>0</v>
      </c>
      <c r="G169" s="42" t="s">
        <v>7</v>
      </c>
      <c r="H169" s="42" t="s">
        <v>132</v>
      </c>
      <c r="I169" s="42" t="s">
        <v>251</v>
      </c>
      <c r="J169" s="23">
        <f>IF((informe!$J$2-N169)+1&gt;M169,M169,IF((informe!$J$2-N169)+1&lt;0,0,(informe!$J$2-N169)+1))</f>
        <v>30</v>
      </c>
      <c r="K169" s="63">
        <f>SUMIFS(informe!G:G,informe!A:A,presupuesto!B169)</f>
        <v>0</v>
      </c>
      <c r="L169" s="63">
        <f>SUMIFS(informe!F:F,informe!A:A,presupuesto!B169)</f>
        <v>0</v>
      </c>
      <c r="M169" s="23">
        <f t="shared" si="29"/>
        <v>30</v>
      </c>
      <c r="N169" s="23">
        <f t="shared" si="31"/>
        <v>45545</v>
      </c>
      <c r="O169" s="23">
        <f t="shared" si="32"/>
        <v>45574</v>
      </c>
      <c r="P169" s="23">
        <f t="shared" si="30"/>
        <v>0</v>
      </c>
      <c r="Q169" s="23">
        <f t="shared" si="27"/>
        <v>0</v>
      </c>
      <c r="R169" s="23">
        <f t="shared" si="33"/>
        <v>0</v>
      </c>
    </row>
    <row r="170" spans="1:18" ht="14.5" customHeight="1" x14ac:dyDescent="0.35">
      <c r="A170" s="46" t="s">
        <v>495</v>
      </c>
      <c r="B170" s="103"/>
      <c r="C170" s="46" t="s">
        <v>496</v>
      </c>
      <c r="D170" s="42"/>
      <c r="E170" s="42"/>
      <c r="F170" s="97">
        <f t="shared" si="28"/>
        <v>0</v>
      </c>
      <c r="G170" s="42" t="s">
        <v>170</v>
      </c>
      <c r="H170" s="42" t="s">
        <v>252</v>
      </c>
      <c r="I170" s="42" t="s">
        <v>253</v>
      </c>
      <c r="J170" s="23">
        <f>IF((informe!$J$2-N170)+1&gt;M170,M170,IF((informe!$J$2-N170)+1&lt;0,0,(informe!$J$2-N170)+1))</f>
        <v>10</v>
      </c>
      <c r="K170" s="63">
        <f>SUMIFS(informe!G:G,informe!A:A,presupuesto!B170)</f>
        <v>0</v>
      </c>
      <c r="L170" s="63">
        <f>SUMIFS(informe!F:F,informe!A:A,presupuesto!B170)</f>
        <v>0</v>
      </c>
      <c r="M170" s="23">
        <f t="shared" si="29"/>
        <v>10</v>
      </c>
      <c r="N170" s="23">
        <f t="shared" si="31"/>
        <v>45575</v>
      </c>
      <c r="O170" s="23">
        <f t="shared" si="32"/>
        <v>45584</v>
      </c>
      <c r="P170" s="23">
        <f t="shared" si="30"/>
        <v>0</v>
      </c>
      <c r="Q170" s="23">
        <f t="shared" si="27"/>
        <v>0</v>
      </c>
      <c r="R170" s="23">
        <f t="shared" si="33"/>
        <v>0</v>
      </c>
    </row>
    <row r="171" spans="1:18" ht="14.5" customHeight="1" x14ac:dyDescent="0.35">
      <c r="A171" s="46" t="s">
        <v>497</v>
      </c>
      <c r="B171" s="103"/>
      <c r="C171" s="46" t="s">
        <v>498</v>
      </c>
      <c r="D171" s="42"/>
      <c r="E171" s="42"/>
      <c r="F171" s="97">
        <f t="shared" si="28"/>
        <v>0</v>
      </c>
      <c r="G171" s="42" t="s">
        <v>93</v>
      </c>
      <c r="H171" s="42" t="s">
        <v>254</v>
      </c>
      <c r="I171" s="42" t="s">
        <v>255</v>
      </c>
      <c r="J171" s="23">
        <f>IF((informe!$J$2-N171)+1&gt;M171,M171,IF((informe!$J$2-N171)+1&lt;0,0,(informe!$J$2-N171)+1))</f>
        <v>15</v>
      </c>
      <c r="K171" s="63">
        <f>SUMIFS(informe!G:G,informe!A:A,presupuesto!B171)</f>
        <v>0</v>
      </c>
      <c r="L171" s="63">
        <f>SUMIFS(informe!F:F,informe!A:A,presupuesto!B171)</f>
        <v>0</v>
      </c>
      <c r="M171" s="23">
        <f t="shared" si="29"/>
        <v>15</v>
      </c>
      <c r="N171" s="23">
        <f t="shared" si="31"/>
        <v>45585</v>
      </c>
      <c r="O171" s="23">
        <f t="shared" si="32"/>
        <v>45599</v>
      </c>
      <c r="P171" s="23">
        <f t="shared" si="30"/>
        <v>0</v>
      </c>
      <c r="Q171" s="23">
        <f t="shared" si="27"/>
        <v>0</v>
      </c>
      <c r="R171" s="23">
        <f t="shared" si="33"/>
        <v>0</v>
      </c>
    </row>
    <row r="172" spans="1:18" ht="14.5" customHeight="1" x14ac:dyDescent="0.35">
      <c r="A172" s="46" t="s">
        <v>499</v>
      </c>
      <c r="B172" s="103"/>
      <c r="C172" s="46" t="s">
        <v>500</v>
      </c>
      <c r="D172" s="42"/>
      <c r="E172" s="42"/>
      <c r="F172" s="97">
        <f t="shared" si="28"/>
        <v>0</v>
      </c>
      <c r="G172" s="42" t="s">
        <v>207</v>
      </c>
      <c r="H172" s="42" t="s">
        <v>256</v>
      </c>
      <c r="I172" s="42" t="s">
        <v>133</v>
      </c>
      <c r="J172" s="23">
        <f>IF((informe!$J$2-N172)+1&gt;M172,M172,IF((informe!$J$2-N172)+1&lt;0,0,(informe!$J$2-N172)+1))</f>
        <v>0</v>
      </c>
      <c r="K172" s="63">
        <f>SUMIFS(informe!G:G,informe!A:A,presupuesto!B172)</f>
        <v>0</v>
      </c>
      <c r="L172" s="63">
        <f>SUMIFS(informe!F:F,informe!A:A,presupuesto!B172)</f>
        <v>0</v>
      </c>
      <c r="M172" s="23">
        <f t="shared" si="29"/>
        <v>25</v>
      </c>
      <c r="N172" s="23">
        <f t="shared" si="31"/>
        <v>45910</v>
      </c>
      <c r="O172" s="23">
        <f t="shared" si="32"/>
        <v>45934</v>
      </c>
      <c r="P172" s="23">
        <f t="shared" si="30"/>
        <v>0</v>
      </c>
      <c r="Q172" s="23">
        <f t="shared" si="27"/>
        <v>0</v>
      </c>
      <c r="R172" s="23">
        <f t="shared" si="33"/>
        <v>0</v>
      </c>
    </row>
    <row r="174" spans="1:18" x14ac:dyDescent="0.25">
      <c r="D174" s="9"/>
      <c r="E174" s="10"/>
      <c r="F174" s="9"/>
      <c r="G174" s="10"/>
      <c r="H174" s="9"/>
      <c r="I174" s="10"/>
      <c r="J174" s="9"/>
      <c r="K174" s="10"/>
      <c r="L174" s="9"/>
      <c r="M174" s="10"/>
      <c r="N174" s="9"/>
      <c r="O174" s="10"/>
      <c r="P174" s="9"/>
      <c r="Q174" s="10"/>
      <c r="R174" s="9"/>
    </row>
  </sheetData>
  <conditionalFormatting sqref="J1:Q1 S1:XFD1">
    <cfRule type="cellIs" dxfId="1" priority="1127" operator="equal">
      <formula>TODAY()</formula>
    </cfRule>
  </conditionalFormatting>
  <conditionalFormatting sqref="O2:O172">
    <cfRule type="cellIs" dxfId="0" priority="1113" operator="equal">
      <formula>#REF!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17" orientation="portrait" horizontalDpi="4294967294" verticalDpi="429496729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"/>
  <sheetViews>
    <sheetView topLeftCell="A25" workbookViewId="0">
      <selection activeCell="C31" sqref="C31"/>
    </sheetView>
  </sheetViews>
  <sheetFormatPr baseColWidth="10" defaultRowHeight="14.5" x14ac:dyDescent="0.35"/>
  <cols>
    <col min="1" max="1" width="12.6328125" customWidth="1"/>
    <col min="2" max="2" width="31.90625" customWidth="1"/>
  </cols>
  <sheetData>
    <row r="1" spans="1:6" ht="17.5" x14ac:dyDescent="0.35">
      <c r="A1" s="205" t="s">
        <v>612</v>
      </c>
    </row>
    <row r="3" spans="1:6" ht="15.5" x14ac:dyDescent="0.35">
      <c r="A3" s="206" t="s">
        <v>613</v>
      </c>
    </row>
    <row r="4" spans="1:6" x14ac:dyDescent="0.35">
      <c r="A4" s="162"/>
      <c r="B4" s="162"/>
      <c r="C4" s="162"/>
      <c r="D4" s="162"/>
      <c r="E4" s="162"/>
      <c r="F4" s="162"/>
    </row>
    <row r="5" spans="1:6" ht="29" x14ac:dyDescent="0.35">
      <c r="A5" s="207" t="s">
        <v>614</v>
      </c>
      <c r="B5" s="207" t="s">
        <v>615</v>
      </c>
      <c r="C5" s="207" t="s">
        <v>502</v>
      </c>
      <c r="D5" s="207" t="s">
        <v>616</v>
      </c>
      <c r="E5" s="207" t="s">
        <v>608</v>
      </c>
      <c r="F5" s="207" t="s">
        <v>617</v>
      </c>
    </row>
    <row r="6" spans="1:6" x14ac:dyDescent="0.35">
      <c r="A6" s="208" t="s">
        <v>634</v>
      </c>
      <c r="B6" s="208" t="s">
        <v>618</v>
      </c>
      <c r="C6" s="208" t="s">
        <v>602</v>
      </c>
      <c r="D6" s="208">
        <v>0</v>
      </c>
      <c r="E6" s="208">
        <v>0</v>
      </c>
      <c r="F6" s="208">
        <v>0</v>
      </c>
    </row>
    <row r="7" spans="1:6" x14ac:dyDescent="0.35">
      <c r="A7" s="208" t="s">
        <v>635</v>
      </c>
      <c r="B7" s="208" t="s">
        <v>619</v>
      </c>
      <c r="C7" s="208" t="s">
        <v>602</v>
      </c>
      <c r="D7" s="208">
        <v>0</v>
      </c>
      <c r="E7" s="208">
        <v>0</v>
      </c>
      <c r="F7" s="208">
        <v>0</v>
      </c>
    </row>
    <row r="10" spans="1:6" ht="15.5" x14ac:dyDescent="0.35">
      <c r="A10" s="206" t="s">
        <v>620</v>
      </c>
    </row>
    <row r="12" spans="1:6" ht="29" x14ac:dyDescent="0.35">
      <c r="A12" s="207" t="s">
        <v>614</v>
      </c>
      <c r="B12" s="207" t="s">
        <v>615</v>
      </c>
      <c r="C12" s="207" t="s">
        <v>502</v>
      </c>
      <c r="D12" s="207" t="s">
        <v>616</v>
      </c>
      <c r="E12" s="207" t="s">
        <v>608</v>
      </c>
      <c r="F12" s="207" t="s">
        <v>617</v>
      </c>
    </row>
    <row r="13" spans="1:6" x14ac:dyDescent="0.35">
      <c r="A13" s="208" t="s">
        <v>607</v>
      </c>
      <c r="B13" s="208" t="s">
        <v>621</v>
      </c>
      <c r="C13" s="208" t="s">
        <v>572</v>
      </c>
      <c r="D13" s="208">
        <v>0.7</v>
      </c>
      <c r="E13" s="209">
        <v>30000</v>
      </c>
      <c r="F13" s="209">
        <v>21000</v>
      </c>
    </row>
    <row r="14" spans="1:6" x14ac:dyDescent="0.35">
      <c r="A14" s="208" t="s">
        <v>630</v>
      </c>
      <c r="B14" s="208" t="s">
        <v>622</v>
      </c>
      <c r="C14" s="208" t="s">
        <v>572</v>
      </c>
      <c r="D14" s="208">
        <v>0.7</v>
      </c>
      <c r="E14" s="209">
        <v>30000</v>
      </c>
      <c r="F14" s="209">
        <v>21000</v>
      </c>
    </row>
    <row r="15" spans="1:6" x14ac:dyDescent="0.35">
      <c r="A15" s="208" t="s">
        <v>637</v>
      </c>
      <c r="B15" s="208" t="s">
        <v>623</v>
      </c>
      <c r="C15" s="208" t="s">
        <v>624</v>
      </c>
      <c r="D15" s="208">
        <v>0.1</v>
      </c>
      <c r="E15" s="209">
        <v>10000</v>
      </c>
      <c r="F15" s="209">
        <v>1000</v>
      </c>
    </row>
    <row r="20" spans="1:6" ht="29" x14ac:dyDescent="0.35">
      <c r="A20" s="207" t="s">
        <v>614</v>
      </c>
      <c r="B20" s="207" t="s">
        <v>615</v>
      </c>
      <c r="C20" s="207" t="s">
        <v>502</v>
      </c>
      <c r="D20" s="207" t="s">
        <v>616</v>
      </c>
      <c r="E20" s="207" t="s">
        <v>608</v>
      </c>
      <c r="F20" s="207" t="s">
        <v>617</v>
      </c>
    </row>
    <row r="21" spans="1:6" x14ac:dyDescent="0.35">
      <c r="A21" s="208" t="s">
        <v>631</v>
      </c>
      <c r="B21" s="208" t="s">
        <v>549</v>
      </c>
      <c r="C21" s="208" t="s">
        <v>601</v>
      </c>
      <c r="D21" s="208">
        <v>1</v>
      </c>
      <c r="E21" s="209">
        <v>30000</v>
      </c>
      <c r="F21" s="209">
        <v>30000</v>
      </c>
    </row>
    <row r="22" spans="1:6" x14ac:dyDescent="0.35">
      <c r="A22" s="208" t="s">
        <v>632</v>
      </c>
      <c r="B22" s="208" t="s">
        <v>551</v>
      </c>
      <c r="C22" s="208" t="s">
        <v>601</v>
      </c>
      <c r="D22" s="208">
        <v>0</v>
      </c>
      <c r="E22" s="209">
        <v>28500</v>
      </c>
      <c r="F22" s="209">
        <v>0</v>
      </c>
    </row>
    <row r="23" spans="1:6" x14ac:dyDescent="0.35">
      <c r="A23" s="208" t="s">
        <v>633</v>
      </c>
      <c r="B23" s="208" t="s">
        <v>552</v>
      </c>
      <c r="C23" s="208" t="s">
        <v>601</v>
      </c>
      <c r="D23" s="208">
        <v>0</v>
      </c>
      <c r="E23" s="209">
        <v>20000</v>
      </c>
      <c r="F23" s="209">
        <v>0</v>
      </c>
    </row>
    <row r="24" spans="1:6" x14ac:dyDescent="0.35">
      <c r="A24" s="208" t="s">
        <v>636</v>
      </c>
      <c r="B24" s="208" t="s">
        <v>553</v>
      </c>
      <c r="C24" s="208" t="s">
        <v>601</v>
      </c>
      <c r="D24" s="208">
        <v>4</v>
      </c>
      <c r="E24" s="209">
        <v>15500</v>
      </c>
      <c r="F24" s="209">
        <v>62000</v>
      </c>
    </row>
    <row r="26" spans="1:6" ht="15.5" x14ac:dyDescent="0.35">
      <c r="A26" s="206" t="s">
        <v>641</v>
      </c>
    </row>
    <row r="27" spans="1:6" ht="29" x14ac:dyDescent="0.35">
      <c r="A27" s="210" t="s">
        <v>625</v>
      </c>
      <c r="B27" s="210" t="s">
        <v>626</v>
      </c>
      <c r="C27" s="210" t="s">
        <v>627</v>
      </c>
      <c r="D27" s="210" t="s">
        <v>628</v>
      </c>
      <c r="E27" s="210" t="s">
        <v>629</v>
      </c>
      <c r="F27" s="210" t="s">
        <v>617</v>
      </c>
    </row>
    <row r="28" spans="1:6" ht="43.5" x14ac:dyDescent="0.35">
      <c r="A28" s="208">
        <v>1</v>
      </c>
      <c r="B28" s="208" t="s">
        <v>562</v>
      </c>
      <c r="C28" s="208" t="s">
        <v>638</v>
      </c>
      <c r="D28" s="208" t="s">
        <v>639</v>
      </c>
      <c r="E28" s="208" t="s">
        <v>640</v>
      </c>
      <c r="F28" s="209">
        <v>224100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tabSelected="1" workbookViewId="0">
      <selection activeCell="A4" sqref="A4"/>
    </sheetView>
  </sheetViews>
  <sheetFormatPr baseColWidth="10" defaultRowHeight="14.5" x14ac:dyDescent="0.35"/>
  <cols>
    <col min="1" max="1" width="23" bestFit="1" customWidth="1"/>
    <col min="2" max="2" width="45.26953125" customWidth="1"/>
    <col min="3" max="3" width="6.81640625" bestFit="1" customWidth="1"/>
    <col min="4" max="4" width="23.90625" customWidth="1"/>
  </cols>
  <sheetData>
    <row r="1" spans="1:4" ht="17.5" x14ac:dyDescent="0.35">
      <c r="A1" s="205" t="s">
        <v>610</v>
      </c>
    </row>
    <row r="3" spans="1:4" x14ac:dyDescent="0.35">
      <c r="A3" s="207" t="s">
        <v>609</v>
      </c>
      <c r="B3" s="207" t="s">
        <v>611</v>
      </c>
      <c r="C3" s="207" t="s">
        <v>502</v>
      </c>
      <c r="D3" s="207" t="s">
        <v>608</v>
      </c>
    </row>
    <row r="4" spans="1:4" x14ac:dyDescent="0.35">
      <c r="A4" s="208" t="s">
        <v>607</v>
      </c>
      <c r="B4" s="208" t="s">
        <v>606</v>
      </c>
      <c r="C4" s="208" t="s">
        <v>109</v>
      </c>
      <c r="D4" s="208">
        <v>1000</v>
      </c>
    </row>
    <row r="5" spans="1:4" x14ac:dyDescent="0.35">
      <c r="A5" s="208" t="s">
        <v>605</v>
      </c>
      <c r="B5" s="208" t="s">
        <v>604</v>
      </c>
      <c r="C5" s="208" t="s">
        <v>603</v>
      </c>
      <c r="D5" s="209">
        <v>30000</v>
      </c>
    </row>
    <row r="6" spans="1:4" x14ac:dyDescent="0.35">
      <c r="A6" s="208" t="s">
        <v>602</v>
      </c>
      <c r="B6" s="208" t="s">
        <v>549</v>
      </c>
      <c r="C6" s="208" t="s">
        <v>601</v>
      </c>
      <c r="D6" s="209">
        <v>30000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6"/>
  <sheetViews>
    <sheetView showGridLines="0" view="pageBreakPreview" topLeftCell="A19" zoomScale="112" zoomScaleSheetLayoutView="112" workbookViewId="0">
      <selection activeCell="C14" sqref="C14"/>
    </sheetView>
  </sheetViews>
  <sheetFormatPr baseColWidth="10" defaultRowHeight="14" x14ac:dyDescent="0.3"/>
  <cols>
    <col min="1" max="1" width="10.90625" style="113"/>
    <col min="2" max="2" width="51" style="106" bestFit="1" customWidth="1"/>
    <col min="3" max="3" width="10.90625" style="148"/>
    <col min="4" max="5" width="10.90625" style="149"/>
    <col min="6" max="6" width="14" style="149" bestFit="1" customWidth="1"/>
    <col min="7" max="257" width="10.90625" style="113"/>
    <col min="258" max="258" width="48" style="113" bestFit="1" customWidth="1"/>
    <col min="259" max="261" width="10.90625" style="113"/>
    <col min="262" max="262" width="14" style="113" bestFit="1" customWidth="1"/>
    <col min="263" max="513" width="10.90625" style="113"/>
    <col min="514" max="514" width="48" style="113" bestFit="1" customWidth="1"/>
    <col min="515" max="517" width="10.90625" style="113"/>
    <col min="518" max="518" width="14" style="113" bestFit="1" customWidth="1"/>
    <col min="519" max="769" width="10.90625" style="113"/>
    <col min="770" max="770" width="48" style="113" bestFit="1" customWidth="1"/>
    <col min="771" max="773" width="10.90625" style="113"/>
    <col min="774" max="774" width="14" style="113" bestFit="1" customWidth="1"/>
    <col min="775" max="1025" width="10.90625" style="113"/>
    <col min="1026" max="1026" width="48" style="113" bestFit="1" customWidth="1"/>
    <col min="1027" max="1029" width="10.90625" style="113"/>
    <col min="1030" max="1030" width="14" style="113" bestFit="1" customWidth="1"/>
    <col min="1031" max="1281" width="10.90625" style="113"/>
    <col min="1282" max="1282" width="48" style="113" bestFit="1" customWidth="1"/>
    <col min="1283" max="1285" width="10.90625" style="113"/>
    <col min="1286" max="1286" width="14" style="113" bestFit="1" customWidth="1"/>
    <col min="1287" max="1537" width="10.90625" style="113"/>
    <col min="1538" max="1538" width="48" style="113" bestFit="1" customWidth="1"/>
    <col min="1539" max="1541" width="10.90625" style="113"/>
    <col min="1542" max="1542" width="14" style="113" bestFit="1" customWidth="1"/>
    <col min="1543" max="1793" width="10.90625" style="113"/>
    <col min="1794" max="1794" width="48" style="113" bestFit="1" customWidth="1"/>
    <col min="1795" max="1797" width="10.90625" style="113"/>
    <col min="1798" max="1798" width="14" style="113" bestFit="1" customWidth="1"/>
    <col min="1799" max="2049" width="10.90625" style="113"/>
    <col min="2050" max="2050" width="48" style="113" bestFit="1" customWidth="1"/>
    <col min="2051" max="2053" width="10.90625" style="113"/>
    <col min="2054" max="2054" width="14" style="113" bestFit="1" customWidth="1"/>
    <col min="2055" max="2305" width="10.90625" style="113"/>
    <col min="2306" max="2306" width="48" style="113" bestFit="1" customWidth="1"/>
    <col min="2307" max="2309" width="10.90625" style="113"/>
    <col min="2310" max="2310" width="14" style="113" bestFit="1" customWidth="1"/>
    <col min="2311" max="2561" width="10.90625" style="113"/>
    <col min="2562" max="2562" width="48" style="113" bestFit="1" customWidth="1"/>
    <col min="2563" max="2565" width="10.90625" style="113"/>
    <col min="2566" max="2566" width="14" style="113" bestFit="1" customWidth="1"/>
    <col min="2567" max="2817" width="10.90625" style="113"/>
    <col min="2818" max="2818" width="48" style="113" bestFit="1" customWidth="1"/>
    <col min="2819" max="2821" width="10.90625" style="113"/>
    <col min="2822" max="2822" width="14" style="113" bestFit="1" customWidth="1"/>
    <col min="2823" max="3073" width="10.90625" style="113"/>
    <col min="3074" max="3074" width="48" style="113" bestFit="1" customWidth="1"/>
    <col min="3075" max="3077" width="10.90625" style="113"/>
    <col min="3078" max="3078" width="14" style="113" bestFit="1" customWidth="1"/>
    <col min="3079" max="3329" width="10.90625" style="113"/>
    <col min="3330" max="3330" width="48" style="113" bestFit="1" customWidth="1"/>
    <col min="3331" max="3333" width="10.90625" style="113"/>
    <col min="3334" max="3334" width="14" style="113" bestFit="1" customWidth="1"/>
    <col min="3335" max="3585" width="10.90625" style="113"/>
    <col min="3586" max="3586" width="48" style="113" bestFit="1" customWidth="1"/>
    <col min="3587" max="3589" width="10.90625" style="113"/>
    <col min="3590" max="3590" width="14" style="113" bestFit="1" customWidth="1"/>
    <col min="3591" max="3841" width="10.90625" style="113"/>
    <col min="3842" max="3842" width="48" style="113" bestFit="1" customWidth="1"/>
    <col min="3843" max="3845" width="10.90625" style="113"/>
    <col min="3846" max="3846" width="14" style="113" bestFit="1" customWidth="1"/>
    <col min="3847" max="4097" width="10.90625" style="113"/>
    <col min="4098" max="4098" width="48" style="113" bestFit="1" customWidth="1"/>
    <col min="4099" max="4101" width="10.90625" style="113"/>
    <col min="4102" max="4102" width="14" style="113" bestFit="1" customWidth="1"/>
    <col min="4103" max="4353" width="10.90625" style="113"/>
    <col min="4354" max="4354" width="48" style="113" bestFit="1" customWidth="1"/>
    <col min="4355" max="4357" width="10.90625" style="113"/>
    <col min="4358" max="4358" width="14" style="113" bestFit="1" customWidth="1"/>
    <col min="4359" max="4609" width="10.90625" style="113"/>
    <col min="4610" max="4610" width="48" style="113" bestFit="1" customWidth="1"/>
    <col min="4611" max="4613" width="10.90625" style="113"/>
    <col min="4614" max="4614" width="14" style="113" bestFit="1" customWidth="1"/>
    <col min="4615" max="4865" width="10.90625" style="113"/>
    <col min="4866" max="4866" width="48" style="113" bestFit="1" customWidth="1"/>
    <col min="4867" max="4869" width="10.90625" style="113"/>
    <col min="4870" max="4870" width="14" style="113" bestFit="1" customWidth="1"/>
    <col min="4871" max="5121" width="10.90625" style="113"/>
    <col min="5122" max="5122" width="48" style="113" bestFit="1" customWidth="1"/>
    <col min="5123" max="5125" width="10.90625" style="113"/>
    <col min="5126" max="5126" width="14" style="113" bestFit="1" customWidth="1"/>
    <col min="5127" max="5377" width="10.90625" style="113"/>
    <col min="5378" max="5378" width="48" style="113" bestFit="1" customWidth="1"/>
    <col min="5379" max="5381" width="10.90625" style="113"/>
    <col min="5382" max="5382" width="14" style="113" bestFit="1" customWidth="1"/>
    <col min="5383" max="5633" width="10.90625" style="113"/>
    <col min="5634" max="5634" width="48" style="113" bestFit="1" customWidth="1"/>
    <col min="5635" max="5637" width="10.90625" style="113"/>
    <col min="5638" max="5638" width="14" style="113" bestFit="1" customWidth="1"/>
    <col min="5639" max="5889" width="10.90625" style="113"/>
    <col min="5890" max="5890" width="48" style="113" bestFit="1" customWidth="1"/>
    <col min="5891" max="5893" width="10.90625" style="113"/>
    <col min="5894" max="5894" width="14" style="113" bestFit="1" customWidth="1"/>
    <col min="5895" max="6145" width="10.90625" style="113"/>
    <col min="6146" max="6146" width="48" style="113" bestFit="1" customWidth="1"/>
    <col min="6147" max="6149" width="10.90625" style="113"/>
    <col min="6150" max="6150" width="14" style="113" bestFit="1" customWidth="1"/>
    <col min="6151" max="6401" width="10.90625" style="113"/>
    <col min="6402" max="6402" width="48" style="113" bestFit="1" customWidth="1"/>
    <col min="6403" max="6405" width="10.90625" style="113"/>
    <col min="6406" max="6406" width="14" style="113" bestFit="1" customWidth="1"/>
    <col min="6407" max="6657" width="10.90625" style="113"/>
    <col min="6658" max="6658" width="48" style="113" bestFit="1" customWidth="1"/>
    <col min="6659" max="6661" width="10.90625" style="113"/>
    <col min="6662" max="6662" width="14" style="113" bestFit="1" customWidth="1"/>
    <col min="6663" max="6913" width="10.90625" style="113"/>
    <col min="6914" max="6914" width="48" style="113" bestFit="1" customWidth="1"/>
    <col min="6915" max="6917" width="10.90625" style="113"/>
    <col min="6918" max="6918" width="14" style="113" bestFit="1" customWidth="1"/>
    <col min="6919" max="7169" width="10.90625" style="113"/>
    <col min="7170" max="7170" width="48" style="113" bestFit="1" customWidth="1"/>
    <col min="7171" max="7173" width="10.90625" style="113"/>
    <col min="7174" max="7174" width="14" style="113" bestFit="1" customWidth="1"/>
    <col min="7175" max="7425" width="10.90625" style="113"/>
    <col min="7426" max="7426" width="48" style="113" bestFit="1" customWidth="1"/>
    <col min="7427" max="7429" width="10.90625" style="113"/>
    <col min="7430" max="7430" width="14" style="113" bestFit="1" customWidth="1"/>
    <col min="7431" max="7681" width="10.90625" style="113"/>
    <col min="7682" max="7682" width="48" style="113" bestFit="1" customWidth="1"/>
    <col min="7683" max="7685" width="10.90625" style="113"/>
    <col min="7686" max="7686" width="14" style="113" bestFit="1" customWidth="1"/>
    <col min="7687" max="7937" width="10.90625" style="113"/>
    <col min="7938" max="7938" width="48" style="113" bestFit="1" customWidth="1"/>
    <col min="7939" max="7941" width="10.90625" style="113"/>
    <col min="7942" max="7942" width="14" style="113" bestFit="1" customWidth="1"/>
    <col min="7943" max="8193" width="10.90625" style="113"/>
    <col min="8194" max="8194" width="48" style="113" bestFit="1" customWidth="1"/>
    <col min="8195" max="8197" width="10.90625" style="113"/>
    <col min="8198" max="8198" width="14" style="113" bestFit="1" customWidth="1"/>
    <col min="8199" max="8449" width="10.90625" style="113"/>
    <col min="8450" max="8450" width="48" style="113" bestFit="1" customWidth="1"/>
    <col min="8451" max="8453" width="10.90625" style="113"/>
    <col min="8454" max="8454" width="14" style="113" bestFit="1" customWidth="1"/>
    <col min="8455" max="8705" width="10.90625" style="113"/>
    <col min="8706" max="8706" width="48" style="113" bestFit="1" customWidth="1"/>
    <col min="8707" max="8709" width="10.90625" style="113"/>
    <col min="8710" max="8710" width="14" style="113" bestFit="1" customWidth="1"/>
    <col min="8711" max="8961" width="10.90625" style="113"/>
    <col min="8962" max="8962" width="48" style="113" bestFit="1" customWidth="1"/>
    <col min="8963" max="8965" width="10.90625" style="113"/>
    <col min="8966" max="8966" width="14" style="113" bestFit="1" customWidth="1"/>
    <col min="8967" max="9217" width="10.90625" style="113"/>
    <col min="9218" max="9218" width="48" style="113" bestFit="1" customWidth="1"/>
    <col min="9219" max="9221" width="10.90625" style="113"/>
    <col min="9222" max="9222" width="14" style="113" bestFit="1" customWidth="1"/>
    <col min="9223" max="9473" width="10.90625" style="113"/>
    <col min="9474" max="9474" width="48" style="113" bestFit="1" customWidth="1"/>
    <col min="9475" max="9477" width="10.90625" style="113"/>
    <col min="9478" max="9478" width="14" style="113" bestFit="1" customWidth="1"/>
    <col min="9479" max="9729" width="10.90625" style="113"/>
    <col min="9730" max="9730" width="48" style="113" bestFit="1" customWidth="1"/>
    <col min="9731" max="9733" width="10.90625" style="113"/>
    <col min="9734" max="9734" width="14" style="113" bestFit="1" customWidth="1"/>
    <col min="9735" max="9985" width="10.90625" style="113"/>
    <col min="9986" max="9986" width="48" style="113" bestFit="1" customWidth="1"/>
    <col min="9987" max="9989" width="10.90625" style="113"/>
    <col min="9990" max="9990" width="14" style="113" bestFit="1" customWidth="1"/>
    <col min="9991" max="10241" width="10.90625" style="113"/>
    <col min="10242" max="10242" width="48" style="113" bestFit="1" customWidth="1"/>
    <col min="10243" max="10245" width="10.90625" style="113"/>
    <col min="10246" max="10246" width="14" style="113" bestFit="1" customWidth="1"/>
    <col min="10247" max="10497" width="10.90625" style="113"/>
    <col min="10498" max="10498" width="48" style="113" bestFit="1" customWidth="1"/>
    <col min="10499" max="10501" width="10.90625" style="113"/>
    <col min="10502" max="10502" width="14" style="113" bestFit="1" customWidth="1"/>
    <col min="10503" max="10753" width="10.90625" style="113"/>
    <col min="10754" max="10754" width="48" style="113" bestFit="1" customWidth="1"/>
    <col min="10755" max="10757" width="10.90625" style="113"/>
    <col min="10758" max="10758" width="14" style="113" bestFit="1" customWidth="1"/>
    <col min="10759" max="11009" width="10.90625" style="113"/>
    <col min="11010" max="11010" width="48" style="113" bestFit="1" customWidth="1"/>
    <col min="11011" max="11013" width="10.90625" style="113"/>
    <col min="11014" max="11014" width="14" style="113" bestFit="1" customWidth="1"/>
    <col min="11015" max="11265" width="10.90625" style="113"/>
    <col min="11266" max="11266" width="48" style="113" bestFit="1" customWidth="1"/>
    <col min="11267" max="11269" width="10.90625" style="113"/>
    <col min="11270" max="11270" width="14" style="113" bestFit="1" customWidth="1"/>
    <col min="11271" max="11521" width="10.90625" style="113"/>
    <col min="11522" max="11522" width="48" style="113" bestFit="1" customWidth="1"/>
    <col min="11523" max="11525" width="10.90625" style="113"/>
    <col min="11526" max="11526" width="14" style="113" bestFit="1" customWidth="1"/>
    <col min="11527" max="11777" width="10.90625" style="113"/>
    <col min="11778" max="11778" width="48" style="113" bestFit="1" customWidth="1"/>
    <col min="11779" max="11781" width="10.90625" style="113"/>
    <col min="11782" max="11782" width="14" style="113" bestFit="1" customWidth="1"/>
    <col min="11783" max="12033" width="10.90625" style="113"/>
    <col min="12034" max="12034" width="48" style="113" bestFit="1" customWidth="1"/>
    <col min="12035" max="12037" width="10.90625" style="113"/>
    <col min="12038" max="12038" width="14" style="113" bestFit="1" customWidth="1"/>
    <col min="12039" max="12289" width="10.90625" style="113"/>
    <col min="12290" max="12290" width="48" style="113" bestFit="1" customWidth="1"/>
    <col min="12291" max="12293" width="10.90625" style="113"/>
    <col min="12294" max="12294" width="14" style="113" bestFit="1" customWidth="1"/>
    <col min="12295" max="12545" width="10.90625" style="113"/>
    <col min="12546" max="12546" width="48" style="113" bestFit="1" customWidth="1"/>
    <col min="12547" max="12549" width="10.90625" style="113"/>
    <col min="12550" max="12550" width="14" style="113" bestFit="1" customWidth="1"/>
    <col min="12551" max="12801" width="10.90625" style="113"/>
    <col min="12802" max="12802" width="48" style="113" bestFit="1" customWidth="1"/>
    <col min="12803" max="12805" width="10.90625" style="113"/>
    <col min="12806" max="12806" width="14" style="113" bestFit="1" customWidth="1"/>
    <col min="12807" max="13057" width="10.90625" style="113"/>
    <col min="13058" max="13058" width="48" style="113" bestFit="1" customWidth="1"/>
    <col min="13059" max="13061" width="10.90625" style="113"/>
    <col min="13062" max="13062" width="14" style="113" bestFit="1" customWidth="1"/>
    <col min="13063" max="13313" width="10.90625" style="113"/>
    <col min="13314" max="13314" width="48" style="113" bestFit="1" customWidth="1"/>
    <col min="13315" max="13317" width="10.90625" style="113"/>
    <col min="13318" max="13318" width="14" style="113" bestFit="1" customWidth="1"/>
    <col min="13319" max="13569" width="10.90625" style="113"/>
    <col min="13570" max="13570" width="48" style="113" bestFit="1" customWidth="1"/>
    <col min="13571" max="13573" width="10.90625" style="113"/>
    <col min="13574" max="13574" width="14" style="113" bestFit="1" customWidth="1"/>
    <col min="13575" max="13825" width="10.90625" style="113"/>
    <col min="13826" max="13826" width="48" style="113" bestFit="1" customWidth="1"/>
    <col min="13827" max="13829" width="10.90625" style="113"/>
    <col min="13830" max="13830" width="14" style="113" bestFit="1" customWidth="1"/>
    <col min="13831" max="14081" width="10.90625" style="113"/>
    <col min="14082" max="14082" width="48" style="113" bestFit="1" customWidth="1"/>
    <col min="14083" max="14085" width="10.90625" style="113"/>
    <col min="14086" max="14086" width="14" style="113" bestFit="1" customWidth="1"/>
    <col min="14087" max="14337" width="10.90625" style="113"/>
    <col min="14338" max="14338" width="48" style="113" bestFit="1" customWidth="1"/>
    <col min="14339" max="14341" width="10.90625" style="113"/>
    <col min="14342" max="14342" width="14" style="113" bestFit="1" customWidth="1"/>
    <col min="14343" max="14593" width="10.90625" style="113"/>
    <col min="14594" max="14594" width="48" style="113" bestFit="1" customWidth="1"/>
    <col min="14595" max="14597" width="10.90625" style="113"/>
    <col min="14598" max="14598" width="14" style="113" bestFit="1" customWidth="1"/>
    <col min="14599" max="14849" width="10.90625" style="113"/>
    <col min="14850" max="14850" width="48" style="113" bestFit="1" customWidth="1"/>
    <col min="14851" max="14853" width="10.90625" style="113"/>
    <col min="14854" max="14854" width="14" style="113" bestFit="1" customWidth="1"/>
    <col min="14855" max="15105" width="10.90625" style="113"/>
    <col min="15106" max="15106" width="48" style="113" bestFit="1" customWidth="1"/>
    <col min="15107" max="15109" width="10.90625" style="113"/>
    <col min="15110" max="15110" width="14" style="113" bestFit="1" customWidth="1"/>
    <col min="15111" max="15361" width="10.90625" style="113"/>
    <col min="15362" max="15362" width="48" style="113" bestFit="1" customWidth="1"/>
    <col min="15363" max="15365" width="10.90625" style="113"/>
    <col min="15366" max="15366" width="14" style="113" bestFit="1" customWidth="1"/>
    <col min="15367" max="15617" width="10.90625" style="113"/>
    <col min="15618" max="15618" width="48" style="113" bestFit="1" customWidth="1"/>
    <col min="15619" max="15621" width="10.90625" style="113"/>
    <col min="15622" max="15622" width="14" style="113" bestFit="1" customWidth="1"/>
    <col min="15623" max="15873" width="10.90625" style="113"/>
    <col min="15874" max="15874" width="48" style="113" bestFit="1" customWidth="1"/>
    <col min="15875" max="15877" width="10.90625" style="113"/>
    <col min="15878" max="15878" width="14" style="113" bestFit="1" customWidth="1"/>
    <col min="15879" max="16129" width="10.90625" style="113"/>
    <col min="16130" max="16130" width="48" style="113" bestFit="1" customWidth="1"/>
    <col min="16131" max="16133" width="10.90625" style="113"/>
    <col min="16134" max="16134" width="14" style="113" bestFit="1" customWidth="1"/>
    <col min="16135" max="16384" width="10.90625" style="113"/>
  </cols>
  <sheetData>
    <row r="2" spans="1:6" s="106" customFormat="1" ht="30" customHeight="1" x14ac:dyDescent="0.3">
      <c r="A2" s="104"/>
      <c r="B2" s="105" t="s">
        <v>539</v>
      </c>
      <c r="C2" s="235" t="s">
        <v>506</v>
      </c>
      <c r="D2" s="235"/>
      <c r="E2" s="235"/>
      <c r="F2" s="235"/>
    </row>
    <row r="3" spans="1:6" s="106" customFormat="1" x14ac:dyDescent="0.3">
      <c r="A3" s="104"/>
      <c r="B3" s="105" t="s">
        <v>32</v>
      </c>
      <c r="C3" s="236">
        <v>1</v>
      </c>
      <c r="D3" s="236"/>
      <c r="E3" s="236"/>
      <c r="F3" s="236"/>
    </row>
    <row r="4" spans="1:6" s="106" customFormat="1" x14ac:dyDescent="0.3">
      <c r="A4" s="104"/>
      <c r="B4" s="105" t="s">
        <v>540</v>
      </c>
      <c r="C4" s="236" t="s">
        <v>562</v>
      </c>
      <c r="D4" s="236"/>
      <c r="E4" s="236"/>
      <c r="F4" s="236"/>
    </row>
    <row r="5" spans="1:6" s="106" customFormat="1" x14ac:dyDescent="0.3">
      <c r="A5" s="104"/>
      <c r="B5" s="107" t="s">
        <v>31</v>
      </c>
      <c r="C5" s="236" t="s">
        <v>29</v>
      </c>
      <c r="D5" s="236"/>
      <c r="E5" s="236"/>
      <c r="F5" s="236"/>
    </row>
    <row r="6" spans="1:6" s="106" customFormat="1" x14ac:dyDescent="0.3">
      <c r="A6" s="104"/>
      <c r="B6" s="107" t="s">
        <v>30</v>
      </c>
      <c r="C6" s="237">
        <v>4.5</v>
      </c>
      <c r="D6" s="237"/>
      <c r="E6" s="237"/>
      <c r="F6" s="237"/>
    </row>
    <row r="7" spans="1:6" x14ac:dyDescent="0.3">
      <c r="A7" s="108"/>
      <c r="B7" s="109"/>
      <c r="C7" s="110"/>
      <c r="D7" s="111"/>
      <c r="E7" s="111"/>
      <c r="F7" s="112"/>
    </row>
    <row r="8" spans="1:6" x14ac:dyDescent="0.3">
      <c r="A8" s="108"/>
      <c r="B8" s="238" t="s">
        <v>541</v>
      </c>
      <c r="C8" s="239"/>
      <c r="D8" s="239"/>
      <c r="E8" s="239"/>
      <c r="F8" s="240"/>
    </row>
    <row r="9" spans="1:6" x14ac:dyDescent="0.3">
      <c r="A9" s="108"/>
      <c r="B9" s="114" t="s">
        <v>542</v>
      </c>
      <c r="C9" s="115" t="s">
        <v>543</v>
      </c>
      <c r="D9" s="115" t="s">
        <v>544</v>
      </c>
      <c r="E9" s="115" t="s">
        <v>545</v>
      </c>
      <c r="F9" s="115" t="s">
        <v>546</v>
      </c>
    </row>
    <row r="10" spans="1:6" x14ac:dyDescent="0.3">
      <c r="A10" s="108"/>
      <c r="B10" s="232" t="s">
        <v>547</v>
      </c>
      <c r="C10" s="233"/>
      <c r="D10" s="233"/>
      <c r="E10" s="233"/>
      <c r="F10" s="234"/>
    </row>
    <row r="11" spans="1:6" x14ac:dyDescent="0.3">
      <c r="A11" s="108"/>
      <c r="B11" s="116"/>
      <c r="C11" s="117"/>
      <c r="D11" s="118"/>
      <c r="E11" s="119"/>
      <c r="F11" s="119">
        <f>ROUND(D11*E11,0)</f>
        <v>0</v>
      </c>
    </row>
    <row r="12" spans="1:6" x14ac:dyDescent="0.3">
      <c r="A12" s="108"/>
      <c r="B12" s="116"/>
      <c r="C12" s="120"/>
      <c r="D12" s="118"/>
      <c r="E12" s="119"/>
      <c r="F12" s="119">
        <f>ROUND(D12*E12,0)</f>
        <v>0</v>
      </c>
    </row>
    <row r="13" spans="1:6" x14ac:dyDescent="0.3">
      <c r="A13" s="108"/>
      <c r="B13" s="121"/>
      <c r="C13" s="122"/>
      <c r="D13" s="123"/>
      <c r="E13" s="119"/>
      <c r="F13" s="119">
        <f>ROUND(SUM(F11:F12)*C13,0)</f>
        <v>0</v>
      </c>
    </row>
    <row r="14" spans="1:6" x14ac:dyDescent="0.3">
      <c r="A14" s="108"/>
      <c r="B14" s="109"/>
      <c r="C14" s="155" t="s">
        <v>582</v>
      </c>
      <c r="D14" s="156"/>
      <c r="E14" s="158">
        <v>0.02</v>
      </c>
      <c r="F14" s="150">
        <f>SUM(F11:F13)*E14</f>
        <v>0</v>
      </c>
    </row>
    <row r="15" spans="1:6" x14ac:dyDescent="0.3">
      <c r="A15" s="108"/>
      <c r="C15" s="226" t="s">
        <v>548</v>
      </c>
      <c r="D15" s="227"/>
      <c r="E15" s="228"/>
      <c r="F15" s="124">
        <f>SUM(F10:F13)</f>
        <v>0</v>
      </c>
    </row>
    <row r="16" spans="1:6" x14ac:dyDescent="0.3">
      <c r="A16" s="108"/>
      <c r="B16" s="104"/>
      <c r="C16" s="127"/>
      <c r="D16" s="112"/>
      <c r="E16" s="128"/>
      <c r="F16" s="126"/>
    </row>
    <row r="17" spans="1:6" x14ac:dyDescent="0.3">
      <c r="A17" s="108"/>
      <c r="B17" s="232" t="s">
        <v>571</v>
      </c>
      <c r="C17" s="233"/>
      <c r="D17" s="233"/>
      <c r="E17" s="233"/>
      <c r="F17" s="234"/>
    </row>
    <row r="18" spans="1:6" x14ac:dyDescent="0.3">
      <c r="A18" s="108"/>
      <c r="B18" s="129" t="s">
        <v>568</v>
      </c>
      <c r="C18" s="130" t="s">
        <v>572</v>
      </c>
      <c r="D18" s="131">
        <v>0.7</v>
      </c>
      <c r="E18" s="132">
        <v>30000</v>
      </c>
      <c r="F18" s="119">
        <f>ROUND(D18*E18,0)</f>
        <v>21000</v>
      </c>
    </row>
    <row r="19" spans="1:6" x14ac:dyDescent="0.3">
      <c r="A19" s="108"/>
      <c r="B19" s="129" t="s">
        <v>563</v>
      </c>
      <c r="C19" s="130" t="s">
        <v>572</v>
      </c>
      <c r="D19" s="131">
        <v>0.7</v>
      </c>
      <c r="E19" s="132">
        <v>30000</v>
      </c>
      <c r="F19" s="119">
        <f>ROUND(D19*E19,0)</f>
        <v>21000</v>
      </c>
    </row>
    <row r="20" spans="1:6" x14ac:dyDescent="0.3">
      <c r="A20" s="108"/>
      <c r="B20" s="121" t="s">
        <v>564</v>
      </c>
      <c r="C20" s="117" t="s">
        <v>556</v>
      </c>
      <c r="D20" s="133">
        <v>0.1</v>
      </c>
      <c r="E20" s="119">
        <v>10000</v>
      </c>
      <c r="F20" s="119">
        <f>ROUND(D20*E20,0)</f>
        <v>1000</v>
      </c>
    </row>
    <row r="21" spans="1:6" x14ac:dyDescent="0.3">
      <c r="A21" s="108"/>
      <c r="C21" s="226" t="s">
        <v>557</v>
      </c>
      <c r="D21" s="227"/>
      <c r="E21" s="228"/>
      <c r="F21" s="124">
        <f>SUM(F17:F20)</f>
        <v>43000</v>
      </c>
    </row>
    <row r="22" spans="1:6" x14ac:dyDescent="0.3">
      <c r="A22" s="108"/>
      <c r="B22" s="109"/>
      <c r="C22" s="110"/>
      <c r="D22" s="111"/>
      <c r="E22" s="125"/>
      <c r="F22" s="126"/>
    </row>
    <row r="23" spans="1:6" x14ac:dyDescent="0.3">
      <c r="A23" s="108"/>
      <c r="B23" s="232" t="s">
        <v>570</v>
      </c>
      <c r="C23" s="233"/>
      <c r="D23" s="233"/>
      <c r="E23" s="233"/>
      <c r="F23" s="234"/>
    </row>
    <row r="24" spans="1:6" x14ac:dyDescent="0.3">
      <c r="A24" s="108"/>
      <c r="B24" s="121" t="s">
        <v>549</v>
      </c>
      <c r="C24" s="117" t="s">
        <v>550</v>
      </c>
      <c r="D24" s="118">
        <v>1</v>
      </c>
      <c r="E24" s="119">
        <v>30000</v>
      </c>
      <c r="F24" s="119">
        <f>ROUND(D24*E24,0)</f>
        <v>30000</v>
      </c>
    </row>
    <row r="25" spans="1:6" x14ac:dyDescent="0.3">
      <c r="A25" s="108"/>
      <c r="B25" s="121" t="s">
        <v>551</v>
      </c>
      <c r="C25" s="117" t="s">
        <v>550</v>
      </c>
      <c r="D25" s="118">
        <v>0</v>
      </c>
      <c r="E25" s="119">
        <v>28500</v>
      </c>
      <c r="F25" s="119">
        <f t="shared" ref="F25:F27" si="0">ROUND(D25*E25,0)</f>
        <v>0</v>
      </c>
    </row>
    <row r="26" spans="1:6" x14ac:dyDescent="0.3">
      <c r="A26" s="108"/>
      <c r="B26" s="121" t="s">
        <v>552</v>
      </c>
      <c r="C26" s="117" t="s">
        <v>550</v>
      </c>
      <c r="D26" s="118">
        <v>0</v>
      </c>
      <c r="E26" s="119">
        <v>20000</v>
      </c>
      <c r="F26" s="119">
        <f t="shared" si="0"/>
        <v>0</v>
      </c>
    </row>
    <row r="27" spans="1:6" x14ac:dyDescent="0.3">
      <c r="A27" s="108"/>
      <c r="B27" s="121" t="s">
        <v>553</v>
      </c>
      <c r="C27" s="152" t="s">
        <v>550</v>
      </c>
      <c r="D27" s="153">
        <v>4</v>
      </c>
      <c r="E27" s="154">
        <v>15500</v>
      </c>
      <c r="F27" s="119">
        <f t="shared" si="0"/>
        <v>62000</v>
      </c>
    </row>
    <row r="28" spans="1:6" x14ac:dyDescent="0.3">
      <c r="A28" s="108"/>
      <c r="C28" s="155" t="s">
        <v>567</v>
      </c>
      <c r="D28" s="157"/>
      <c r="E28" s="150"/>
      <c r="F28" s="150">
        <f>SUM(F24:F27)</f>
        <v>92000</v>
      </c>
    </row>
    <row r="29" spans="1:6" x14ac:dyDescent="0.3">
      <c r="A29" s="108"/>
      <c r="C29" s="155" t="s">
        <v>565</v>
      </c>
      <c r="D29" s="156"/>
      <c r="E29" s="150"/>
      <c r="F29" s="151">
        <v>10</v>
      </c>
    </row>
    <row r="30" spans="1:6" x14ac:dyDescent="0.3">
      <c r="A30" s="108"/>
      <c r="C30" s="155" t="s">
        <v>566</v>
      </c>
      <c r="D30" s="157"/>
      <c r="E30" s="150"/>
      <c r="F30" s="150">
        <f>F28/F29</f>
        <v>9200</v>
      </c>
    </row>
    <row r="31" spans="1:6" x14ac:dyDescent="0.3">
      <c r="A31" s="108"/>
      <c r="C31" s="155" t="s">
        <v>554</v>
      </c>
      <c r="D31" s="156"/>
      <c r="E31" s="158">
        <v>0.33</v>
      </c>
      <c r="F31" s="150">
        <f>F30*E31</f>
        <v>3036</v>
      </c>
    </row>
    <row r="32" spans="1:6" x14ac:dyDescent="0.3">
      <c r="A32" s="108"/>
      <c r="C32" s="229" t="s">
        <v>555</v>
      </c>
      <c r="D32" s="230"/>
      <c r="E32" s="231"/>
      <c r="F32" s="124">
        <f>SUM(F30:F31)</f>
        <v>12236</v>
      </c>
    </row>
    <row r="33" spans="1:6" x14ac:dyDescent="0.3">
      <c r="A33" s="108"/>
      <c r="B33" s="109"/>
      <c r="C33" s="134"/>
      <c r="D33" s="135"/>
      <c r="E33" s="136"/>
      <c r="F33" s="137"/>
    </row>
    <row r="34" spans="1:6" x14ac:dyDescent="0.3">
      <c r="A34" s="108"/>
      <c r="B34" s="220" t="s">
        <v>558</v>
      </c>
      <c r="C34" s="221"/>
      <c r="D34" s="221"/>
      <c r="E34" s="138"/>
      <c r="F34" s="124">
        <f>VLOOKUP("SUB TOTAL MATERIALES",C:F,4,FALSE)+VLOOKUP("SUB TOTAL MANO DE OBRA",C:F,4,FALSE)+VLOOKUP("SUB TOTAL EQUIPOS",C:F,4,FALSE)</f>
        <v>55236</v>
      </c>
    </row>
    <row r="35" spans="1:6" x14ac:dyDescent="0.3">
      <c r="A35" s="108"/>
      <c r="B35" s="220" t="s">
        <v>559</v>
      </c>
      <c r="C35" s="221"/>
      <c r="D35" s="221"/>
      <c r="E35" s="139">
        <v>0.54</v>
      </c>
      <c r="F35" s="124">
        <f>ROUND(F34*E35,0)</f>
        <v>29827</v>
      </c>
    </row>
    <row r="36" spans="1:6" x14ac:dyDescent="0.3">
      <c r="A36" s="108"/>
      <c r="B36" s="222" t="s">
        <v>560</v>
      </c>
      <c r="C36" s="223"/>
      <c r="D36" s="223"/>
      <c r="E36" s="140">
        <v>0.12</v>
      </c>
      <c r="F36" s="124">
        <f>ROUND(F34*E36,0)</f>
        <v>6628</v>
      </c>
    </row>
    <row r="37" spans="1:6" x14ac:dyDescent="0.3">
      <c r="A37" s="108"/>
      <c r="B37" s="224" t="s">
        <v>561</v>
      </c>
      <c r="C37" s="225"/>
      <c r="D37" s="225"/>
      <c r="E37" s="159"/>
      <c r="F37" s="160">
        <f>SUM(F34:F36)</f>
        <v>91691</v>
      </c>
    </row>
    <row r="38" spans="1:6" x14ac:dyDescent="0.3">
      <c r="A38" s="141"/>
      <c r="B38" s="109"/>
      <c r="C38" s="134"/>
      <c r="D38" s="135"/>
      <c r="E38" s="135"/>
      <c r="F38" s="135"/>
    </row>
    <row r="39" spans="1:6" x14ac:dyDescent="0.3">
      <c r="A39" s="141"/>
      <c r="B39" s="109"/>
      <c r="C39" s="134"/>
      <c r="D39" s="135"/>
      <c r="E39" s="135"/>
      <c r="F39" s="135"/>
    </row>
    <row r="40" spans="1:6" x14ac:dyDescent="0.3">
      <c r="A40" s="141"/>
      <c r="B40" s="142"/>
      <c r="C40" s="143"/>
      <c r="D40" s="144"/>
      <c r="E40" s="144"/>
      <c r="F40" s="144"/>
    </row>
    <row r="41" spans="1:6" x14ac:dyDescent="0.3">
      <c r="A41" s="141"/>
      <c r="B41" s="142"/>
      <c r="C41" s="143"/>
      <c r="D41" s="144"/>
      <c r="E41" s="144"/>
      <c r="F41" s="144"/>
    </row>
    <row r="42" spans="1:6" x14ac:dyDescent="0.3">
      <c r="A42" s="141"/>
      <c r="B42" s="142"/>
      <c r="C42" s="143"/>
      <c r="D42" s="144"/>
      <c r="E42" s="144"/>
      <c r="F42" s="144"/>
    </row>
    <row r="43" spans="1:6" x14ac:dyDescent="0.3">
      <c r="A43" s="141"/>
      <c r="B43" s="142"/>
      <c r="C43" s="143"/>
      <c r="D43" s="144"/>
      <c r="E43" s="144"/>
      <c r="F43" s="144"/>
    </row>
    <row r="44" spans="1:6" x14ac:dyDescent="0.3">
      <c r="A44" s="141"/>
      <c r="B44" s="142"/>
      <c r="C44" s="143"/>
      <c r="D44" s="144"/>
      <c r="E44" s="144"/>
      <c r="F44" s="144"/>
    </row>
    <row r="45" spans="1:6" x14ac:dyDescent="0.3">
      <c r="A45" s="141"/>
      <c r="B45" s="142"/>
      <c r="C45" s="143"/>
      <c r="D45" s="144"/>
      <c r="E45" s="144"/>
      <c r="F45" s="144"/>
    </row>
    <row r="46" spans="1:6" x14ac:dyDescent="0.3">
      <c r="A46" s="141"/>
      <c r="B46" s="145"/>
      <c r="C46" s="146"/>
      <c r="D46" s="147"/>
      <c r="E46" s="147"/>
      <c r="F46" s="147"/>
    </row>
  </sheetData>
  <mergeCells count="16">
    <mergeCell ref="B10:F10"/>
    <mergeCell ref="B23:F23"/>
    <mergeCell ref="B17:F17"/>
    <mergeCell ref="C2:F2"/>
    <mergeCell ref="C3:F3"/>
    <mergeCell ref="C4:F4"/>
    <mergeCell ref="C5:F5"/>
    <mergeCell ref="C6:F6"/>
    <mergeCell ref="B8:F8"/>
    <mergeCell ref="B34:D34"/>
    <mergeCell ref="B35:D35"/>
    <mergeCell ref="B36:D36"/>
    <mergeCell ref="B37:D37"/>
    <mergeCell ref="C15:E15"/>
    <mergeCell ref="C32:E32"/>
    <mergeCell ref="C21:E21"/>
  </mergeCells>
  <pageMargins left="0.7" right="0.7" top="0.75" bottom="0.75" header="0.3" footer="0.3"/>
  <pageSetup scale="9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9"/>
  <sheetViews>
    <sheetView workbookViewId="0">
      <pane ySplit="1" topLeftCell="A35" activePane="bottomLeft" state="frozen"/>
      <selection pane="bottomLeft" activeCell="C8" sqref="C8"/>
    </sheetView>
  </sheetViews>
  <sheetFormatPr baseColWidth="10" defaultRowHeight="14.5" x14ac:dyDescent="0.35"/>
  <cols>
    <col min="1" max="1" width="5.08984375" style="162" bestFit="1" customWidth="1"/>
    <col min="2" max="2" width="16.453125" style="162" bestFit="1" customWidth="1"/>
    <col min="3" max="3" width="48.90625" style="162" bestFit="1" customWidth="1"/>
    <col min="4" max="6" width="10.90625" style="162"/>
  </cols>
  <sheetData>
    <row r="1" spans="1:6" x14ac:dyDescent="0.35">
      <c r="A1" s="162" t="s">
        <v>32</v>
      </c>
      <c r="B1" s="162" t="s">
        <v>573</v>
      </c>
      <c r="C1" s="162" t="s">
        <v>542</v>
      </c>
      <c r="D1" s="162" t="s">
        <v>543</v>
      </c>
      <c r="E1" s="162" t="s">
        <v>544</v>
      </c>
      <c r="F1" s="162" t="s">
        <v>545</v>
      </c>
    </row>
    <row r="2" spans="1:6" x14ac:dyDescent="0.35">
      <c r="A2" s="162">
        <v>1</v>
      </c>
      <c r="B2" s="162" t="s">
        <v>571</v>
      </c>
      <c r="C2" s="129" t="s">
        <v>568</v>
      </c>
      <c r="D2" s="130" t="s">
        <v>572</v>
      </c>
      <c r="E2" s="131">
        <v>0.7</v>
      </c>
      <c r="F2" s="132">
        <v>30000</v>
      </c>
    </row>
    <row r="3" spans="1:6" x14ac:dyDescent="0.35">
      <c r="A3" s="162">
        <v>1</v>
      </c>
      <c r="B3" s="162" t="s">
        <v>571</v>
      </c>
      <c r="C3" s="129" t="s">
        <v>563</v>
      </c>
      <c r="D3" s="130" t="s">
        <v>572</v>
      </c>
      <c r="E3" s="131">
        <v>0.7</v>
      </c>
      <c r="F3" s="132">
        <v>30000</v>
      </c>
    </row>
    <row r="4" spans="1:6" x14ac:dyDescent="0.35">
      <c r="A4" s="162">
        <v>1</v>
      </c>
      <c r="B4" s="162" t="s">
        <v>571</v>
      </c>
      <c r="C4" s="121" t="s">
        <v>564</v>
      </c>
      <c r="D4" s="117" t="s">
        <v>556</v>
      </c>
      <c r="E4" s="133">
        <v>0.1</v>
      </c>
      <c r="F4" s="119">
        <v>10000</v>
      </c>
    </row>
    <row r="5" spans="1:6" x14ac:dyDescent="0.35">
      <c r="A5" s="162">
        <v>1</v>
      </c>
      <c r="B5" s="162" t="s">
        <v>570</v>
      </c>
      <c r="C5" s="121" t="s">
        <v>549</v>
      </c>
      <c r="D5" s="117" t="s">
        <v>550</v>
      </c>
      <c r="E5" s="118">
        <v>1</v>
      </c>
      <c r="F5" s="119">
        <v>30000</v>
      </c>
    </row>
    <row r="6" spans="1:6" x14ac:dyDescent="0.35">
      <c r="A6" s="162">
        <v>1</v>
      </c>
      <c r="B6" s="162" t="s">
        <v>570</v>
      </c>
      <c r="C6" s="121" t="s">
        <v>551</v>
      </c>
      <c r="D6" s="117" t="s">
        <v>550</v>
      </c>
      <c r="E6" s="118">
        <v>0</v>
      </c>
      <c r="F6" s="119">
        <v>28500</v>
      </c>
    </row>
    <row r="7" spans="1:6" x14ac:dyDescent="0.35">
      <c r="A7" s="162">
        <v>1</v>
      </c>
      <c r="B7" s="162" t="s">
        <v>570</v>
      </c>
      <c r="C7" s="121" t="s">
        <v>552</v>
      </c>
      <c r="D7" s="117" t="s">
        <v>550</v>
      </c>
      <c r="E7" s="118">
        <v>0</v>
      </c>
      <c r="F7" s="119">
        <v>20000</v>
      </c>
    </row>
    <row r="8" spans="1:6" x14ac:dyDescent="0.35">
      <c r="A8" s="162">
        <v>1</v>
      </c>
      <c r="B8" s="162" t="s">
        <v>570</v>
      </c>
      <c r="C8" s="121" t="s">
        <v>553</v>
      </c>
      <c r="D8" s="117" t="s">
        <v>550</v>
      </c>
      <c r="E8" s="118">
        <v>4</v>
      </c>
      <c r="F8" s="119">
        <v>15500</v>
      </c>
    </row>
    <row r="9" spans="1:6" x14ac:dyDescent="0.35">
      <c r="A9" s="162">
        <v>1</v>
      </c>
      <c r="B9" s="162" t="s">
        <v>574</v>
      </c>
      <c r="D9" s="162" t="s">
        <v>569</v>
      </c>
      <c r="E9" s="118">
        <v>10</v>
      </c>
      <c r="F9" s="119"/>
    </row>
    <row r="10" spans="1:6" x14ac:dyDescent="0.35">
      <c r="A10" s="162">
        <v>2</v>
      </c>
      <c r="B10" s="162" t="s">
        <v>571</v>
      </c>
      <c r="C10" s="121" t="s">
        <v>575</v>
      </c>
      <c r="D10" s="117" t="s">
        <v>572</v>
      </c>
      <c r="E10" s="118">
        <v>0.14000000000000001</v>
      </c>
      <c r="F10" s="119">
        <v>45000</v>
      </c>
    </row>
    <row r="11" spans="1:6" x14ac:dyDescent="0.35">
      <c r="A11" s="162">
        <v>2</v>
      </c>
      <c r="B11" s="162" t="s">
        <v>571</v>
      </c>
      <c r="C11" s="121" t="s">
        <v>576</v>
      </c>
      <c r="D11" s="117" t="s">
        <v>556</v>
      </c>
      <c r="E11" s="118">
        <v>0.02</v>
      </c>
      <c r="F11" s="119">
        <v>10000</v>
      </c>
    </row>
    <row r="12" spans="1:6" x14ac:dyDescent="0.35">
      <c r="A12" s="162">
        <v>2</v>
      </c>
      <c r="B12" s="162" t="s">
        <v>570</v>
      </c>
      <c r="C12" s="121" t="s">
        <v>549</v>
      </c>
      <c r="D12" s="117" t="s">
        <v>550</v>
      </c>
      <c r="E12" s="118">
        <v>1</v>
      </c>
      <c r="F12" s="119">
        <v>30000</v>
      </c>
    </row>
    <row r="13" spans="1:6" x14ac:dyDescent="0.35">
      <c r="A13" s="162">
        <v>2</v>
      </c>
      <c r="B13" s="162" t="s">
        <v>570</v>
      </c>
      <c r="C13" s="121" t="s">
        <v>551</v>
      </c>
      <c r="D13" s="117" t="s">
        <v>550</v>
      </c>
      <c r="E13" s="118">
        <v>1</v>
      </c>
      <c r="F13" s="119">
        <v>28500</v>
      </c>
    </row>
    <row r="14" spans="1:6" x14ac:dyDescent="0.35">
      <c r="A14" s="162">
        <v>2</v>
      </c>
      <c r="B14" s="162" t="s">
        <v>570</v>
      </c>
      <c r="C14" s="121" t="s">
        <v>552</v>
      </c>
      <c r="D14" s="117" t="s">
        <v>550</v>
      </c>
      <c r="E14" s="118">
        <v>1</v>
      </c>
      <c r="F14" s="119">
        <v>20000</v>
      </c>
    </row>
    <row r="15" spans="1:6" x14ac:dyDescent="0.35">
      <c r="A15" s="162">
        <v>2</v>
      </c>
      <c r="B15" s="162" t="s">
        <v>574</v>
      </c>
      <c r="D15" s="162" t="s">
        <v>577</v>
      </c>
      <c r="E15" s="118">
        <v>50</v>
      </c>
      <c r="F15" s="119"/>
    </row>
    <row r="16" spans="1:6" x14ac:dyDescent="0.35">
      <c r="A16" s="162">
        <v>3</v>
      </c>
      <c r="B16" s="162" t="s">
        <v>547</v>
      </c>
      <c r="C16" s="121" t="s">
        <v>578</v>
      </c>
      <c r="D16" s="117" t="s">
        <v>28</v>
      </c>
      <c r="E16" s="118">
        <v>1.2</v>
      </c>
      <c r="F16" s="119">
        <v>12000</v>
      </c>
    </row>
    <row r="17" spans="1:6" x14ac:dyDescent="0.35">
      <c r="A17" s="162">
        <v>3</v>
      </c>
      <c r="B17" s="162" t="s">
        <v>571</v>
      </c>
      <c r="C17" s="121" t="s">
        <v>579</v>
      </c>
      <c r="D17" s="117" t="s">
        <v>572</v>
      </c>
      <c r="E17" s="118">
        <v>8.7999999999999995E-2</v>
      </c>
      <c r="F17" s="119">
        <v>30000</v>
      </c>
    </row>
    <row r="18" spans="1:6" x14ac:dyDescent="0.35">
      <c r="A18" s="162">
        <v>3</v>
      </c>
      <c r="B18" s="162" t="s">
        <v>571</v>
      </c>
      <c r="C18" s="121" t="s">
        <v>580</v>
      </c>
      <c r="D18" s="117" t="s">
        <v>556</v>
      </c>
      <c r="E18" s="118">
        <v>1.2999999999999999E-2</v>
      </c>
      <c r="F18" s="119">
        <v>8000</v>
      </c>
    </row>
    <row r="19" spans="1:6" x14ac:dyDescent="0.35">
      <c r="A19" s="162">
        <v>3</v>
      </c>
      <c r="B19" s="162" t="s">
        <v>571</v>
      </c>
      <c r="C19" s="121" t="s">
        <v>581</v>
      </c>
      <c r="D19" s="117" t="s">
        <v>556</v>
      </c>
      <c r="E19" s="118">
        <v>1.2999999999999999E-2</v>
      </c>
      <c r="F19" s="119">
        <v>10000</v>
      </c>
    </row>
    <row r="20" spans="1:6" x14ac:dyDescent="0.35">
      <c r="A20" s="162">
        <v>3</v>
      </c>
      <c r="B20" s="162" t="s">
        <v>570</v>
      </c>
      <c r="C20" s="121" t="s">
        <v>549</v>
      </c>
      <c r="D20" s="117" t="s">
        <v>550</v>
      </c>
      <c r="E20" s="118">
        <v>0</v>
      </c>
      <c r="F20" s="119">
        <v>30000</v>
      </c>
    </row>
    <row r="21" spans="1:6" x14ac:dyDescent="0.35">
      <c r="A21" s="162">
        <v>3</v>
      </c>
      <c r="B21" s="162" t="s">
        <v>570</v>
      </c>
      <c r="C21" s="121" t="s">
        <v>551</v>
      </c>
      <c r="D21" s="117" t="s">
        <v>550</v>
      </c>
      <c r="E21" s="118">
        <v>0</v>
      </c>
      <c r="F21" s="119">
        <v>28500</v>
      </c>
    </row>
    <row r="22" spans="1:6" x14ac:dyDescent="0.35">
      <c r="A22" s="162">
        <v>3</v>
      </c>
      <c r="B22" s="162" t="s">
        <v>570</v>
      </c>
      <c r="C22" s="121" t="s">
        <v>552</v>
      </c>
      <c r="D22" s="117" t="s">
        <v>550</v>
      </c>
      <c r="E22" s="118">
        <v>0</v>
      </c>
      <c r="F22" s="119">
        <v>20000</v>
      </c>
    </row>
    <row r="23" spans="1:6" x14ac:dyDescent="0.35">
      <c r="A23" s="162">
        <v>3</v>
      </c>
      <c r="B23" s="162" t="s">
        <v>570</v>
      </c>
      <c r="C23" s="121" t="s">
        <v>553</v>
      </c>
      <c r="D23" s="117" t="s">
        <v>550</v>
      </c>
      <c r="E23" s="118">
        <v>2</v>
      </c>
      <c r="F23" s="119">
        <v>15500</v>
      </c>
    </row>
    <row r="24" spans="1:6" x14ac:dyDescent="0.35">
      <c r="A24" s="162">
        <v>3</v>
      </c>
      <c r="B24" s="162" t="s">
        <v>574</v>
      </c>
      <c r="D24" s="162" t="s">
        <v>577</v>
      </c>
      <c r="E24" s="118">
        <v>80</v>
      </c>
    </row>
    <row r="25" spans="1:6" x14ac:dyDescent="0.35">
      <c r="A25" s="162">
        <v>4</v>
      </c>
      <c r="B25" s="162" t="s">
        <v>547</v>
      </c>
      <c r="C25" s="121" t="s">
        <v>583</v>
      </c>
      <c r="D25" s="117" t="s">
        <v>572</v>
      </c>
      <c r="E25" s="118">
        <v>0.11700000000000001</v>
      </c>
      <c r="F25" s="119">
        <v>30000</v>
      </c>
    </row>
    <row r="26" spans="1:6" x14ac:dyDescent="0.35">
      <c r="A26" s="162">
        <v>4</v>
      </c>
      <c r="B26" s="162" t="s">
        <v>547</v>
      </c>
      <c r="C26" s="121" t="s">
        <v>584</v>
      </c>
      <c r="D26" s="117" t="s">
        <v>572</v>
      </c>
      <c r="E26" s="118">
        <v>0.11700000000000001</v>
      </c>
      <c r="F26" s="119">
        <v>30000</v>
      </c>
    </row>
    <row r="27" spans="1:6" x14ac:dyDescent="0.35">
      <c r="A27" s="162">
        <v>4</v>
      </c>
      <c r="B27" s="162" t="s">
        <v>547</v>
      </c>
      <c r="C27" s="121" t="s">
        <v>585</v>
      </c>
      <c r="D27" s="117" t="s">
        <v>556</v>
      </c>
      <c r="E27" s="118">
        <v>0.11700000000000001</v>
      </c>
      <c r="F27" s="162">
        <v>10000</v>
      </c>
    </row>
    <row r="28" spans="1:6" x14ac:dyDescent="0.35">
      <c r="A28" s="162">
        <v>4</v>
      </c>
      <c r="B28" s="162" t="s">
        <v>570</v>
      </c>
      <c r="C28" s="121" t="s">
        <v>549</v>
      </c>
      <c r="D28" s="117" t="s">
        <v>586</v>
      </c>
      <c r="E28" s="118">
        <v>1</v>
      </c>
      <c r="F28" s="119">
        <v>30000</v>
      </c>
    </row>
    <row r="29" spans="1:6" x14ac:dyDescent="0.35">
      <c r="A29" s="162">
        <v>4</v>
      </c>
      <c r="B29" s="162" t="s">
        <v>570</v>
      </c>
      <c r="C29" s="121" t="s">
        <v>551</v>
      </c>
      <c r="D29" s="117" t="s">
        <v>586</v>
      </c>
      <c r="E29" s="118">
        <v>0</v>
      </c>
      <c r="F29" s="119">
        <v>28500</v>
      </c>
    </row>
    <row r="30" spans="1:6" x14ac:dyDescent="0.35">
      <c r="A30" s="162">
        <v>4</v>
      </c>
      <c r="B30" s="162" t="s">
        <v>570</v>
      </c>
      <c r="C30" s="121" t="s">
        <v>552</v>
      </c>
      <c r="D30" s="117" t="s">
        <v>586</v>
      </c>
      <c r="E30" s="118">
        <v>0</v>
      </c>
      <c r="F30" s="119">
        <v>20000</v>
      </c>
    </row>
    <row r="31" spans="1:6" x14ac:dyDescent="0.35">
      <c r="A31" s="162">
        <v>4</v>
      </c>
      <c r="B31" s="162" t="s">
        <v>570</v>
      </c>
      <c r="C31" s="121" t="s">
        <v>553</v>
      </c>
      <c r="D31" s="117" t="s">
        <v>586</v>
      </c>
      <c r="E31" s="118">
        <v>1</v>
      </c>
      <c r="F31" s="119">
        <v>15500</v>
      </c>
    </row>
    <row r="32" spans="1:6" x14ac:dyDescent="0.35">
      <c r="A32" s="162">
        <v>4</v>
      </c>
      <c r="B32" s="162" t="s">
        <v>574</v>
      </c>
      <c r="D32" s="162" t="s">
        <v>577</v>
      </c>
      <c r="E32" s="118">
        <v>60</v>
      </c>
    </row>
    <row r="33" spans="1:6" x14ac:dyDescent="0.35">
      <c r="A33" s="162">
        <v>5</v>
      </c>
      <c r="B33" s="162" t="s">
        <v>547</v>
      </c>
      <c r="C33" s="121" t="s">
        <v>587</v>
      </c>
      <c r="D33" s="117" t="s">
        <v>28</v>
      </c>
      <c r="E33" s="118">
        <v>1</v>
      </c>
      <c r="F33" s="119">
        <v>129000</v>
      </c>
    </row>
    <row r="34" spans="1:6" x14ac:dyDescent="0.35">
      <c r="A34" s="162">
        <v>5</v>
      </c>
      <c r="B34" s="162" t="s">
        <v>571</v>
      </c>
      <c r="C34" s="121" t="s">
        <v>590</v>
      </c>
      <c r="D34" s="117" t="s">
        <v>556</v>
      </c>
      <c r="E34" s="118">
        <v>0.1</v>
      </c>
      <c r="F34" s="119">
        <v>15000</v>
      </c>
    </row>
    <row r="35" spans="1:6" x14ac:dyDescent="0.35">
      <c r="A35" s="162">
        <v>5</v>
      </c>
      <c r="B35" s="162" t="s">
        <v>571</v>
      </c>
      <c r="C35" s="121" t="s">
        <v>589</v>
      </c>
      <c r="D35" s="117" t="s">
        <v>556</v>
      </c>
      <c r="E35" s="118">
        <v>0.2</v>
      </c>
      <c r="F35" s="119">
        <v>8000</v>
      </c>
    </row>
    <row r="36" spans="1:6" x14ac:dyDescent="0.35">
      <c r="A36" s="162">
        <v>5</v>
      </c>
      <c r="B36" s="162" t="s">
        <v>571</v>
      </c>
      <c r="C36" s="121" t="s">
        <v>588</v>
      </c>
      <c r="D36" s="117" t="s">
        <v>556</v>
      </c>
      <c r="E36" s="118">
        <v>0.1</v>
      </c>
      <c r="F36" s="119">
        <v>10000</v>
      </c>
    </row>
    <row r="37" spans="1:6" x14ac:dyDescent="0.35">
      <c r="A37" s="162">
        <v>5</v>
      </c>
      <c r="B37" s="162" t="s">
        <v>570</v>
      </c>
      <c r="C37" s="121" t="s">
        <v>549</v>
      </c>
      <c r="D37" s="117" t="s">
        <v>586</v>
      </c>
      <c r="E37" s="118">
        <v>0</v>
      </c>
      <c r="F37" s="119">
        <v>30000</v>
      </c>
    </row>
    <row r="38" spans="1:6" x14ac:dyDescent="0.35">
      <c r="A38" s="162">
        <v>5</v>
      </c>
      <c r="B38" s="162" t="s">
        <v>570</v>
      </c>
      <c r="C38" s="121" t="s">
        <v>551</v>
      </c>
      <c r="D38" s="117" t="s">
        <v>586</v>
      </c>
      <c r="E38" s="118">
        <v>1</v>
      </c>
      <c r="F38" s="119">
        <v>28500</v>
      </c>
    </row>
    <row r="39" spans="1:6" x14ac:dyDescent="0.35">
      <c r="A39" s="162">
        <v>5</v>
      </c>
      <c r="B39" s="162" t="s">
        <v>570</v>
      </c>
      <c r="C39" s="121" t="s">
        <v>552</v>
      </c>
      <c r="D39" s="117" t="s">
        <v>586</v>
      </c>
      <c r="E39" s="118">
        <v>2</v>
      </c>
      <c r="F39" s="119">
        <v>20000</v>
      </c>
    </row>
    <row r="40" spans="1:6" x14ac:dyDescent="0.35">
      <c r="A40" s="162">
        <v>5</v>
      </c>
      <c r="B40" s="162" t="s">
        <v>570</v>
      </c>
      <c r="C40" s="121" t="s">
        <v>553</v>
      </c>
      <c r="D40" s="117" t="s">
        <v>586</v>
      </c>
      <c r="E40" s="118">
        <v>6</v>
      </c>
      <c r="F40" s="119">
        <v>15500</v>
      </c>
    </row>
    <row r="41" spans="1:6" x14ac:dyDescent="0.35">
      <c r="A41" s="162">
        <v>5</v>
      </c>
      <c r="B41" s="162" t="s">
        <v>574</v>
      </c>
      <c r="D41" s="117" t="s">
        <v>577</v>
      </c>
      <c r="E41" s="118">
        <v>10</v>
      </c>
    </row>
    <row r="42" spans="1:6" x14ac:dyDescent="0.35">
      <c r="A42" s="162">
        <v>6</v>
      </c>
      <c r="B42" s="162" t="s">
        <v>547</v>
      </c>
      <c r="C42" s="121" t="s">
        <v>591</v>
      </c>
      <c r="D42" s="117" t="s">
        <v>28</v>
      </c>
      <c r="E42" s="118">
        <v>1</v>
      </c>
      <c r="F42" s="119">
        <v>155000</v>
      </c>
    </row>
    <row r="43" spans="1:6" x14ac:dyDescent="0.35">
      <c r="B43" s="162" t="s">
        <v>571</v>
      </c>
      <c r="C43" s="121" t="s">
        <v>589</v>
      </c>
      <c r="D43" s="162" t="s">
        <v>556</v>
      </c>
      <c r="E43" s="118">
        <v>0.2</v>
      </c>
      <c r="F43" s="119">
        <v>8000</v>
      </c>
    </row>
    <row r="44" spans="1:6" x14ac:dyDescent="0.35">
      <c r="B44" s="162" t="s">
        <v>571</v>
      </c>
      <c r="C44" s="121" t="s">
        <v>592</v>
      </c>
      <c r="D44" s="162">
        <v>0.1</v>
      </c>
      <c r="E44" s="118">
        <v>10</v>
      </c>
      <c r="F44" s="119">
        <v>1000</v>
      </c>
    </row>
    <row r="45" spans="1:6" x14ac:dyDescent="0.35">
      <c r="B45" s="162" t="s">
        <v>570</v>
      </c>
      <c r="C45" s="121" t="s">
        <v>549</v>
      </c>
      <c r="D45" s="117" t="s">
        <v>586</v>
      </c>
      <c r="E45" s="118">
        <v>1</v>
      </c>
      <c r="F45" s="119">
        <v>30000</v>
      </c>
    </row>
    <row r="46" spans="1:6" x14ac:dyDescent="0.35">
      <c r="B46" s="162" t="s">
        <v>570</v>
      </c>
      <c r="C46" s="121" t="s">
        <v>551</v>
      </c>
      <c r="D46" s="117" t="s">
        <v>586</v>
      </c>
      <c r="E46" s="118">
        <v>2</v>
      </c>
      <c r="F46" s="119">
        <v>28500</v>
      </c>
    </row>
    <row r="47" spans="1:6" x14ac:dyDescent="0.35">
      <c r="B47" s="162" t="s">
        <v>570</v>
      </c>
      <c r="C47" s="121" t="s">
        <v>552</v>
      </c>
      <c r="D47" s="117" t="s">
        <v>586</v>
      </c>
      <c r="E47" s="118">
        <v>2</v>
      </c>
      <c r="F47" s="119">
        <v>20000</v>
      </c>
    </row>
    <row r="48" spans="1:6" x14ac:dyDescent="0.35">
      <c r="B48" s="162" t="s">
        <v>570</v>
      </c>
      <c r="C48" s="121" t="s">
        <v>553</v>
      </c>
      <c r="D48" s="117" t="s">
        <v>586</v>
      </c>
      <c r="E48" s="118">
        <v>4</v>
      </c>
      <c r="F48" s="119">
        <v>15500</v>
      </c>
    </row>
    <row r="49" spans="2:5" x14ac:dyDescent="0.35">
      <c r="B49" s="162" t="s">
        <v>574</v>
      </c>
      <c r="D49" s="117" t="s">
        <v>577</v>
      </c>
      <c r="E49" s="118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portada</vt:lpstr>
      <vt:lpstr>informe</vt:lpstr>
      <vt:lpstr>carta gantt</vt:lpstr>
      <vt:lpstr>seguimiento</vt:lpstr>
      <vt:lpstr>presupuesto</vt:lpstr>
      <vt:lpstr>partida</vt:lpstr>
      <vt:lpstr>recurso</vt:lpstr>
      <vt:lpstr>APU</vt:lpstr>
      <vt:lpstr>Hoja2</vt:lpstr>
      <vt:lpstr>APU!Área_de_impresión</vt:lpstr>
      <vt:lpstr>'carta gantt'!Área_de_impresión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Cristian Ildefonso Hernadez Ruiz</cp:lastModifiedBy>
  <cp:lastPrinted>2024-12-12T22:41:14Z</cp:lastPrinted>
  <dcterms:created xsi:type="dcterms:W3CDTF">2020-03-06T21:26:27Z</dcterms:created>
  <dcterms:modified xsi:type="dcterms:W3CDTF">2025-01-18T04:03:47Z</dcterms:modified>
</cp:coreProperties>
</file>